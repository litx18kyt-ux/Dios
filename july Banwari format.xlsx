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323801f0605c11/Dokumen/DIOS/2026-27/"/>
    </mc:Choice>
  </mc:AlternateContent>
  <xr:revisionPtr revIDLastSave="0" documentId="8_{A55DF00D-499F-F04D-94A1-7CD7F7DD9DBC}" xr6:coauthVersionLast="47" xr6:coauthVersionMax="47" xr10:uidLastSave="{00000000-0000-0000-0000-000000000000}"/>
  <bookViews>
    <workbookView xWindow="-108" yWindow="-108" windowWidth="23256" windowHeight="12456" tabRatio="814" activeTab="12" xr2:uid="{00000000-000D-0000-FFFF-FFFF00000000}"/>
  </bookViews>
  <sheets>
    <sheet name="EFFORT LEVEL" sheetId="1" r:id="rId1"/>
    <sheet name="MONTH FW PROGRESS" sheetId="6" r:id="rId2"/>
    <sheet name="SALES PERFORMANCE" sheetId="2" r:id="rId3"/>
    <sheet name="UN.SALES PROG." sheetId="4" r:id="rId4"/>
    <sheet name="NEAR BY EXPIRY" sheetId="13" r:id="rId5"/>
    <sheet name="COMMITMENT" sheetId="7" r:id="rId6"/>
    <sheet name="WCFYH" sheetId="8" r:id="rId7"/>
    <sheet name="A2 GHEE VALROS" sheetId="14" r:id="rId8"/>
    <sheet name="TABLE TOP" sheetId="9" r:id="rId9"/>
    <sheet name="GLUCOMETER CAMP" sheetId="15" r:id="rId10"/>
    <sheet name="SPECIAL FOCUSED BRANDS" sheetId="10" r:id="rId11"/>
    <sheet name=" FOCUSED BRANDS" sheetId="11" r:id="rId12"/>
    <sheet name="ROI" sheetId="5" r:id="rId13"/>
    <sheet name="MSL" sheetId="16" r:id="rId14"/>
  </sheets>
  <definedNames>
    <definedName name="_xlnm._FilterDatabase" localSheetId="3" hidden="1">'UN.SALES PROG.'!$A$3:$AM$81</definedName>
    <definedName name="_xlnm._FilterDatabase" localSheetId="13" hidden="1">MSL!$A$2:$R$2</definedName>
    <definedName name="_xlnm._FilterDatabase" localSheetId="12" hidden="1">ROI!$A$4:$AT$4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7" i="5" l="1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E11" i="2"/>
  <c r="E6" i="1"/>
  <c r="C15" i="10"/>
  <c r="C14" i="10"/>
  <c r="C17" i="10"/>
  <c r="C13" i="10"/>
  <c r="C16" i="10"/>
  <c r="O6" i="2"/>
  <c r="O5" i="2"/>
  <c r="O4" i="2"/>
  <c r="V17" i="10"/>
  <c r="Q17" i="10"/>
  <c r="L17" i="10"/>
  <c r="G17" i="10"/>
  <c r="H17" i="10"/>
  <c r="M17" i="10"/>
  <c r="V16" i="10"/>
  <c r="Q16" i="10"/>
  <c r="L16" i="10"/>
  <c r="G16" i="10"/>
  <c r="H16" i="10"/>
  <c r="M16" i="10"/>
  <c r="V15" i="10"/>
  <c r="Q15" i="10"/>
  <c r="L15" i="10"/>
  <c r="G15" i="10"/>
  <c r="H15" i="10"/>
  <c r="M15" i="10"/>
  <c r="V14" i="10"/>
  <c r="Q14" i="10"/>
  <c r="L14" i="10"/>
  <c r="G14" i="10"/>
  <c r="H14" i="10"/>
  <c r="M14" i="10"/>
  <c r="V13" i="10"/>
  <c r="Q13" i="10"/>
  <c r="L13" i="10"/>
  <c r="G13" i="10"/>
  <c r="G8" i="10"/>
  <c r="H8" i="10"/>
  <c r="G7" i="10"/>
  <c r="H7" i="10"/>
  <c r="M7" i="10"/>
  <c r="V8" i="10"/>
  <c r="V7" i="10"/>
  <c r="V6" i="10"/>
  <c r="V5" i="10"/>
  <c r="V4" i="10"/>
  <c r="Q8" i="10"/>
  <c r="Q7" i="10"/>
  <c r="Q6" i="10"/>
  <c r="Q5" i="10"/>
  <c r="Q4" i="10"/>
  <c r="L8" i="10"/>
  <c r="M8" i="10"/>
  <c r="L7" i="10"/>
  <c r="L6" i="10"/>
  <c r="G6" i="10"/>
  <c r="H6" i="10"/>
  <c r="M6" i="10"/>
  <c r="R6" i="10"/>
  <c r="L5" i="10"/>
  <c r="L4" i="10"/>
  <c r="G5" i="10"/>
  <c r="H5" i="10"/>
  <c r="G4" i="10"/>
  <c r="H4" i="10"/>
  <c r="N8" i="2"/>
  <c r="M8" i="2"/>
  <c r="L8" i="2"/>
  <c r="K8" i="2"/>
  <c r="J8" i="2"/>
  <c r="I8" i="2"/>
  <c r="H8" i="2"/>
  <c r="G8" i="2"/>
  <c r="F8" i="2"/>
  <c r="E8" i="2"/>
  <c r="D8" i="2"/>
  <c r="C8" i="2"/>
  <c r="D11" i="2"/>
  <c r="F11" i="2"/>
  <c r="G11" i="2"/>
  <c r="H11" i="2"/>
  <c r="I11" i="2"/>
  <c r="J11" i="2"/>
  <c r="K11" i="2"/>
  <c r="L11" i="2"/>
  <c r="M11" i="2"/>
  <c r="N11" i="2"/>
  <c r="C11" i="2"/>
  <c r="O15" i="2"/>
  <c r="O14" i="2"/>
  <c r="O13" i="2"/>
  <c r="O12" i="2"/>
  <c r="O10" i="2"/>
  <c r="O9" i="2"/>
  <c r="N7" i="2"/>
  <c r="M7" i="2"/>
  <c r="L7" i="2"/>
  <c r="K7" i="2"/>
  <c r="J7" i="2"/>
  <c r="I7" i="2"/>
  <c r="H7" i="2"/>
  <c r="G7" i="2"/>
  <c r="F7" i="2"/>
  <c r="E7" i="2"/>
  <c r="D7" i="2"/>
  <c r="C7" i="2"/>
  <c r="O19" i="1"/>
  <c r="O18" i="1"/>
  <c r="O15" i="1"/>
  <c r="O14" i="1"/>
  <c r="N13" i="1"/>
  <c r="M13" i="1"/>
  <c r="L13" i="1"/>
  <c r="K13" i="1"/>
  <c r="J13" i="1"/>
  <c r="I13" i="1"/>
  <c r="H13" i="1"/>
  <c r="G13" i="1"/>
  <c r="F13" i="1"/>
  <c r="E13" i="1"/>
  <c r="D13" i="1"/>
  <c r="C13" i="1"/>
  <c r="O12" i="1"/>
  <c r="N11" i="1"/>
  <c r="M11" i="1"/>
  <c r="L11" i="1"/>
  <c r="K11" i="1"/>
  <c r="J11" i="1"/>
  <c r="I11" i="1"/>
  <c r="H11" i="1"/>
  <c r="G11" i="1"/>
  <c r="F11" i="1"/>
  <c r="E11" i="1"/>
  <c r="D11" i="1"/>
  <c r="C11" i="1"/>
  <c r="O10" i="1"/>
  <c r="O9" i="1"/>
  <c r="O8" i="1"/>
  <c r="O7" i="1"/>
  <c r="O6" i="1"/>
  <c r="O5" i="1"/>
  <c r="O4" i="1"/>
  <c r="O11" i="2"/>
  <c r="R8" i="10"/>
  <c r="W8" i="10"/>
  <c r="R7" i="10"/>
  <c r="W7" i="10"/>
  <c r="M5" i="10"/>
  <c r="R5" i="10"/>
  <c r="W5" i="10"/>
  <c r="R14" i="10"/>
  <c r="W14" i="10"/>
  <c r="R15" i="10"/>
  <c r="W15" i="10"/>
  <c r="R16" i="10"/>
  <c r="W16" i="10"/>
  <c r="R17" i="10"/>
  <c r="O11" i="1"/>
  <c r="O13" i="1"/>
  <c r="W17" i="10"/>
  <c r="H13" i="10"/>
  <c r="M13" i="10"/>
  <c r="R13" i="10"/>
  <c r="W13" i="10"/>
  <c r="W6" i="10"/>
  <c r="M4" i="10"/>
  <c r="R4" i="10"/>
  <c r="W4" i="10"/>
  <c r="O8" i="2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tc={90131A5A-9DE8-DE4C-BD6A-7C87EA1D171D}</author>
    <author>tc={3EA1198E-5E58-AB46-AFDF-68140BD57D9F}</author>
    <author>tc={28865ED0-4D83-9F40-BBE3-E80A71B006E4}</author>
    <author>tc={0D8E21A0-3886-6342-935A-ADFA29EF54B8}</author>
    <author>tc={AF0A4933-2797-434A-9081-B51DAFDC66BA}</author>
  </authors>
  <commentList>
    <comment ref="C14" authorId="0" shapeId="0" xr:uid="{90131A5A-9DE8-DE4C-BD6A-7C87EA1D17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DOB 
AMEET MEHTA 
ABHIJEET BASU SON
DOA 
SANDEEP.BHATNAGAR 
LALIT SHRIMALI 
ABHIJEET BASU 
VINOD K RAI </t>
      </text>
    </comment>
    <comment ref="D14" authorId="1" shapeId="0" xr:uid="{3EA1198E-5E58-AB46-AFDF-68140BD57D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camp
abhay jain
baldev meena 
dob
gk mukhiya 
bipin chandra 
dc sharma 
hitesh Yadav 
rk malot 
Safdar hussain 
doa
ameet mehta
kn das
yn verma 
vinod bokadiya 
danny
</t>
      </text>
    </comment>
    <comment ref="E14" authorId="2" shapeId="0" xr:uid="{28865ED0-4D83-9F40-BBE3-E80A71B006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CAMP
DR ABHAY JAIN
DR BALDEV MEENA 
DR MONA DHINGRA 
DOB
DR VINOD MEHTA 
DR JAYESH GANDHI 
DR PRASHANT BADJATIYA 
DR VINOD MEHTA 
DOA 
DR GOURAV K MITTAL </t>
      </text>
    </comment>
    <comment ref="D15" authorId="3" shapeId="0" xr:uid="{0D8E21A0-3886-6342-935A-ADFA29EF54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 Mayank Sharma </t>
      </text>
    </comment>
    <comment ref="E15" authorId="4" shapeId="0" xr:uid="{AF0A4933-2797-434A-9081-B51DAFDC66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 Kripa shankar PREMYLLIN m sr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tc={A4B5F16B-7A32-1B40-93D8-7A1E506E4186}</author>
    <author>tc={F2344F7B-C59D-4BDD-9DAF-19AC501D4DC7}</author>
  </authors>
  <commentList>
    <comment ref="C15" authorId="0" shapeId="0" xr:uid="{A4B5F16B-7A32-1B40-93D8-7A1E506E41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 AMEET MEHTA SIR TAXI AT AHMEDABAD </t>
      </text>
    </comment>
    <comment ref="D15" authorId="1" shapeId="0" xr:uid="{F2344F7B-C59D-4BDD-9DAF-19AC501D4DC7}">
      <text>
        <t>[Threaded comment]
Your version of Excel allows you to read this threaded comment; however, any edits to it will get removed if the file is opened in a newer version of Excel. Learn more: https://go.microsoft.com/fwlink/?linkid=870924
Comment:
    Dr dc confer.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BANWARI LAL</author>
  </authors>
  <commentList>
    <comment ref="H35" authorId="0" shapeId="0" xr:uid="{E4F8F31A-9A54-4575-B95F-03711923AFEE}">
      <text>
        <r>
          <rPr>
            <b/>
            <sz val="9"/>
            <color indexed="81"/>
            <rFont val="Tahoma"/>
            <charset val="1"/>
          </rPr>
          <t>BANWARI LAL: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<sst xmlns="http://schemas.openxmlformats.org/spreadsheetml/2006/main" count="1895" uniqueCount="840">
  <si>
    <t>FIELD WORK ACTIVITY</t>
  </si>
  <si>
    <t xml:space="preserve">H.Q- </t>
  </si>
  <si>
    <t>S.N.</t>
  </si>
  <si>
    <t>PARTICULARS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</si>
  <si>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</si>
  <si>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</si>
  <si>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</si>
  <si>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</si>
  <si>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</si>
  <si>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</si>
  <si>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</si>
  <si>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</si>
  <si>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</si>
  <si>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</si>
  <si>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</si>
  <si>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</si>
  <si>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CUMM</t>
  </si>
  <si>
    <t>NO. OF DAYS IN MONTH</t>
  </si>
  <si>
    <t>NO. OF AVAILABLE F.W. DAYS</t>
  </si>
  <si>
    <t>NO. OF ACTUAL F.W. DAYS</t>
  </si>
  <si>
    <t>NO. OF DAYS ON LEAVE</t>
  </si>
  <si>
    <t>NO. OF DAYS OF HOLIDAYS</t>
  </si>
  <si>
    <t>NO. OF DAYS MEETING/ ADMIN /TRANSIT</t>
  </si>
  <si>
    <t>TOTAL NO. OF DR. CALL</t>
  </si>
  <si>
    <t>DR. CALL AVERAGE</t>
  </si>
  <si>
    <t>TOTAL NO. OF CHEMIST CALL</t>
  </si>
  <si>
    <t>CHEMIST CALL AVERAGE</t>
  </si>
  <si>
    <t>NO. OF ACTIVITIES  ( CAMP, DOB, DOA, RTM, DINNER, CME)</t>
  </si>
  <si>
    <t>NO. OF DR. CONVERSION IN AREA</t>
  </si>
  <si>
    <t>NO. OF F.W. DAYS INDEPENDENT</t>
  </si>
  <si>
    <t>BE Name -</t>
  </si>
  <si>
    <t>BUDGET</t>
  </si>
  <si>
    <t>% PRM. ACHIVEMENT</t>
  </si>
  <si>
    <t>SECONDARY GROWTH</t>
  </si>
  <si>
    <t>SALES RETURNS</t>
  </si>
  <si>
    <t>EXPIRY</t>
  </si>
  <si>
    <t>CLOSING STOCK</t>
  </si>
  <si>
    <t>INVESTMENT*</t>
  </si>
  <si>
    <t>PRODUCT NAME</t>
  </si>
  <si>
    <t>PTS</t>
  </si>
  <si>
    <t>APRIL</t>
  </si>
  <si>
    <t>JUNE</t>
  </si>
  <si>
    <t>JULY</t>
  </si>
  <si>
    <t>MARCH</t>
  </si>
  <si>
    <t>NET SEC</t>
  </si>
  <si>
    <t>CLOSING</t>
  </si>
  <si>
    <t>NET PRI</t>
  </si>
  <si>
    <t>DR.NAME</t>
  </si>
  <si>
    <t>MOBILE NO.</t>
  </si>
  <si>
    <t>ACTIVITY TYPE</t>
  </si>
  <si>
    <t>ACTIVITY AMOUNT</t>
  </si>
  <si>
    <t>DATE OF ACTIVITY</t>
  </si>
  <si>
    <t>AUGUST</t>
  </si>
  <si>
    <t>SEPTEMBER</t>
  </si>
  <si>
    <t>OCTOBER</t>
  </si>
  <si>
    <t>NOVEMBER</t>
  </si>
  <si>
    <t>DECEMBER</t>
  </si>
  <si>
    <t>JANUARY</t>
  </si>
  <si>
    <t>FEBRUARY</t>
  </si>
  <si>
    <t>DATE</t>
  </si>
  <si>
    <t>ROI</t>
  </si>
  <si>
    <t>Day</t>
  </si>
  <si>
    <t>AREA WORKED</t>
  </si>
  <si>
    <t xml:space="preserve">TP Submitted </t>
  </si>
  <si>
    <t>No. of Dr's Met</t>
  </si>
  <si>
    <t>No. of Chemists/Stockiest Met</t>
  </si>
  <si>
    <t>COMMITMENT OF MONTH</t>
  </si>
  <si>
    <t>H.Q. NAME</t>
  </si>
  <si>
    <t>PREVIOUS MONTH BUDGET</t>
  </si>
  <si>
    <t xml:space="preserve"> PREVIOUS MONTH ACHIV.</t>
  </si>
  <si>
    <t>CURRENT SECONDARY</t>
  </si>
  <si>
    <t>CURRENT INVENTORY</t>
  </si>
  <si>
    <t>CURRENT MONTH BUDGET</t>
  </si>
  <si>
    <t>COMMITMENT</t>
  </si>
  <si>
    <t>SUPPORT REQUIRE</t>
  </si>
  <si>
    <t>H.Q.NAME</t>
  </si>
  <si>
    <t>TYPE OF SUPPORT</t>
  </si>
  <si>
    <t>AMOUNT</t>
  </si>
  <si>
    <t>EXPECTED ROI</t>
  </si>
  <si>
    <t>ACHIEVEMENT</t>
  </si>
  <si>
    <t>HQ</t>
  </si>
  <si>
    <t>S.NO.</t>
  </si>
  <si>
    <t>DR NAME</t>
  </si>
  <si>
    <t>SPECIALITY</t>
  </si>
  <si>
    <t>ACTIVITY DONE/NOT</t>
  </si>
  <si>
    <t>NO. OF PRESCRIPTION/MONTH</t>
  </si>
  <si>
    <t>SECONDARY IN STRIPS</t>
  </si>
  <si>
    <t xml:space="preserve"> APRIL</t>
  </si>
  <si>
    <t>MONTH FIELD WORK PROGRESS</t>
  </si>
  <si>
    <t xml:space="preserve">BE Name - </t>
  </si>
  <si>
    <t>BE NAME:</t>
  </si>
  <si>
    <t>HQ NAME:</t>
  </si>
  <si>
    <t xml:space="preserve">NEED TO SEND WEEKLY TO REPORTING MANAGER </t>
  </si>
  <si>
    <t>UNIT SALES PROGRESSION (HQ TOTAL)</t>
  </si>
  <si>
    <t>PRESCRIBER/NON PRESCRIBER</t>
  </si>
  <si>
    <t>NO. OF PRESCRIPTION GENERATED</t>
  </si>
  <si>
    <t>PRESCRIBER / NON RXBER</t>
  </si>
  <si>
    <t>WE CARE FOR YOUR HEALTH CAMPAIGN</t>
  </si>
  <si>
    <t>BRAND</t>
  </si>
  <si>
    <t>NAME OF THE DR.</t>
  </si>
  <si>
    <t>DATE OF CAMPAIGN</t>
  </si>
  <si>
    <t>CAMPAIGN DONE ON</t>
  </si>
  <si>
    <t>RX GENERATED</t>
  </si>
  <si>
    <t>VINTEL</t>
  </si>
  <si>
    <t>10TH OF EVERY MONTH</t>
  </si>
  <si>
    <t>VALROS</t>
  </si>
  <si>
    <t>20TH OF EVERY MONTH</t>
  </si>
  <si>
    <t xml:space="preserve">INVESTMENT AND COVERAGE ANALYSIS . </t>
  </si>
  <si>
    <t>EXECUTIVE NAME</t>
  </si>
  <si>
    <t>JAN.</t>
  </si>
  <si>
    <t>FEB.</t>
  </si>
  <si>
    <t>OLD/NEW</t>
  </si>
  <si>
    <t>DATE of visit</t>
  </si>
  <si>
    <t>LINAGET</t>
  </si>
  <si>
    <t xml:space="preserve"> </t>
  </si>
  <si>
    <t>PRIMARY IN STRIPS</t>
  </si>
  <si>
    <t>VINVES</t>
  </si>
  <si>
    <t>CALGYM 60K</t>
  </si>
  <si>
    <t>DIOFLAM</t>
  </si>
  <si>
    <t>FITJEE Q10</t>
  </si>
  <si>
    <t>GP</t>
  </si>
  <si>
    <t>PHY/GYN/GP</t>
  </si>
  <si>
    <t>DETAILS OF PRODUCTS HAVING LESS THAN 8 MONTHS EXPIRY</t>
  </si>
  <si>
    <t>S. NO</t>
  </si>
  <si>
    <t>PRODUCT</t>
  </si>
  <si>
    <t>STOCKIST NAME</t>
  </si>
  <si>
    <t>QUANTITY</t>
  </si>
  <si>
    <t>MONTH OF EXPIRY</t>
  </si>
  <si>
    <t>PLAN OF LIQUIDATION</t>
  </si>
  <si>
    <t>CALGYM 60K CAP</t>
  </si>
  <si>
    <t>CALGYM TAB</t>
  </si>
  <si>
    <t>CALROS TAB</t>
  </si>
  <si>
    <t>CITICURE 500 TAB</t>
  </si>
  <si>
    <t>CITICURE PLUS TAB</t>
  </si>
  <si>
    <t>DIOFLAM TAB</t>
  </si>
  <si>
    <t>DIOMILIN NT TAB</t>
  </si>
  <si>
    <t>DIOSGLT 10 TAB</t>
  </si>
  <si>
    <t>DIOSUL TAB</t>
  </si>
  <si>
    <t>DIOZAM 10 TAB</t>
  </si>
  <si>
    <t>DIOZAM 5 TAB</t>
  </si>
  <si>
    <t>ESIPRAM 10MG TAB</t>
  </si>
  <si>
    <t>ESIPRAM PLUS TAB</t>
  </si>
  <si>
    <t>FITJEE CAP</t>
  </si>
  <si>
    <t>FITJEE DM TAB</t>
  </si>
  <si>
    <t>ISIRON CAP</t>
  </si>
  <si>
    <t>NEUTOCID DSR CAP</t>
  </si>
  <si>
    <t>NEUTOCID LS CAP</t>
  </si>
  <si>
    <t>PREMYLIN M 75 TAB</t>
  </si>
  <si>
    <t>PREMYLIN M SR TAB</t>
  </si>
  <si>
    <t>PROSTADO TAB</t>
  </si>
  <si>
    <t>PROSTADO D TAB</t>
  </si>
  <si>
    <t>SOLEM 500 TAB</t>
  </si>
  <si>
    <t>VALROS 10 TAB</t>
  </si>
  <si>
    <t>VALROS 20 TAB</t>
  </si>
  <si>
    <t>VALROS ASP TAB</t>
  </si>
  <si>
    <t>VALROS F TAB</t>
  </si>
  <si>
    <t>VALROS GOLD 20 CAP</t>
  </si>
  <si>
    <t>VALROS GOLD 10 CAP</t>
  </si>
  <si>
    <t>VIDGLIT M FORTE TAB</t>
  </si>
  <si>
    <t>VIDGLIT M TAB</t>
  </si>
  <si>
    <t>VIDGLIT TAB</t>
  </si>
  <si>
    <t>VIDMET G 80 TAB</t>
  </si>
  <si>
    <t>VIDMET SR 1000MG TAB</t>
  </si>
  <si>
    <t>VIDMET SR 500MG TAB</t>
  </si>
  <si>
    <t>VINTEL 20 TAB</t>
  </si>
  <si>
    <t>VINTEL 40 TAB</t>
  </si>
  <si>
    <t>VINTEL 40AM TAB</t>
  </si>
  <si>
    <t>VINTEL 80 TAB</t>
  </si>
  <si>
    <t>VINTEL CT TAB</t>
  </si>
  <si>
    <t>VINTEL CTC TAB</t>
  </si>
  <si>
    <t>VINTEL H40 TAB</t>
  </si>
  <si>
    <t>VINTEL H80 TAB</t>
  </si>
  <si>
    <t>VINTEL M 25 TAB</t>
  </si>
  <si>
    <t>VINTEL M 50 TAB</t>
  </si>
  <si>
    <t>XILDA M 500 TAB</t>
  </si>
  <si>
    <t>XILDA M 1000 TAB</t>
  </si>
  <si>
    <t>XILDA TAB</t>
  </si>
  <si>
    <t>NO. OF DRS. ADDED NEW BRAND</t>
  </si>
  <si>
    <t>NO. OF DRS. STOPPED</t>
  </si>
  <si>
    <t>CALGYM 60K CAPS</t>
  </si>
  <si>
    <t>CILDIOS 10 TAB</t>
  </si>
  <si>
    <t>DIOMILIN NT TABLET</t>
  </si>
  <si>
    <t>FITJEE CAPS</t>
  </si>
  <si>
    <t>FITJEE DM TABLET</t>
  </si>
  <si>
    <t>FITJEE Q10 TAB</t>
  </si>
  <si>
    <t>ISIRON CAPS</t>
  </si>
  <si>
    <t>LINAGET DM TAB</t>
  </si>
  <si>
    <t>LINAGET-5 TAB</t>
  </si>
  <si>
    <t>LINAGET-D TAB</t>
  </si>
  <si>
    <t>LINAGET-M-OD5/1000 TAB</t>
  </si>
  <si>
    <t>LINAGET-M-OD5/500 TAB</t>
  </si>
  <si>
    <t>LINAGET-M1000 TAB</t>
  </si>
  <si>
    <t>LINAGET-M500 TAB</t>
  </si>
  <si>
    <t>NEUTOCID DSR CAPS</t>
  </si>
  <si>
    <t>NEUTOCID LS TAB</t>
  </si>
  <si>
    <t>PREMYLIN MSR TAB</t>
  </si>
  <si>
    <t>SOLEM 250 TAB</t>
  </si>
  <si>
    <t>VALROS ASP CAPS</t>
  </si>
  <si>
    <t>VALROS ASP150 CAPS</t>
  </si>
  <si>
    <t>VALROS-F20 TAB</t>
  </si>
  <si>
    <t>VALROS GOLD 10 CAPS</t>
  </si>
  <si>
    <t>VALROS GOLD 20 CAPS</t>
  </si>
  <si>
    <t>VIDGLIT M FOTRE TAB</t>
  </si>
  <si>
    <t>VINTEL AM40 TAB</t>
  </si>
  <si>
    <t>VINTEL CD TAB</t>
  </si>
  <si>
    <t>Vintel M25 TAB</t>
  </si>
  <si>
    <t>Vintel M50 TAB</t>
  </si>
  <si>
    <t>VINVES-100 TAB</t>
  </si>
  <si>
    <t>VINVES-50 TAB</t>
  </si>
  <si>
    <t>XILDA 50 TAB</t>
  </si>
  <si>
    <t>XILDA P TAB</t>
  </si>
  <si>
    <t>ZIRON CAPS</t>
  </si>
  <si>
    <t>PRIMARY. 26-27</t>
  </si>
  <si>
    <t>PRIMARY. 25-26</t>
  </si>
  <si>
    <t>PRIMARY GROWTH</t>
  </si>
  <si>
    <t>SECONDARY 25-26</t>
  </si>
  <si>
    <t>SECONDARY 26-27</t>
  </si>
  <si>
    <t>TABLE TOP CAMPAIGN</t>
  </si>
  <si>
    <t>DM CARD</t>
  </si>
  <si>
    <t>A2 GHEE CAMPAIGN</t>
  </si>
  <si>
    <t>QTR SALE</t>
  </si>
  <si>
    <t>GROWTH OVER LAST QTR</t>
  </si>
  <si>
    <t xml:space="preserve"> JAN TO MARCH PRIMARY SALE</t>
  </si>
  <si>
    <t>%GROWTH OVER LAST QTR</t>
  </si>
  <si>
    <t>CAMP DATE</t>
  </si>
  <si>
    <t>S. NO.</t>
  </si>
  <si>
    <t>PATIENT NAME</t>
  </si>
  <si>
    <t>PHONE NO.</t>
  </si>
  <si>
    <t>BRAND PRESCRIBED</t>
  </si>
  <si>
    <t>NO. OF STRIPS SOLD ON CAMPAIGN DAY</t>
  </si>
  <si>
    <t>GLUCOMETER CAMPAIGN</t>
  </si>
  <si>
    <t>NO. OF PRESCRIPTION  GENEREATED IN MONTH</t>
  </si>
  <si>
    <t>NO. OF Rx GENERATED IN CAMP</t>
  </si>
  <si>
    <t>VISIT DATES</t>
  </si>
  <si>
    <t>FITJEE CAPSULE</t>
  </si>
  <si>
    <t>LINAGET-E25</t>
  </si>
  <si>
    <t>VALROS 40TAB</t>
  </si>
  <si>
    <t>VALROS EZ-10</t>
  </si>
  <si>
    <t>VALROS EZ-20</t>
  </si>
  <si>
    <t xml:space="preserve">VINTEL 40 TAB </t>
  </si>
  <si>
    <t xml:space="preserve">VINTEL H40 TAB </t>
  </si>
  <si>
    <t>ABHIJEET BASU</t>
  </si>
  <si>
    <t>AMIT MEHTA</t>
  </si>
  <si>
    <t>ANISH BAHL</t>
  </si>
  <si>
    <t>JAGDISH VISHNOI</t>
  </si>
  <si>
    <t>LALIT SHREEMALI</t>
  </si>
  <si>
    <t>RAVI MANGALIYA</t>
  </si>
  <si>
    <t>YN VERMA</t>
  </si>
  <si>
    <t>RN LADDHA</t>
  </si>
  <si>
    <t>LALIT SHRIMALI</t>
  </si>
  <si>
    <t>POOJA GANDHI</t>
  </si>
  <si>
    <t>RADHA RASTOGI</t>
  </si>
  <si>
    <t>BS BOMB</t>
  </si>
  <si>
    <t>DEEPAK AAMETHA</t>
  </si>
  <si>
    <t>MUKESH SHARMA</t>
  </si>
  <si>
    <t>CPPUROHIT</t>
  </si>
  <si>
    <t>KAPIL BHARGAV</t>
  </si>
  <si>
    <t>AMIT KHANDELWAL</t>
  </si>
  <si>
    <t>UDAIPUR</t>
  </si>
  <si>
    <t>NEURO</t>
  </si>
  <si>
    <t>SK KAUSHIQ</t>
  </si>
  <si>
    <t>CARD</t>
  </si>
  <si>
    <t>MANISH KULSHRESHT</t>
  </si>
  <si>
    <t>JITESH AGRAWAL</t>
  </si>
  <si>
    <t>SATISH CHOUDHARY</t>
  </si>
  <si>
    <t>PHY</t>
  </si>
  <si>
    <t>SANDEEP KANSARA</t>
  </si>
  <si>
    <t>VINOD BOKADIYA</t>
  </si>
  <si>
    <t>JAI CHORDIYA</t>
  </si>
  <si>
    <t>ENDO</t>
  </si>
  <si>
    <t>KB BADOLIYA</t>
  </si>
  <si>
    <t>LALIT JAINANI</t>
  </si>
  <si>
    <t>ANMOL PAGARIYA</t>
  </si>
  <si>
    <t>SrNo</t>
  </si>
  <si>
    <t>Doctor Name</t>
  </si>
  <si>
    <t>Activity Type</t>
  </si>
  <si>
    <t>Speciality</t>
  </si>
  <si>
    <t>DOB</t>
  </si>
  <si>
    <t>DOA</t>
  </si>
  <si>
    <t>SEPT</t>
  </si>
  <si>
    <t>MAHESH DAVE</t>
  </si>
  <si>
    <t>CRM</t>
  </si>
  <si>
    <t>MD MED</t>
  </si>
  <si>
    <t>03/03/2019</t>
  </si>
  <si>
    <t/>
  </si>
  <si>
    <t>1,10,17</t>
  </si>
  <si>
    <t>DP SINGH</t>
  </si>
  <si>
    <t>23/11/2019</t>
  </si>
  <si>
    <t>KAVITA BADJATIYA</t>
  </si>
  <si>
    <t>26/08/2019</t>
  </si>
  <si>
    <t>NAVGEET MATHUR</t>
  </si>
  <si>
    <t>3,11</t>
  </si>
  <si>
    <t>PARAS JAIN</t>
  </si>
  <si>
    <t>4,15</t>
  </si>
  <si>
    <t>08/12/2019</t>
  </si>
  <si>
    <t>4,11,15</t>
  </si>
  <si>
    <t>D C SHARMA</t>
  </si>
  <si>
    <t>DM ENDO</t>
  </si>
  <si>
    <t>12/05/2019</t>
  </si>
  <si>
    <t>3,9,10</t>
  </si>
  <si>
    <t>CRM+LGT TABLE TOP</t>
  </si>
  <si>
    <t>22/10/2019</t>
  </si>
  <si>
    <t>VINOD MEHTA</t>
  </si>
  <si>
    <t>DM NEURO</t>
  </si>
  <si>
    <t>02/06/2019</t>
  </si>
  <si>
    <t>2,3,11,17</t>
  </si>
  <si>
    <t>AKVATS</t>
  </si>
  <si>
    <t>02/08/2019</t>
  </si>
  <si>
    <t>RAMESH PATEL</t>
  </si>
  <si>
    <t>DM CARDIO</t>
  </si>
  <si>
    <t>30/09/2019</t>
  </si>
  <si>
    <t>DENY</t>
  </si>
  <si>
    <t>03/06/2019</t>
  </si>
  <si>
    <t>MANU SHARMA</t>
  </si>
  <si>
    <t>MD PSY</t>
  </si>
  <si>
    <t>05/12/2019</t>
  </si>
  <si>
    <t>4,17</t>
  </si>
  <si>
    <t>VIJAY GOYAL</t>
  </si>
  <si>
    <t>01/09/2019</t>
  </si>
  <si>
    <t>SUMIT SIROIYA</t>
  </si>
  <si>
    <t>14/01/2019</t>
  </si>
  <si>
    <t>na</t>
  </si>
  <si>
    <t>SANDEEP BHATNAGAR</t>
  </si>
  <si>
    <t>13/02/2019</t>
  </si>
  <si>
    <t>RAHUL PANCHAL</t>
  </si>
  <si>
    <t>21/04/2019</t>
  </si>
  <si>
    <t>RK MALOT</t>
  </si>
  <si>
    <t>09/05/2019</t>
  </si>
  <si>
    <t>8,16</t>
  </si>
  <si>
    <t>KIRIT GANDHI</t>
  </si>
  <si>
    <t>11/07/2019</t>
  </si>
  <si>
    <t>ANISH JAIN</t>
  </si>
  <si>
    <t>16/12/2019</t>
  </si>
  <si>
    <t>HEMANT MAHUR</t>
  </si>
  <si>
    <t>25/03/1996</t>
  </si>
  <si>
    <t xml:space="preserve">out of Town </t>
  </si>
  <si>
    <t>BALDEV MEENA</t>
  </si>
  <si>
    <t>05/07/1997</t>
  </si>
  <si>
    <t>Abhay jain</t>
  </si>
  <si>
    <t>CONSULTANT PHYSICIAN</t>
  </si>
  <si>
    <t>12/12/1972</t>
  </si>
  <si>
    <t>Hitesh yadav</t>
  </si>
  <si>
    <t>CARDIO</t>
  </si>
  <si>
    <t>11/05/1900</t>
  </si>
  <si>
    <t>31/01/1900</t>
  </si>
  <si>
    <t>1,10,15</t>
  </si>
  <si>
    <t>jimesh Pandiya</t>
  </si>
  <si>
    <t>MBBB MD</t>
  </si>
  <si>
    <t>22/03/1900</t>
  </si>
  <si>
    <t>06/12/1900</t>
  </si>
  <si>
    <t>Suresh Chandra</t>
  </si>
  <si>
    <t>GEN MED</t>
  </si>
  <si>
    <t>G K Mukhiya</t>
  </si>
  <si>
    <t>DM NEPHRO</t>
  </si>
  <si>
    <t>13/05/1973</t>
  </si>
  <si>
    <t>VINOD KUMAR RAI</t>
  </si>
  <si>
    <t>MBBS</t>
  </si>
  <si>
    <t>PRIYANKA MINOCHA</t>
  </si>
  <si>
    <t>WCFYH VTL</t>
  </si>
  <si>
    <t>MBBS,DNB,ECMO</t>
  </si>
  <si>
    <t>3,17</t>
  </si>
  <si>
    <t>Mona dingra</t>
  </si>
  <si>
    <t>18/07/1900</t>
  </si>
  <si>
    <t>10/02/1900</t>
  </si>
  <si>
    <t>UDAY BHOMIK</t>
  </si>
  <si>
    <t>08/04/2019</t>
  </si>
  <si>
    <t>WCFYH VAL/VIN</t>
  </si>
  <si>
    <t>MD.CARDIO</t>
  </si>
  <si>
    <t>17/03/1980</t>
  </si>
  <si>
    <t>7,10,17</t>
  </si>
  <si>
    <t>07/07/2019</t>
  </si>
  <si>
    <t>02/11/1971</t>
  </si>
  <si>
    <t>Sanjay Gandhi</t>
  </si>
  <si>
    <t>C V T S</t>
  </si>
  <si>
    <t>03/04/1977</t>
  </si>
  <si>
    <t>Dilip jain</t>
  </si>
  <si>
    <t>CARDIOLOGY</t>
  </si>
  <si>
    <t>24/04/1982</t>
  </si>
  <si>
    <t>S K KUASHIK</t>
  </si>
  <si>
    <t>A2 GHEE</t>
  </si>
  <si>
    <t>MAHESH JAIN</t>
  </si>
  <si>
    <t>Vinod bokadia</t>
  </si>
  <si>
    <t>LGT TABLE TOP</t>
  </si>
  <si>
    <t>Diabet/ End</t>
  </si>
  <si>
    <t>24/02/1988</t>
  </si>
  <si>
    <t>02/05/2014</t>
  </si>
  <si>
    <t>JAY CHORDIYA</t>
  </si>
  <si>
    <t xml:space="preserve">appointment </t>
  </si>
  <si>
    <t>MANISH KULSHERT</t>
  </si>
  <si>
    <t>VTL TABLE TOP</t>
  </si>
  <si>
    <t>PHYSCIAN</t>
  </si>
  <si>
    <t>Nilesh pathira</t>
  </si>
  <si>
    <t>GLUCOMETER</t>
  </si>
  <si>
    <t>M B B S PHY</t>
  </si>
  <si>
    <t>28/01/1900</t>
  </si>
  <si>
    <t>14/04/1900</t>
  </si>
  <si>
    <t>KC JAIN</t>
  </si>
  <si>
    <t>24/07/2019</t>
  </si>
  <si>
    <t>SAFDAR HUSSAIN</t>
  </si>
  <si>
    <t>05/05/2019</t>
  </si>
  <si>
    <t>7,13</t>
  </si>
  <si>
    <t>SALMA SHAH</t>
  </si>
  <si>
    <t>07/03/2019</t>
  </si>
  <si>
    <t>JC DEVPURA</t>
  </si>
  <si>
    <t>30/03/2019</t>
  </si>
  <si>
    <t>TARUN RHLOT</t>
  </si>
  <si>
    <t>MUKESH BARJATIYA</t>
  </si>
  <si>
    <t>DNB NEFRO</t>
  </si>
  <si>
    <t>JITENA JINGAR</t>
  </si>
  <si>
    <t>24/09/2019</t>
  </si>
  <si>
    <t>RK SHARMA</t>
  </si>
  <si>
    <t>JAYESH GANDHI</t>
  </si>
  <si>
    <t>10/06/2019</t>
  </si>
  <si>
    <t>BHUPESH PARTANI</t>
  </si>
  <si>
    <t>23/10/2019</t>
  </si>
  <si>
    <t>KRIPA SHANKAR</t>
  </si>
  <si>
    <t>15/09/2019</t>
  </si>
  <si>
    <t>Ameet Mehta</t>
  </si>
  <si>
    <t>GENERAL PHYSICIAN</t>
  </si>
  <si>
    <t>27/04/1900</t>
  </si>
  <si>
    <t>19/05/1900</t>
  </si>
  <si>
    <t>PRASHANT BADJATIYA</t>
  </si>
  <si>
    <t>Abhishek Kumar</t>
  </si>
  <si>
    <t>CONSPHYS</t>
  </si>
  <si>
    <t>rahul sehlot</t>
  </si>
  <si>
    <t>3,15</t>
  </si>
  <si>
    <t>03/07/2019</t>
  </si>
  <si>
    <t>KB BADAULIA</t>
  </si>
  <si>
    <t>ANIS JUKARWALA</t>
  </si>
  <si>
    <t>MD</t>
  </si>
  <si>
    <t>20/12/2019</t>
  </si>
  <si>
    <t>KALPESH CHODHRAY</t>
  </si>
  <si>
    <t>OP MEENA</t>
  </si>
  <si>
    <t>HARISH SANADHY</t>
  </si>
  <si>
    <t>01/01/1970</t>
  </si>
  <si>
    <t>RAJESH KHOIWAL</t>
  </si>
  <si>
    <t>TARUN MATHUR</t>
  </si>
  <si>
    <t>02/08/1979</t>
  </si>
  <si>
    <t>ANURAG JAIN</t>
  </si>
  <si>
    <t>12/03/1979</t>
  </si>
  <si>
    <t>GOVIND MANGAL</t>
  </si>
  <si>
    <t>03/03/1974</t>
  </si>
  <si>
    <t>PRERNA BHARGAV</t>
  </si>
  <si>
    <t>23/03/2019</t>
  </si>
  <si>
    <t>KN DAS</t>
  </si>
  <si>
    <t>15/11/2019</t>
  </si>
  <si>
    <t>CHIRAG RATHOR</t>
  </si>
  <si>
    <t>03/04/1990</t>
  </si>
  <si>
    <t>10/02/2000</t>
  </si>
  <si>
    <t>RAJESH SIROIYA</t>
  </si>
  <si>
    <t>04/10/2019</t>
  </si>
  <si>
    <t>KANTI LAL MEGWAL</t>
  </si>
  <si>
    <t>09/01/2019</t>
  </si>
  <si>
    <t>11/04/2019</t>
  </si>
  <si>
    <t>MADHUP BAXI</t>
  </si>
  <si>
    <t>29/01/2019</t>
  </si>
  <si>
    <t>SHUSHIL CHOUHAN</t>
  </si>
  <si>
    <t>17/02/2019</t>
  </si>
  <si>
    <t>SUNIL UPADHAY</t>
  </si>
  <si>
    <t>07/02/2019</t>
  </si>
  <si>
    <t>23/01/2019</t>
  </si>
  <si>
    <t>HC SONI</t>
  </si>
  <si>
    <t>25/10/1955</t>
  </si>
  <si>
    <t>23/11/2023</t>
  </si>
  <si>
    <t>MK MEENA</t>
  </si>
  <si>
    <t>SURJAN</t>
  </si>
  <si>
    <t>M vijay vargiy</t>
  </si>
  <si>
    <t>pintu aahari</t>
  </si>
  <si>
    <t>Navneet patel kiyda</t>
  </si>
  <si>
    <t>30/06/1900</t>
  </si>
  <si>
    <t>23/04/1900</t>
  </si>
  <si>
    <t>Harish charpota</t>
  </si>
  <si>
    <t>16/10/1900</t>
  </si>
  <si>
    <t>Manish Khandelwal</t>
  </si>
  <si>
    <t>MBBS MD</t>
  </si>
  <si>
    <t>SURAJ GUPTA</t>
  </si>
  <si>
    <t>NEPHROLOGIST</t>
  </si>
  <si>
    <t>3,na</t>
  </si>
  <si>
    <t>Ravi Mangalia</t>
  </si>
  <si>
    <t>CONSULTANT PHY</t>
  </si>
  <si>
    <t>ANUBHAV BANSAL</t>
  </si>
  <si>
    <t>CVTS</t>
  </si>
  <si>
    <t>GOURAV KUMAR MITTAL</t>
  </si>
  <si>
    <t>11/09/1900</t>
  </si>
  <si>
    <t>23/06/1900</t>
  </si>
  <si>
    <t>MAYANK SHARMA</t>
  </si>
  <si>
    <t>medicine</t>
  </si>
  <si>
    <t>PRATIBHA CHOUDHURY</t>
  </si>
  <si>
    <t>KAMLESH BHATT</t>
  </si>
  <si>
    <t>DNB</t>
  </si>
  <si>
    <t>SANDEEP CHANDOLIYA</t>
  </si>
  <si>
    <t>VK RAMCHANDANI</t>
  </si>
  <si>
    <t>General Practitioner (GP)</t>
  </si>
  <si>
    <t>GYANKUMAR DAKSH</t>
  </si>
  <si>
    <t>RAMKUMAR DAKSH</t>
  </si>
  <si>
    <t>Prerna baheti</t>
  </si>
  <si>
    <t>R N LADHA</t>
  </si>
  <si>
    <t>MS ORTHO</t>
  </si>
  <si>
    <t>Ashutosh soni</t>
  </si>
  <si>
    <t>NEPHRO</t>
  </si>
  <si>
    <t>DEEPA KATARA</t>
  </si>
  <si>
    <t>MD PHYSICAN</t>
  </si>
  <si>
    <t>YASH SHAH</t>
  </si>
  <si>
    <t>CONS PHY</t>
  </si>
  <si>
    <t>Praveen jain</t>
  </si>
  <si>
    <t>BL KUMAWAT</t>
  </si>
  <si>
    <t>YOGENDRA SINGH RANAWAT</t>
  </si>
  <si>
    <t>MD CARDIO</t>
  </si>
  <si>
    <t>BIPIN CHANDRA ADITYA DASARI</t>
  </si>
  <si>
    <t>13/05/1990</t>
  </si>
  <si>
    <t>ASHWIN PATIDAR</t>
  </si>
  <si>
    <t>RL MEENA</t>
  </si>
  <si>
    <t>C.PHY</t>
  </si>
  <si>
    <t>HARBEER SINGH CHHABRA</t>
  </si>
  <si>
    <t>RAJENDRA KUMAR SAMAR</t>
  </si>
  <si>
    <t>S.A.BOHRA</t>
  </si>
  <si>
    <t>SHRAVAN KUMAR MEENA</t>
  </si>
  <si>
    <t>DEEPAK GARG</t>
  </si>
  <si>
    <t>MBBS PHY</t>
  </si>
  <si>
    <t>RAVI KUMAR  MANGLANI</t>
  </si>
  <si>
    <t>MAHESH DESAI</t>
  </si>
  <si>
    <t xml:space="preserve">BANWARI LAL MEENA </t>
  </si>
  <si>
    <t>CASH</t>
  </si>
  <si>
    <t>Jan'24,FEB 25</t>
  </si>
  <si>
    <t>Dec'23, April'24</t>
  </si>
  <si>
    <t>VINOD K RAI</t>
  </si>
  <si>
    <t>DC SHARMA</t>
  </si>
  <si>
    <t xml:space="preserve">CHEQUE </t>
  </si>
  <si>
    <t>Sep'24,MAY25</t>
  </si>
  <si>
    <t>GIFT CARDS</t>
  </si>
  <si>
    <t>Aug'23</t>
  </si>
  <si>
    <t>Apr'24,JULY 25</t>
  </si>
  <si>
    <t>Sept'22</t>
  </si>
  <si>
    <t>01-09-2024,MAY 25</t>
  </si>
  <si>
    <t>KAVITA BADJATYA</t>
  </si>
  <si>
    <t>GIFT CARD</t>
  </si>
  <si>
    <t>01-08-2024,JULY 25</t>
  </si>
  <si>
    <t>6-24/11-24,JULY 25</t>
  </si>
  <si>
    <t>(08-2023),MAY 25</t>
  </si>
  <si>
    <t>(9-23),MAY 25</t>
  </si>
  <si>
    <t>ABHAY JAIN</t>
  </si>
  <si>
    <t>AK VATS</t>
  </si>
  <si>
    <t>01-04-2024,JULY 25</t>
  </si>
  <si>
    <t>SUMIT SIROYA</t>
  </si>
  <si>
    <t>GK MUKHIYA</t>
  </si>
  <si>
    <t>18,26</t>
  </si>
  <si>
    <t>7,14,28</t>
  </si>
  <si>
    <t>Mar'25</t>
  </si>
  <si>
    <t>JIMESH PANDYA</t>
  </si>
  <si>
    <t>Apr'25</t>
  </si>
  <si>
    <t>CHIRAG RATHORE</t>
  </si>
  <si>
    <t>Apr'24</t>
  </si>
  <si>
    <t>May'25</t>
  </si>
  <si>
    <t>Jan'26</t>
  </si>
  <si>
    <t xml:space="preserve">SANDEEP BHATNAGAR </t>
  </si>
  <si>
    <t>Nov'25</t>
  </si>
  <si>
    <t>Feb,25</t>
  </si>
  <si>
    <t>Jul'25</t>
  </si>
  <si>
    <t>Feb'24</t>
  </si>
  <si>
    <t>HITESH YADAV</t>
  </si>
  <si>
    <t>HOTEL</t>
  </si>
  <si>
    <t>IPHONE</t>
  </si>
  <si>
    <t>AUG'24</t>
  </si>
  <si>
    <t>DINNER</t>
  </si>
  <si>
    <t>DENNY</t>
  </si>
  <si>
    <t>50000/120000</t>
  </si>
  <si>
    <t>Mar'25,March26</t>
  </si>
  <si>
    <t>Mar'25,jan 26</t>
  </si>
  <si>
    <t>50000,/50000</t>
  </si>
  <si>
    <t>HARRISON BOOK</t>
  </si>
  <si>
    <t>89000, 150000</t>
  </si>
  <si>
    <t xml:space="preserve">40000, </t>
  </si>
  <si>
    <t>Sep'24,Apr26</t>
  </si>
  <si>
    <t>conference</t>
  </si>
  <si>
    <t>20000, 20000</t>
  </si>
  <si>
    <t>May'23,may 26</t>
  </si>
  <si>
    <t>22000, 6000</t>
  </si>
  <si>
    <t>May'24,feb 26</t>
  </si>
  <si>
    <t>3200, 50000</t>
  </si>
  <si>
    <t>May'25,march 26</t>
  </si>
  <si>
    <t>TOTAL</t>
  </si>
  <si>
    <t>OLD</t>
  </si>
  <si>
    <t>NEW</t>
  </si>
  <si>
    <t xml:space="preserve">WEDNESDAY </t>
  </si>
  <si>
    <t xml:space="preserve">THURSDAY </t>
  </si>
  <si>
    <t xml:space="preserve">FRIDAY </t>
  </si>
  <si>
    <t xml:space="preserve">SATURDAY </t>
  </si>
  <si>
    <t xml:space="preserve">MONDAY </t>
  </si>
  <si>
    <t xml:space="preserve">TUESDAY </t>
  </si>
  <si>
    <t xml:space="preserve">UDAIPUR </t>
  </si>
  <si>
    <t xml:space="preserve">RAJSAMAND </t>
  </si>
  <si>
    <t xml:space="preserve">DUNGARPUR </t>
  </si>
  <si>
    <t>2/2/4/0/0/0</t>
  </si>
  <si>
    <t xml:space="preserve">NO. OF F.W. DAYS WITH MANAGER </t>
  </si>
  <si>
    <t>SPECIAL PLAN</t>
  </si>
  <si>
    <t xml:space="preserve">NOT DECIDED </t>
  </si>
  <si>
    <t>GIFT CARDS(VINTEL OR OTHER )</t>
  </si>
  <si>
    <t>30000+20000</t>
  </si>
  <si>
    <t xml:space="preserve">TREAD MIL </t>
  </si>
  <si>
    <t xml:space="preserve">RAMESH PATEL </t>
  </si>
  <si>
    <t>DIOSGLT</t>
  </si>
  <si>
    <t xml:space="preserve">CARDIOLOGIST </t>
  </si>
  <si>
    <t>1,7,10,17,21,24,27,29</t>
  </si>
  <si>
    <t>7,9,11,17,24</t>
  </si>
  <si>
    <t>2,10,17,23,24,28,30</t>
  </si>
  <si>
    <t>1,15,23,30</t>
  </si>
  <si>
    <t>3,13,17,24,27</t>
  </si>
  <si>
    <t>out of Town ,21</t>
  </si>
  <si>
    <t>1,10,30</t>
  </si>
  <si>
    <t>6,22</t>
  </si>
  <si>
    <t>1,2,9,11,18,27</t>
  </si>
  <si>
    <t>4,14,21,28</t>
  </si>
  <si>
    <t>9,10,24,30(doa)</t>
  </si>
  <si>
    <t>4,13,17,21,27</t>
  </si>
  <si>
    <t>7,23,27</t>
  </si>
  <si>
    <t>3,24</t>
  </si>
  <si>
    <t>14,21,23,28</t>
  </si>
  <si>
    <t>7,13,18</t>
  </si>
  <si>
    <t>4,17,23,24,28</t>
  </si>
  <si>
    <t>3,17,24</t>
  </si>
  <si>
    <t>1,7,13,18,20</t>
  </si>
  <si>
    <t>2 times not available ,18</t>
  </si>
  <si>
    <t>3,11,17,24,27</t>
  </si>
  <si>
    <t>4,7,9,13,18,24</t>
  </si>
  <si>
    <t>4,17,24</t>
  </si>
  <si>
    <t>out of Town ,18,23</t>
  </si>
  <si>
    <t>2,21,29</t>
  </si>
  <si>
    <t>appointment ,28</t>
  </si>
  <si>
    <t>4,15,24</t>
  </si>
  <si>
    <t>7,13,18,20</t>
  </si>
  <si>
    <t>1,15,20</t>
  </si>
  <si>
    <t>1,17,22</t>
  </si>
  <si>
    <t>3,17,22</t>
  </si>
  <si>
    <t>na,14,21,28</t>
  </si>
  <si>
    <t>7,23</t>
  </si>
  <si>
    <t>2,17,27</t>
  </si>
  <si>
    <t>na,21,28</t>
  </si>
  <si>
    <t>2,10,17,23,24,30</t>
  </si>
  <si>
    <t>2,15,27</t>
  </si>
  <si>
    <t>11,23</t>
  </si>
  <si>
    <t>na,18</t>
  </si>
  <si>
    <t>na,30</t>
  </si>
  <si>
    <t>9,17,20,23,27,30</t>
  </si>
  <si>
    <t>7,22</t>
  </si>
  <si>
    <t>NTC</t>
  </si>
  <si>
    <t>8,28</t>
  </si>
  <si>
    <t>OUT OF TOWN</t>
  </si>
  <si>
    <t>8,15,28</t>
  </si>
  <si>
    <t>2,8,15,16,23,29</t>
  </si>
  <si>
    <t>2,9,12</t>
  </si>
  <si>
    <t>23,28</t>
  </si>
  <si>
    <t>2,9,20,23,28</t>
  </si>
  <si>
    <t>19,28</t>
  </si>
  <si>
    <t>8,23</t>
  </si>
  <si>
    <t>10,12,19</t>
  </si>
  <si>
    <t>6,8,20,28</t>
  </si>
  <si>
    <t>5,21</t>
  </si>
  <si>
    <t>2,10,19,29</t>
  </si>
  <si>
    <t>8,19</t>
  </si>
  <si>
    <t>2,9,19,23</t>
  </si>
  <si>
    <t>2,10,12,19,23</t>
  </si>
  <si>
    <t>17,19,20,27</t>
  </si>
  <si>
    <t>16,</t>
  </si>
  <si>
    <t>13,25</t>
  </si>
  <si>
    <t>5,13,19</t>
  </si>
  <si>
    <t>17,27</t>
  </si>
  <si>
    <t>13,23</t>
  </si>
  <si>
    <t>NTC DUE TO SON WED.</t>
  </si>
  <si>
    <t>17,21,25</t>
  </si>
  <si>
    <t>5,13,21,27</t>
  </si>
  <si>
    <t>23,25</t>
  </si>
  <si>
    <t>2,16</t>
  </si>
  <si>
    <t>25,27</t>
  </si>
  <si>
    <t>2,13,17,20,27</t>
  </si>
  <si>
    <t>5,13,24,25</t>
  </si>
  <si>
    <t>20,25</t>
  </si>
  <si>
    <t>20,27</t>
  </si>
  <si>
    <t>13,20,27</t>
  </si>
  <si>
    <t>9,27,31</t>
  </si>
  <si>
    <t>7,21</t>
  </si>
  <si>
    <t>17,20</t>
  </si>
  <si>
    <t>5,19,28</t>
  </si>
  <si>
    <t>20,31</t>
  </si>
  <si>
    <t>2,19</t>
  </si>
  <si>
    <t>6,16,17,25</t>
  </si>
  <si>
    <t>2,20</t>
  </si>
  <si>
    <t>2,9,25</t>
  </si>
  <si>
    <t>2,5,20,24,27,28</t>
  </si>
  <si>
    <t>5,18,19,25</t>
  </si>
  <si>
    <t>2,9,17,20,28</t>
  </si>
  <si>
    <t>5,18</t>
  </si>
  <si>
    <t>5,28</t>
  </si>
  <si>
    <t>20,28</t>
  </si>
  <si>
    <t>1,7,10,18,21,24,27,29</t>
  </si>
  <si>
    <t>1,15.,23,30</t>
  </si>
  <si>
    <t>3,11,OUT OF TOWN</t>
  </si>
  <si>
    <t>3,11, OUT OF TOWN</t>
  </si>
  <si>
    <t>5,19</t>
  </si>
  <si>
    <t>5,19,27</t>
  </si>
  <si>
    <t>5,16,20,27</t>
  </si>
  <si>
    <t>13,19</t>
  </si>
  <si>
    <t>2,13,19,27</t>
  </si>
  <si>
    <t>9,25,OUT OF TOWN</t>
  </si>
  <si>
    <t>9,19,25</t>
  </si>
  <si>
    <t>NA</t>
  </si>
  <si>
    <t>9,19,31</t>
  </si>
  <si>
    <t xml:space="preserve">5,OUT OF TOWN </t>
  </si>
  <si>
    <t xml:space="preserve">3,9,10,NTC </t>
  </si>
  <si>
    <t>9,10,24,30</t>
  </si>
  <si>
    <t>NON</t>
  </si>
  <si>
    <t>1/0/0</t>
  </si>
  <si>
    <t xml:space="preserve">Jaipur </t>
  </si>
  <si>
    <t>6,8,11,19,26,27,29</t>
  </si>
  <si>
    <t>4,6,8,15,18</t>
  </si>
  <si>
    <t>15,21,28</t>
  </si>
  <si>
    <t>6,14,21</t>
  </si>
  <si>
    <t>8,15,28,29</t>
  </si>
  <si>
    <t>18,27</t>
  </si>
  <si>
    <t>14,28,27</t>
  </si>
  <si>
    <t>ntc,</t>
  </si>
  <si>
    <t>8,14,18</t>
  </si>
  <si>
    <t>12,18</t>
  </si>
  <si>
    <t>7,12,28</t>
  </si>
  <si>
    <t>na,25</t>
  </si>
  <si>
    <t>12,19,26</t>
  </si>
  <si>
    <t>8,19,26,29</t>
  </si>
  <si>
    <t>18,26,29</t>
  </si>
  <si>
    <t>8,15,29</t>
  </si>
  <si>
    <t>8,11,28</t>
  </si>
  <si>
    <t>6,12,19,26</t>
  </si>
  <si>
    <t>2,9,16</t>
  </si>
  <si>
    <t>4,11,15,27,29</t>
  </si>
  <si>
    <t>6,19,26</t>
  </si>
  <si>
    <t>2,9,16,23</t>
  </si>
  <si>
    <t>ntc</t>
  </si>
  <si>
    <t>4,11,21,27</t>
  </si>
  <si>
    <t>na ,25</t>
  </si>
  <si>
    <t>15,29</t>
  </si>
  <si>
    <t>4,29</t>
  </si>
  <si>
    <t>11,15</t>
  </si>
  <si>
    <t>4,15,27,29</t>
  </si>
  <si>
    <t>21,28</t>
  </si>
  <si>
    <t>12,19,27</t>
  </si>
  <si>
    <t>12,19</t>
  </si>
  <si>
    <t xml:space="preserve">na out of town </t>
  </si>
  <si>
    <t>14,26</t>
  </si>
  <si>
    <t>4,11,14,27</t>
  </si>
  <si>
    <t>11,27</t>
  </si>
  <si>
    <t>14,19</t>
  </si>
  <si>
    <t>8,15,18,19,29</t>
  </si>
  <si>
    <t>6,27</t>
  </si>
  <si>
    <t>4,11,18</t>
  </si>
  <si>
    <t>8,15</t>
  </si>
  <si>
    <t>14,21</t>
  </si>
  <si>
    <t>6,28</t>
  </si>
  <si>
    <t>8,15,21,28</t>
  </si>
  <si>
    <t>14,15,26,29</t>
  </si>
  <si>
    <t>6,11,21,29,30</t>
  </si>
  <si>
    <t>15,19,26,30</t>
  </si>
  <si>
    <t>8,19,29</t>
  </si>
  <si>
    <t>2/6/5/0/0/0)</t>
  </si>
  <si>
    <t>14,27,28</t>
  </si>
  <si>
    <t xml:space="preserve">out of town </t>
  </si>
  <si>
    <t>12.5k</t>
  </si>
  <si>
    <t>150k</t>
  </si>
  <si>
    <t>DM CARD.</t>
  </si>
  <si>
    <t xml:space="preserve">MD MBBS, NEUROLOGY </t>
  </si>
  <si>
    <t xml:space="preserve">DM ENDOCRINOLOGIST </t>
  </si>
  <si>
    <t xml:space="preserve">MCH NEUROSURGERY </t>
  </si>
  <si>
    <t>MS,MCH,CARDIOLOGY</t>
  </si>
  <si>
    <t>13,15</t>
  </si>
  <si>
    <t>9,16</t>
  </si>
  <si>
    <t>1,3,16</t>
  </si>
  <si>
    <t>1,18</t>
  </si>
  <si>
    <t>15,19</t>
  </si>
  <si>
    <t>na,13,19</t>
  </si>
  <si>
    <t>1/0/0/0</t>
  </si>
  <si>
    <t>3/4/1/0/0/0)</t>
  </si>
  <si>
    <t xml:space="preserve">LEAVE </t>
  </si>
  <si>
    <t>CILDIOS 20 TAB</t>
  </si>
  <si>
    <t xml:space="preserve">METDIOS25 </t>
  </si>
  <si>
    <t>METDIOS50</t>
  </si>
  <si>
    <t>VALROS EZ-40</t>
  </si>
  <si>
    <t xml:space="preserve">VINTEL CTC 6.25 TAB </t>
  </si>
  <si>
    <t>1,2,12,16,18,</t>
  </si>
  <si>
    <t>13,19,29</t>
  </si>
  <si>
    <t>12,18,25</t>
  </si>
  <si>
    <t>3,18,24</t>
  </si>
  <si>
    <t xml:space="preserve">12,out of town </t>
  </si>
  <si>
    <t>11,na</t>
  </si>
  <si>
    <t>4,23</t>
  </si>
  <si>
    <t>17,26</t>
  </si>
  <si>
    <t>12,22,25,29</t>
  </si>
  <si>
    <t>6,20,27</t>
  </si>
  <si>
    <t>12,18,ntc</t>
  </si>
  <si>
    <t>na,26</t>
  </si>
  <si>
    <t>16,19,ntc</t>
  </si>
  <si>
    <t>9,19,29</t>
  </si>
  <si>
    <t>15,24,29</t>
  </si>
  <si>
    <t>13,19,na</t>
  </si>
  <si>
    <t>12,22,27</t>
  </si>
  <si>
    <t>6,10,20,27</t>
  </si>
  <si>
    <t>2,13,22,29</t>
  </si>
  <si>
    <t>13,19,24</t>
  </si>
  <si>
    <t>9,13,15,22,29</t>
  </si>
  <si>
    <t>na,13,25,30</t>
  </si>
  <si>
    <t>2,25</t>
  </si>
  <si>
    <t xml:space="preserve">NAMAN N TANEJA </t>
  </si>
  <si>
    <t xml:space="preserve">NEHA SHARMA </t>
  </si>
  <si>
    <t>2,ntc</t>
  </si>
  <si>
    <t>1,24</t>
  </si>
  <si>
    <t>6,10,27</t>
  </si>
  <si>
    <t>9,12,22</t>
  </si>
  <si>
    <t>12,15,18,29</t>
  </si>
  <si>
    <t xml:space="preserve">RAKESH MEENA </t>
  </si>
  <si>
    <t>12,19,24</t>
  </si>
  <si>
    <t>13,19,20,27</t>
  </si>
  <si>
    <t>22,25</t>
  </si>
  <si>
    <t>na,13,24</t>
  </si>
  <si>
    <t>1,15,22,25,29</t>
  </si>
  <si>
    <t>2,9,24</t>
  </si>
  <si>
    <t>19,20,27</t>
  </si>
  <si>
    <t>na,16,18,19,29</t>
  </si>
  <si>
    <t>10,20,27,</t>
  </si>
  <si>
    <t>MONA DHINGRA</t>
  </si>
  <si>
    <t>OM PRAKASH RANAWAT</t>
  </si>
  <si>
    <t>GURUSIKHA SALVI</t>
  </si>
  <si>
    <t>nilesh archarta</t>
  </si>
  <si>
    <t>kanti lal sharma</t>
  </si>
  <si>
    <t xml:space="preserve">BHERU PRASAD </t>
  </si>
  <si>
    <t>RAVIRAJ SINGH AHADA</t>
  </si>
  <si>
    <t>SANJAY GANDHI</t>
  </si>
  <si>
    <t>DONE</t>
  </si>
  <si>
    <t>Done</t>
  </si>
  <si>
    <t xml:space="preserve">Rajsamand </t>
  </si>
  <si>
    <t xml:space="preserve">CHITTORGARH </t>
  </si>
  <si>
    <t xml:space="preserve">Udaipur </t>
  </si>
  <si>
    <t xml:space="preserve">udaipur </t>
  </si>
  <si>
    <t>1/1/0/0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</si>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</sst>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-0.00"/>
    <numFmt numFmtId="165" formatCode="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8"/>
      <color theme="9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10"/>
      <color theme="1"/>
      <name val="Times New Roman"/>
      <family val="1"/>
    </font>
    <font>
      <sz val="10"/>
      <color indexed="8"/>
      <name val="Times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rgb="FF00B0F0"/>
      <name val="Arial"/>
      <family val="2"/>
    </font>
    <font>
      <b/>
      <sz val="18"/>
      <color theme="7" tint="-0.249977111117893"/>
      <name val="Arial"/>
      <family val="2"/>
    </font>
    <font>
      <sz val="16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9" tint="-0.499984740745262"/>
      <name val="Arial"/>
      <family val="2"/>
    </font>
    <font>
      <sz val="10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8C3EB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4" fillId="0" borderId="56">
      <alignment horizontal="left"/>
    </xf>
    <xf numFmtId="0" fontId="24" fillId="0" borderId="56">
      <alignment horizontal="left"/>
    </xf>
    <xf numFmtId="0" fontId="24" fillId="0" borderId="56">
      <alignment horizontal="left"/>
    </xf>
    <xf numFmtId="0" fontId="24" fillId="0" borderId="56">
      <alignment horizontal="left"/>
    </xf>
    <xf numFmtId="0" fontId="24" fillId="0" borderId="56">
      <alignment horizontal="left"/>
    </xf>
  </cellStyleXfs>
  <cellXfs count="270">
    <xf numFmtId="0" fontId="0" fillId="0" borderId="0" xfId="0"/>
    <xf numFmtId="0" fontId="4" fillId="0" borderId="10" xfId="0" applyFont="1" applyBorder="1"/>
    <xf numFmtId="0" fontId="4" fillId="0" borderId="11" xfId="0" applyFont="1" applyBorder="1"/>
    <xf numFmtId="0" fontId="4" fillId="0" borderId="11" xfId="2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1" fontId="4" fillId="0" borderId="14" xfId="0" applyNumberFormat="1" applyFont="1" applyBorder="1"/>
    <xf numFmtId="1" fontId="4" fillId="0" borderId="15" xfId="0" applyNumberFormat="1" applyFont="1" applyBorder="1"/>
    <xf numFmtId="14" fontId="4" fillId="0" borderId="14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0" xfId="0" applyFont="1"/>
    <xf numFmtId="0" fontId="7" fillId="0" borderId="24" xfId="0" applyFont="1" applyBorder="1"/>
    <xf numFmtId="0" fontId="7" fillId="0" borderId="25" xfId="0" applyFont="1" applyBorder="1"/>
    <xf numFmtId="0" fontId="7" fillId="0" borderId="25" xfId="2" applyFont="1" applyBorder="1" applyAlignment="1">
      <alignment horizontal="center" vertical="center" wrapText="1"/>
    </xf>
    <xf numFmtId="0" fontId="7" fillId="0" borderId="26" xfId="0" applyFont="1" applyBorder="1"/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4" fillId="0" borderId="27" xfId="0" applyFont="1" applyBorder="1"/>
    <xf numFmtId="0" fontId="4" fillId="0" borderId="27" xfId="0" applyFont="1" applyBorder="1" applyAlignment="1">
      <alignment horizontal="center"/>
    </xf>
    <xf numFmtId="0" fontId="4" fillId="0" borderId="28" xfId="0" applyFont="1" applyBorder="1"/>
    <xf numFmtId="0" fontId="3" fillId="3" borderId="30" xfId="0" applyFont="1" applyFill="1" applyBorder="1" applyAlignment="1">
      <alignment horizontal="center"/>
    </xf>
    <xf numFmtId="0" fontId="4" fillId="0" borderId="35" xfId="0" applyFont="1" applyBorder="1"/>
    <xf numFmtId="0" fontId="4" fillId="0" borderId="34" xfId="0" applyFont="1" applyBorder="1"/>
    <xf numFmtId="0" fontId="12" fillId="0" borderId="41" xfId="2" applyFont="1" applyBorder="1" applyAlignment="1">
      <alignment horizontal="center"/>
    </xf>
    <xf numFmtId="0" fontId="11" fillId="0" borderId="14" xfId="2" applyFont="1" applyBorder="1"/>
    <xf numFmtId="0" fontId="4" fillId="0" borderId="14" xfId="2" applyFont="1" applyBorder="1" applyAlignment="1">
      <alignment horizontal="center"/>
    </xf>
    <xf numFmtId="0" fontId="0" fillId="0" borderId="14" xfId="0" applyBorder="1"/>
    <xf numFmtId="0" fontId="12" fillId="9" borderId="17" xfId="2" applyFont="1" applyFill="1" applyBorder="1" applyAlignment="1">
      <alignment horizontal="center"/>
    </xf>
    <xf numFmtId="0" fontId="12" fillId="6" borderId="39" xfId="2" applyFont="1" applyFill="1" applyBorder="1" applyAlignment="1">
      <alignment horizontal="center"/>
    </xf>
    <xf numFmtId="0" fontId="12" fillId="8" borderId="18" xfId="2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1" fillId="0" borderId="13" xfId="2" applyFont="1" applyBorder="1"/>
    <xf numFmtId="0" fontId="4" fillId="0" borderId="13" xfId="0" applyFont="1" applyBorder="1" applyAlignment="1">
      <alignment horizontal="center"/>
    </xf>
    <xf numFmtId="0" fontId="4" fillId="0" borderId="39" xfId="0" applyFont="1" applyBorder="1"/>
    <xf numFmtId="0" fontId="4" fillId="0" borderId="13" xfId="2" applyFont="1" applyBorder="1" applyAlignment="1">
      <alignment horizontal="center"/>
    </xf>
    <xf numFmtId="0" fontId="0" fillId="0" borderId="13" xfId="0" applyBorder="1"/>
    <xf numFmtId="0" fontId="4" fillId="0" borderId="15" xfId="1" applyFont="1" applyFill="1" applyBorder="1" applyAlignment="1">
      <alignment horizontal="center"/>
    </xf>
    <xf numFmtId="0" fontId="4" fillId="0" borderId="15" xfId="5" applyFont="1" applyBorder="1" applyAlignment="1">
      <alignment horizontal="center"/>
    </xf>
    <xf numFmtId="0" fontId="4" fillId="0" borderId="15" xfId="2" applyFont="1" applyBorder="1" applyAlignment="1">
      <alignment horizontal="center"/>
    </xf>
    <xf numFmtId="0" fontId="7" fillId="0" borderId="4" xfId="0" applyFont="1" applyBorder="1"/>
    <xf numFmtId="0" fontId="7" fillId="0" borderId="40" xfId="0" applyFont="1" applyBorder="1"/>
    <xf numFmtId="0" fontId="4" fillId="0" borderId="5" xfId="0" applyFont="1" applyBorder="1"/>
    <xf numFmtId="0" fontId="4" fillId="0" borderId="36" xfId="0" applyFont="1" applyBorder="1"/>
    <xf numFmtId="17" fontId="4" fillId="0" borderId="14" xfId="0" applyNumberFormat="1" applyFont="1" applyBorder="1"/>
    <xf numFmtId="0" fontId="7" fillId="0" borderId="38" xfId="0" applyFont="1" applyBorder="1"/>
    <xf numFmtId="0" fontId="7" fillId="0" borderId="37" xfId="0" applyFont="1" applyBorder="1"/>
    <xf numFmtId="0" fontId="7" fillId="0" borderId="51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0" xfId="0" applyFont="1"/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0" borderId="16" xfId="0" applyFont="1" applyBorder="1"/>
    <xf numFmtId="0" fontId="7" fillId="0" borderId="27" xfId="0" applyFont="1" applyBorder="1"/>
    <xf numFmtId="0" fontId="7" fillId="0" borderId="28" xfId="0" applyFont="1" applyBorder="1"/>
    <xf numFmtId="0" fontId="12" fillId="6" borderId="14" xfId="2" applyFont="1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48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5" fillId="12" borderId="0" xfId="6" applyFont="1" applyFill="1"/>
    <xf numFmtId="0" fontId="14" fillId="13" borderId="14" xfId="7" applyFont="1" applyFill="1" applyBorder="1"/>
    <xf numFmtId="0" fontId="13" fillId="0" borderId="14" xfId="7" applyBorder="1"/>
    <xf numFmtId="0" fontId="13" fillId="14" borderId="14" xfId="8" applyFill="1" applyBorder="1"/>
    <xf numFmtId="0" fontId="14" fillId="14" borderId="14" xfId="8" applyFont="1" applyFill="1" applyBorder="1"/>
    <xf numFmtId="0" fontId="13" fillId="0" borderId="14" xfId="8" applyBorder="1"/>
    <xf numFmtId="0" fontId="13" fillId="15" borderId="14" xfId="7" applyFill="1" applyBorder="1"/>
    <xf numFmtId="0" fontId="14" fillId="15" borderId="14" xfId="7" applyFont="1" applyFill="1" applyBorder="1"/>
    <xf numFmtId="0" fontId="13" fillId="16" borderId="14" xfId="7" applyFill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14" xfId="0" applyFill="1" applyBorder="1"/>
    <xf numFmtId="0" fontId="13" fillId="4" borderId="14" xfId="7" applyFill="1" applyBorder="1"/>
    <xf numFmtId="0" fontId="14" fillId="4" borderId="14" xfId="7" applyFont="1" applyFill="1" applyBorder="1"/>
    <xf numFmtId="0" fontId="7" fillId="4" borderId="14" xfId="0" applyFont="1" applyFill="1" applyBorder="1"/>
    <xf numFmtId="0" fontId="0" fillId="4" borderId="0" xfId="0" applyFill="1"/>
    <xf numFmtId="0" fontId="7" fillId="17" borderId="27" xfId="0" applyFont="1" applyFill="1" applyBorder="1"/>
    <xf numFmtId="49" fontId="9" fillId="0" borderId="14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horizontal="right" vertical="center"/>
    </xf>
    <xf numFmtId="0" fontId="13" fillId="0" borderId="53" xfId="7" applyBorder="1" applyAlignment="1">
      <alignment horizontal="center"/>
    </xf>
    <xf numFmtId="0" fontId="14" fillId="0" borderId="14" xfId="7" applyFont="1" applyBorder="1"/>
    <xf numFmtId="0" fontId="13" fillId="0" borderId="0" xfId="7" applyAlignment="1">
      <alignment horizontal="center"/>
    </xf>
    <xf numFmtId="0" fontId="14" fillId="15" borderId="41" xfId="7" applyFont="1" applyFill="1" applyBorder="1"/>
    <xf numFmtId="0" fontId="0" fillId="20" borderId="17" xfId="0" applyFill="1" applyBorder="1"/>
    <xf numFmtId="0" fontId="9" fillId="0" borderId="14" xfId="3" applyFont="1" applyBorder="1" applyAlignment="1">
      <alignment horizontal="center" vertical="center"/>
    </xf>
    <xf numFmtId="49" fontId="9" fillId="0" borderId="14" xfId="3" applyNumberFormat="1" applyFont="1" applyBorder="1" applyAlignment="1">
      <alignment horizontal="left" vertical="center"/>
    </xf>
    <xf numFmtId="1" fontId="4" fillId="0" borderId="41" xfId="0" applyNumberFormat="1" applyFont="1" applyBorder="1" applyAlignment="1">
      <alignment horizontal="center"/>
    </xf>
    <xf numFmtId="0" fontId="14" fillId="3" borderId="14" xfId="7" applyFont="1" applyFill="1" applyBorder="1" applyAlignment="1">
      <alignment wrapText="1"/>
    </xf>
    <xf numFmtId="0" fontId="14" fillId="21" borderId="14" xfId="7" applyFont="1" applyFill="1" applyBorder="1"/>
    <xf numFmtId="0" fontId="0" fillId="0" borderId="35" xfId="0" applyBorder="1"/>
    <xf numFmtId="0" fontId="20" fillId="0" borderId="30" xfId="0" applyFont="1" applyBorder="1"/>
    <xf numFmtId="0" fontId="20" fillId="0" borderId="32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3" xfId="0" applyFont="1" applyBorder="1"/>
    <xf numFmtId="0" fontId="13" fillId="0" borderId="14" xfId="0" applyFont="1" applyBorder="1"/>
    <xf numFmtId="0" fontId="21" fillId="0" borderId="14" xfId="0" applyFont="1" applyBorder="1"/>
    <xf numFmtId="164" fontId="10" fillId="0" borderId="53" xfId="4" applyNumberFormat="1" applyFont="1" applyBorder="1" applyAlignment="1">
      <alignment horizontal="right" vertical="center"/>
    </xf>
    <xf numFmtId="164" fontId="10" fillId="0" borderId="52" xfId="4" applyNumberFormat="1" applyFont="1" applyBorder="1" applyAlignment="1">
      <alignment horizontal="right" vertical="center"/>
    </xf>
    <xf numFmtId="164" fontId="10" fillId="0" borderId="7" xfId="4" applyNumberFormat="1" applyFont="1" applyBorder="1" applyAlignment="1">
      <alignment horizontal="right" vertical="center"/>
    </xf>
    <xf numFmtId="0" fontId="7" fillId="4" borderId="46" xfId="0" applyFont="1" applyFill="1" applyBorder="1"/>
    <xf numFmtId="0" fontId="0" fillId="0" borderId="46" xfId="0" applyBorder="1"/>
    <xf numFmtId="0" fontId="3" fillId="3" borderId="29" xfId="0" applyFont="1" applyFill="1" applyBorder="1"/>
    <xf numFmtId="0" fontId="12" fillId="5" borderId="7" xfId="2" applyFont="1" applyFill="1" applyBorder="1" applyAlignment="1">
      <alignment horizontal="center"/>
    </xf>
    <xf numFmtId="0" fontId="23" fillId="0" borderId="14" xfId="0" applyFont="1" applyBorder="1"/>
    <xf numFmtId="165" fontId="23" fillId="0" borderId="14" xfId="0" applyNumberFormat="1" applyFont="1" applyBorder="1"/>
    <xf numFmtId="0" fontId="24" fillId="4" borderId="14" xfId="9" applyFill="1" applyBorder="1">
      <alignment horizontal="left"/>
    </xf>
    <xf numFmtId="0" fontId="26" fillId="22" borderId="3" xfId="0" applyFont="1" applyFill="1" applyBorder="1" applyAlignment="1">
      <alignment horizontal="left" wrapText="1"/>
    </xf>
    <xf numFmtId="0" fontId="26" fillId="22" borderId="57" xfId="0" applyFont="1" applyFill="1" applyBorder="1" applyAlignment="1">
      <alignment horizontal="left" wrapText="1"/>
    </xf>
    <xf numFmtId="0" fontId="26" fillId="22" borderId="4" xfId="0" applyFont="1" applyFill="1" applyBorder="1" applyAlignment="1">
      <alignment horizontal="left" wrapText="1"/>
    </xf>
    <xf numFmtId="0" fontId="24" fillId="4" borderId="10" xfId="10" applyFill="1" applyBorder="1">
      <alignment horizontal="left"/>
    </xf>
    <xf numFmtId="0" fontId="24" fillId="3" borderId="11" xfId="9" applyFill="1" applyBorder="1">
      <alignment horizontal="left"/>
    </xf>
    <xf numFmtId="0" fontId="24" fillId="4" borderId="11" xfId="9" applyFill="1" applyBorder="1">
      <alignment horizontal="left"/>
    </xf>
    <xf numFmtId="0" fontId="24" fillId="4" borderId="11" xfId="11" applyFill="1" applyBorder="1">
      <alignment horizontal="left"/>
    </xf>
    <xf numFmtId="0" fontId="24" fillId="4" borderId="11" xfId="12" applyFill="1" applyBorder="1">
      <alignment horizontal="left"/>
    </xf>
    <xf numFmtId="0" fontId="24" fillId="4" borderId="11" xfId="13" applyFill="1" applyBorder="1">
      <alignment horizontal="left"/>
    </xf>
    <xf numFmtId="0" fontId="0" fillId="4" borderId="11" xfId="0" applyFill="1" applyBorder="1"/>
    <xf numFmtId="0" fontId="0" fillId="4" borderId="12" xfId="0" applyFill="1" applyBorder="1"/>
    <xf numFmtId="0" fontId="24" fillId="4" borderId="13" xfId="10" applyFill="1" applyBorder="1">
      <alignment horizontal="left"/>
    </xf>
    <xf numFmtId="0" fontId="24" fillId="3" borderId="14" xfId="9" applyFill="1" applyBorder="1">
      <alignment horizontal="left"/>
    </xf>
    <xf numFmtId="0" fontId="24" fillId="4" borderId="14" xfId="11" applyFill="1" applyBorder="1">
      <alignment horizontal="left"/>
    </xf>
    <xf numFmtId="0" fontId="24" fillId="4" borderId="14" xfId="12" applyFill="1" applyBorder="1">
      <alignment horizontal="left"/>
    </xf>
    <xf numFmtId="0" fontId="24" fillId="4" borderId="14" xfId="13" applyFill="1" applyBorder="1">
      <alignment horizontal="left"/>
    </xf>
    <xf numFmtId="0" fontId="0" fillId="4" borderId="15" xfId="0" applyFill="1" applyBorder="1"/>
    <xf numFmtId="0" fontId="24" fillId="4" borderId="16" xfId="10" applyFill="1" applyBorder="1">
      <alignment horizontal="left"/>
    </xf>
    <xf numFmtId="0" fontId="24" fillId="4" borderId="27" xfId="9" applyFill="1" applyBorder="1">
      <alignment horizontal="left"/>
    </xf>
    <xf numFmtId="0" fontId="24" fillId="4" borderId="27" xfId="11" applyFill="1" applyBorder="1">
      <alignment horizontal="left"/>
    </xf>
    <xf numFmtId="0" fontId="24" fillId="4" borderId="27" xfId="12" applyFill="1" applyBorder="1">
      <alignment horizontal="left"/>
    </xf>
    <xf numFmtId="0" fontId="24" fillId="4" borderId="27" xfId="13" applyFill="1" applyBorder="1">
      <alignment horizontal="left"/>
    </xf>
    <xf numFmtId="0" fontId="0" fillId="4" borderId="27" xfId="0" applyFill="1" applyBorder="1"/>
    <xf numFmtId="0" fontId="0" fillId="4" borderId="28" xfId="0" applyFill="1" applyBorder="1"/>
    <xf numFmtId="0" fontId="27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2" fontId="27" fillId="0" borderId="14" xfId="0" applyNumberFormat="1" applyFont="1" applyBorder="1" applyAlignment="1">
      <alignment horizontal="center"/>
    </xf>
    <xf numFmtId="17" fontId="30" fillId="0" borderId="58" xfId="0" applyNumberFormat="1" applyFont="1" applyBorder="1"/>
    <xf numFmtId="16" fontId="29" fillId="0" borderId="58" xfId="0" applyNumberFormat="1" applyFont="1" applyBorder="1"/>
    <xf numFmtId="17" fontId="29" fillId="0" borderId="58" xfId="0" applyNumberFormat="1" applyFont="1" applyBorder="1"/>
    <xf numFmtId="17" fontId="30" fillId="0" borderId="14" xfId="0" applyNumberFormat="1" applyFont="1" applyBorder="1"/>
    <xf numFmtId="16" fontId="29" fillId="0" borderId="14" xfId="0" applyNumberFormat="1" applyFont="1" applyBorder="1"/>
    <xf numFmtId="17" fontId="29" fillId="0" borderId="14" xfId="0" applyNumberFormat="1" applyFont="1" applyBorder="1"/>
    <xf numFmtId="0" fontId="33" fillId="23" borderId="14" xfId="0" applyFont="1" applyFill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17" fontId="33" fillId="0" borderId="14" xfId="0" applyNumberFormat="1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 wrapText="1"/>
    </xf>
    <xf numFmtId="3" fontId="33" fillId="23" borderId="14" xfId="0" applyNumberFormat="1" applyFont="1" applyFill="1" applyBorder="1" applyAlignment="1">
      <alignment horizontal="left" vertical="center"/>
    </xf>
    <xf numFmtId="0" fontId="34" fillId="24" borderId="59" xfId="0" applyFont="1" applyFill="1" applyBorder="1" applyAlignment="1">
      <alignment horizontal="left" vertical="center"/>
    </xf>
    <xf numFmtId="0" fontId="34" fillId="24" borderId="60" xfId="0" applyFont="1" applyFill="1" applyBorder="1" applyAlignment="1">
      <alignment horizontal="left" vertical="center"/>
    </xf>
    <xf numFmtId="0" fontId="13" fillId="25" borderId="46" xfId="0" applyFont="1" applyFill="1" applyBorder="1" applyAlignment="1">
      <alignment horizontal="center" vertical="center"/>
    </xf>
    <xf numFmtId="16" fontId="0" fillId="0" borderId="12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26" borderId="0" xfId="0" applyFill="1"/>
    <xf numFmtId="16" fontId="13" fillId="0" borderId="14" xfId="8" applyNumberFormat="1" applyBorder="1"/>
    <xf numFmtId="164" fontId="10" fillId="0" borderId="46" xfId="4" applyNumberFormat="1" applyFont="1" applyBorder="1" applyAlignment="1">
      <alignment horizontal="right" vertical="center"/>
    </xf>
    <xf numFmtId="3" fontId="0" fillId="4" borderId="11" xfId="0" applyNumberFormat="1" applyFill="1" applyBorder="1"/>
    <xf numFmtId="0" fontId="13" fillId="4" borderId="3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17" fontId="4" fillId="0" borderId="58" xfId="0" applyNumberFormat="1" applyFont="1" applyBorder="1"/>
    <xf numFmtId="0" fontId="4" fillId="0" borderId="58" xfId="0" applyFont="1" applyBorder="1"/>
    <xf numFmtId="0" fontId="30" fillId="0" borderId="14" xfId="0" applyFont="1" applyBorder="1"/>
    <xf numFmtId="16" fontId="4" fillId="0" borderId="14" xfId="0" applyNumberFormat="1" applyFont="1" applyBorder="1"/>
    <xf numFmtId="0" fontId="16" fillId="3" borderId="30" xfId="0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/>
    </xf>
    <xf numFmtId="0" fontId="16" fillId="3" borderId="31" xfId="0" applyFont="1" applyFill="1" applyBorder="1" applyAlignment="1">
      <alignment horizontal="center"/>
    </xf>
    <xf numFmtId="0" fontId="16" fillId="3" borderId="33" xfId="0" applyFont="1" applyFill="1" applyBorder="1" applyAlignment="1">
      <alignment horizontal="center"/>
    </xf>
    <xf numFmtId="0" fontId="14" fillId="13" borderId="45" xfId="7" applyFont="1" applyFill="1" applyBorder="1" applyAlignment="1">
      <alignment horizontal="center"/>
    </xf>
    <xf numFmtId="0" fontId="14" fillId="13" borderId="52" xfId="7" applyFont="1" applyFill="1" applyBorder="1" applyAlignment="1">
      <alignment horizontal="center"/>
    </xf>
    <xf numFmtId="0" fontId="14" fillId="13" borderId="46" xfId="7" applyFont="1" applyFill="1" applyBorder="1" applyAlignment="1">
      <alignment horizontal="center"/>
    </xf>
    <xf numFmtId="0" fontId="22" fillId="3" borderId="1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6" fillId="11" borderId="3" xfId="0" applyFont="1" applyFill="1" applyBorder="1" applyAlignment="1">
      <alignment horizontal="center" wrapText="1"/>
    </xf>
    <xf numFmtId="0" fontId="6" fillId="11" borderId="4" xfId="0" applyFont="1" applyFill="1" applyBorder="1" applyAlignment="1">
      <alignment horizontal="center" wrapText="1"/>
    </xf>
    <xf numFmtId="0" fontId="6" fillId="11" borderId="5" xfId="0" applyFont="1" applyFill="1" applyBorder="1" applyAlignment="1">
      <alignment horizontal="center" wrapText="1"/>
    </xf>
    <xf numFmtId="0" fontId="6" fillId="11" borderId="21" xfId="0" applyFont="1" applyFill="1" applyBorder="1" applyAlignment="1">
      <alignment horizontal="center" wrapText="1"/>
    </xf>
    <xf numFmtId="0" fontId="6" fillId="11" borderId="22" xfId="0" applyFont="1" applyFill="1" applyBorder="1" applyAlignment="1">
      <alignment horizontal="center" wrapText="1"/>
    </xf>
    <xf numFmtId="0" fontId="6" fillId="11" borderId="23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8" fillId="3" borderId="24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12" fillId="0" borderId="1" xfId="2" applyFont="1" applyBorder="1" applyAlignment="1">
      <alignment horizontal="center" wrapText="1"/>
    </xf>
    <xf numFmtId="0" fontId="12" fillId="0" borderId="2" xfId="2" applyFont="1" applyBorder="1" applyAlignment="1">
      <alignment horizontal="center" wrapText="1"/>
    </xf>
    <xf numFmtId="0" fontId="12" fillId="0" borderId="19" xfId="2" applyFont="1" applyBorder="1" applyAlignment="1">
      <alignment horizontal="center" wrapText="1"/>
    </xf>
    <xf numFmtId="0" fontId="17" fillId="19" borderId="14" xfId="0" applyFont="1" applyFill="1" applyBorder="1" applyAlignment="1">
      <alignment horizontal="left"/>
    </xf>
    <xf numFmtId="0" fontId="17" fillId="19" borderId="17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14" fillId="13" borderId="41" xfId="7" applyFont="1" applyFill="1" applyBorder="1" applyAlignment="1">
      <alignment horizontal="center"/>
    </xf>
    <xf numFmtId="0" fontId="14" fillId="14" borderId="41" xfId="8" applyFont="1" applyFill="1" applyBorder="1" applyAlignment="1">
      <alignment horizontal="center"/>
    </xf>
    <xf numFmtId="0" fontId="14" fillId="14" borderId="52" xfId="8" applyFont="1" applyFill="1" applyBorder="1" applyAlignment="1">
      <alignment horizontal="center"/>
    </xf>
    <xf numFmtId="0" fontId="14" fillId="14" borderId="46" xfId="8" applyFont="1" applyFill="1" applyBorder="1" applyAlignment="1">
      <alignment horizontal="center"/>
    </xf>
    <xf numFmtId="0" fontId="13" fillId="14" borderId="41" xfId="8" applyFill="1" applyBorder="1" applyAlignment="1">
      <alignment horizontal="center"/>
    </xf>
    <xf numFmtId="0" fontId="13" fillId="14" borderId="46" xfId="8" applyFill="1" applyBorder="1" applyAlignment="1">
      <alignment horizontal="center"/>
    </xf>
    <xf numFmtId="0" fontId="14" fillId="18" borderId="53" xfId="8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13" fillId="0" borderId="41" xfId="8" applyBorder="1" applyAlignment="1">
      <alignment horizontal="center"/>
    </xf>
    <xf numFmtId="0" fontId="13" fillId="0" borderId="46" xfId="8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18" fillId="13" borderId="55" xfId="7" applyFont="1" applyFill="1" applyBorder="1" applyAlignment="1">
      <alignment horizontal="center"/>
    </xf>
    <xf numFmtId="0" fontId="18" fillId="13" borderId="53" xfId="7" applyFont="1" applyFill="1" applyBorder="1" applyAlignment="1">
      <alignment horizontal="center"/>
    </xf>
    <xf numFmtId="0" fontId="19" fillId="13" borderId="55" xfId="7" applyFont="1" applyFill="1" applyBorder="1" applyAlignment="1">
      <alignment horizontal="center"/>
    </xf>
    <xf numFmtId="0" fontId="19" fillId="13" borderId="53" xfId="7" applyFont="1" applyFill="1" applyBorder="1" applyAlignment="1">
      <alignment horizontal="center"/>
    </xf>
    <xf numFmtId="0" fontId="13" fillId="0" borderId="53" xfId="7" applyBorder="1" applyAlignment="1">
      <alignment horizontal="center"/>
    </xf>
    <xf numFmtId="0" fontId="13" fillId="16" borderId="17" xfId="7" applyFill="1" applyBorder="1" applyAlignment="1">
      <alignment horizontal="center"/>
    </xf>
    <xf numFmtId="0" fontId="13" fillId="16" borderId="35" xfId="7" applyFill="1" applyBorder="1" applyAlignment="1">
      <alignment horizontal="center"/>
    </xf>
    <xf numFmtId="17" fontId="7" fillId="10" borderId="44" xfId="0" applyNumberFormat="1" applyFont="1" applyFill="1" applyBorder="1" applyAlignment="1">
      <alignment horizontal="center"/>
    </xf>
    <xf numFmtId="0" fontId="7" fillId="10" borderId="47" xfId="0" applyFont="1" applyFill="1" applyBorder="1" applyAlignment="1">
      <alignment horizontal="center"/>
    </xf>
    <xf numFmtId="0" fontId="7" fillId="10" borderId="24" xfId="0" applyFont="1" applyFill="1" applyBorder="1" applyAlignment="1">
      <alignment horizontal="center"/>
    </xf>
    <xf numFmtId="0" fontId="7" fillId="10" borderId="38" xfId="0" applyFont="1" applyFill="1" applyBorder="1" applyAlignment="1">
      <alignment horizontal="center"/>
    </xf>
    <xf numFmtId="0" fontId="7" fillId="10" borderId="25" xfId="0" applyFont="1" applyFill="1" applyBorder="1" applyAlignment="1">
      <alignment horizontal="center"/>
    </xf>
    <xf numFmtId="0" fontId="7" fillId="10" borderId="3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7" fillId="10" borderId="44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</cellXfs>
  <cellStyles count="14">
    <cellStyle name="Bad" xfId="1" builtinId="27"/>
    <cellStyle name="grid_1873860090_1column1" xfId="10" xr:uid="{01FECEB7-FD7F-4DEF-AC1D-619786C11822}"/>
    <cellStyle name="grid_1873860090_1column12" xfId="11" xr:uid="{4A383B1E-318D-4C07-9749-652F654160EE}"/>
    <cellStyle name="grid_1873860090_1column18" xfId="12" xr:uid="{9BA24C43-958A-484E-8C91-3B6ACC1BA366}"/>
    <cellStyle name="grid_1873860090_1column19" xfId="13" xr:uid="{54956251-6F7D-4FCF-B596-4CC55F6C154E}"/>
    <cellStyle name="grid_1873860090_1column8" xfId="9" xr:uid="{3FE5604C-6EFC-40C8-8957-07D49EA66A00}"/>
    <cellStyle name="Normal" xfId="0" builtinId="0"/>
    <cellStyle name="Normal 15" xfId="3" xr:uid="{00000000-0005-0000-0000-000002000000}"/>
    <cellStyle name="Normal 17" xfId="4" xr:uid="{00000000-0005-0000-0000-000003000000}"/>
    <cellStyle name="Normal 18" xfId="6" xr:uid="{00000000-0005-0000-0000-000004000000}"/>
    <cellStyle name="Normal 2 2 2" xfId="5" xr:uid="{00000000-0005-0000-0000-000005000000}"/>
    <cellStyle name="Normal 22" xfId="8" xr:uid="{00000000-0005-0000-0000-000006000000}"/>
    <cellStyle name="Normal 23" xfId="7" xr:uid="{00000000-0005-0000-0000-000007000000}"/>
    <cellStyle name="Normal_Sheet1" xfId="2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microsoft.com/office/2017/10/relationships/person" Target="persons/perso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hnarawatno1@gmail.com" id="{FEB5A154-9C88-5F4E-950D-B9EE0F4EB23E}" userId="62b8eb6c181fd3c8" providerId="Windows Live"/>
  <person displayName="Avinash Soni" id="{8B210ED5-2DCD-437D-A6FE-3A0E4D391278}" userId="df323801f0605c1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6-05-02T04:54:14.49" personId="{FEB5A154-9C88-5F4E-950D-B9EE0F4EB23E}" id="{90131A5A-9DE8-DE4C-BD6A-7C87EA1D171D}">
    <text xml:space="preserve">DOB 
AMEET MEHTA 
ABHIJEET BASU SON
DOA 
SANDEEP.BHATNAGAR 
LALIT SHRIMALI 
ABHIJEET BASU 
VINOD K RAI </text>
  </threadedComment>
  <threadedComment ref="D14" dT="2026-06-01T12:07:58.11" personId="{FEB5A154-9C88-5F4E-950D-B9EE0F4EB23E}" id="{3EA1198E-5E58-AB46-AFDF-68140BD57D9F}">
    <text xml:space="preserve">camp
abhay jain
baldev meena 
dob
gk mukhiya 
bipin chandra 
dc sharma 
hitesh Yadav 
rk malot 
Safdar hussain 
doa
ameet mehta
kn das
yn verma 
vinod bokadiya 
danny
</text>
  </threadedComment>
  <threadedComment ref="E14" dT="2026-07-01T08:58:45.45" personId="{FEB5A154-9C88-5F4E-950D-B9EE0F4EB23E}" id="{28865ED0-4D83-9F40-BBE3-E80A71B006E4}">
    <text xml:space="preserve">CAMP
DR ABHAY JAIN
DR BALDEV MEENA 
DR MONA DHINGRA 
DOB
DR VINOD MEHTA 
DR JAYESH GANDHI 
DR PRASHANT BADJATIYA 
DR VINOD MEHTA 
DOA 
DR GOURAV K MITTAL </text>
  </threadedComment>
  <threadedComment ref="D15" dT="2026-06-01T12:08:20.84" personId="{FEB5A154-9C88-5F4E-950D-B9EE0F4EB23E}" id="{0D8E21A0-3886-6342-935A-ADFA29EF54B8}">
    <text xml:space="preserve">dr Mayank Sharma </text>
  </threadedComment>
  <threadedComment ref="E15" dT="2026-07-01T09:19:34.98" personId="{FEB5A154-9C88-5F4E-950D-B9EE0F4EB23E}" id="{AF0A4933-2797-434A-9081-B51DAFDC66BA}">
    <text xml:space="preserve">dr Kripa shankar PREMYLLIN m sr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5" dT="2026-05-02T04:59:14.52" personId="{FEB5A154-9C88-5F4E-950D-B9EE0F4EB23E}" id="{A4B5F16B-7A32-1B40-93D8-7A1E506E4186}">
    <text xml:space="preserve">DR AMEET MEHTA SIR TAXI AT AHMEDABAD </text>
  </threadedComment>
  <threadedComment ref="D15" dT="2026-06-05T05:59:37.96" personId="{8B210ED5-2DCD-437D-A6FE-3A0E4D391278}" id="{F2344F7B-C59D-4BDD-9DAF-19AC501D4DC7}">
    <text>Dr dc confer.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 /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B1" workbookViewId="0">
      <selection activeCell="F13" sqref="F13"/>
    </sheetView>
  </sheetViews>
  <sheetFormatPr defaultRowHeight="15" x14ac:dyDescent="0.2"/>
  <cols>
    <col min="2" max="2" width="54.61328125" bestFit="1" customWidth="1"/>
  </cols>
  <sheetData>
    <row r="1" spans="1:15" x14ac:dyDescent="0.2">
      <c r="A1" s="201" t="s">
        <v>89</v>
      </c>
      <c r="B1" s="202"/>
      <c r="C1" s="203" t="s">
        <v>0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15.75" thickBot="1" x14ac:dyDescent="0.25">
      <c r="A2" s="209" t="s">
        <v>1</v>
      </c>
      <c r="B2" s="210"/>
      <c r="C2" s="206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</row>
    <row r="3" spans="1:15" x14ac:dyDescent="0.2">
      <c r="A3" s="120" t="s">
        <v>2</v>
      </c>
      <c r="B3" s="121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4" t="s">
        <v>16</v>
      </c>
    </row>
    <row r="4" spans="1:15" x14ac:dyDescent="0.2">
      <c r="A4" s="122">
        <v>1</v>
      </c>
      <c r="B4" s="123" t="s">
        <v>17</v>
      </c>
      <c r="C4" s="6">
        <v>30</v>
      </c>
      <c r="D4" s="6">
        <v>31</v>
      </c>
      <c r="E4" s="6">
        <v>30</v>
      </c>
      <c r="F4" s="6">
        <v>31</v>
      </c>
      <c r="G4" s="6"/>
      <c r="H4" s="6"/>
      <c r="I4" s="6"/>
      <c r="J4" s="6"/>
      <c r="K4" s="6"/>
      <c r="L4" s="6"/>
      <c r="M4" s="6"/>
      <c r="N4" s="6"/>
      <c r="O4" s="7">
        <f>SUM(C4:N4)</f>
        <v>122</v>
      </c>
    </row>
    <row r="5" spans="1:15" x14ac:dyDescent="0.2">
      <c r="A5" s="122">
        <v>2</v>
      </c>
      <c r="B5" s="123" t="s">
        <v>18</v>
      </c>
      <c r="C5" s="6">
        <v>26</v>
      </c>
      <c r="D5" s="6">
        <v>25</v>
      </c>
      <c r="E5" s="6">
        <v>26</v>
      </c>
      <c r="F5" s="6">
        <v>27</v>
      </c>
      <c r="G5" s="6"/>
      <c r="H5" s="6"/>
      <c r="I5" s="6"/>
      <c r="J5" s="6"/>
      <c r="K5" s="6"/>
      <c r="L5" s="6"/>
      <c r="M5" s="6"/>
      <c r="N5" s="6"/>
      <c r="O5" s="7">
        <f t="shared" ref="O5:O18" si="0">SUM(C5:N5)</f>
        <v>104</v>
      </c>
    </row>
    <row r="6" spans="1:15" x14ac:dyDescent="0.2">
      <c r="A6" s="122">
        <v>3</v>
      </c>
      <c r="B6" s="123" t="s">
        <v>19</v>
      </c>
      <c r="C6" s="6">
        <v>26</v>
      </c>
      <c r="D6" s="6">
        <v>23</v>
      </c>
      <c r="E6" s="6">
        <f>26-1-1</f>
        <v>24</v>
      </c>
      <c r="F6" s="6">
        <v>24</v>
      </c>
      <c r="G6" s="6"/>
      <c r="H6" s="6"/>
      <c r="I6" s="6"/>
      <c r="J6" s="6"/>
      <c r="K6" s="6"/>
      <c r="L6" s="6"/>
      <c r="M6" s="6"/>
      <c r="N6" s="6"/>
      <c r="O6" s="7">
        <f t="shared" si="0"/>
        <v>97</v>
      </c>
    </row>
    <row r="7" spans="1:15" x14ac:dyDescent="0.2">
      <c r="A7" s="122">
        <v>4</v>
      </c>
      <c r="B7" s="123" t="s">
        <v>20</v>
      </c>
      <c r="C7" s="6">
        <v>0</v>
      </c>
      <c r="D7" s="6">
        <v>1</v>
      </c>
      <c r="E7" s="6">
        <v>1</v>
      </c>
      <c r="F7" s="6">
        <v>1</v>
      </c>
      <c r="G7" s="6"/>
      <c r="H7" s="6"/>
      <c r="I7" s="6"/>
      <c r="J7" s="6"/>
      <c r="K7" s="6"/>
      <c r="L7" s="6"/>
      <c r="M7" s="6"/>
      <c r="N7" s="6"/>
      <c r="O7" s="7">
        <f t="shared" si="0"/>
        <v>3</v>
      </c>
    </row>
    <row r="8" spans="1:15" x14ac:dyDescent="0.2">
      <c r="A8" s="122">
        <v>5</v>
      </c>
      <c r="B8" s="123" t="s">
        <v>21</v>
      </c>
      <c r="C8" s="6">
        <v>0</v>
      </c>
      <c r="D8" s="6">
        <v>1</v>
      </c>
      <c r="E8" s="6"/>
      <c r="F8" s="6" t="s">
        <v>710</v>
      </c>
      <c r="G8" s="6"/>
      <c r="H8" s="6"/>
      <c r="I8" s="6"/>
      <c r="J8" s="6"/>
      <c r="K8" s="6"/>
      <c r="L8" s="6"/>
      <c r="M8" s="6"/>
      <c r="N8" s="6"/>
      <c r="O8" s="7">
        <f t="shared" si="0"/>
        <v>1</v>
      </c>
    </row>
    <row r="9" spans="1:15" x14ac:dyDescent="0.2">
      <c r="A9" s="122">
        <v>6</v>
      </c>
      <c r="B9" s="123" t="s">
        <v>22</v>
      </c>
      <c r="C9" s="6"/>
      <c r="D9" s="6" t="s">
        <v>710</v>
      </c>
      <c r="E9" s="6" t="s">
        <v>776</v>
      </c>
      <c r="F9" s="193" t="s">
        <v>838</v>
      </c>
      <c r="G9" s="6"/>
      <c r="H9" s="6"/>
      <c r="I9" s="6"/>
      <c r="J9" s="6"/>
      <c r="K9" s="6"/>
      <c r="L9" s="6"/>
      <c r="M9" s="6"/>
      <c r="N9" s="6"/>
      <c r="O9" s="7">
        <f t="shared" si="0"/>
        <v>0</v>
      </c>
    </row>
    <row r="10" spans="1:15" x14ac:dyDescent="0.2">
      <c r="A10" s="122">
        <v>7</v>
      </c>
      <c r="B10" s="123" t="s">
        <v>23</v>
      </c>
      <c r="C10" s="6">
        <v>239</v>
      </c>
      <c r="D10" s="6">
        <v>209</v>
      </c>
      <c r="E10" s="6">
        <v>213</v>
      </c>
      <c r="F10" s="6">
        <v>208</v>
      </c>
      <c r="G10" s="6"/>
      <c r="H10" s="6"/>
      <c r="I10" s="6"/>
      <c r="J10" s="6"/>
      <c r="K10" s="6"/>
      <c r="L10" s="6"/>
      <c r="M10" s="6"/>
      <c r="N10" s="6"/>
      <c r="O10" s="7">
        <f t="shared" si="0"/>
        <v>869</v>
      </c>
    </row>
    <row r="11" spans="1:15" x14ac:dyDescent="0.2">
      <c r="A11" s="122">
        <v>8</v>
      </c>
      <c r="B11" s="123" t="s">
        <v>24</v>
      </c>
      <c r="C11" s="8">
        <f>C10/C6</f>
        <v>9.1923076923076916</v>
      </c>
      <c r="D11" s="8">
        <f t="shared" ref="D11:O11" si="1">D10/D6</f>
        <v>9.0869565217391308</v>
      </c>
      <c r="E11" s="8">
        <f t="shared" si="1"/>
        <v>8.875</v>
      </c>
      <c r="F11" s="8">
        <f t="shared" si="1"/>
        <v>8.6666666666666661</v>
      </c>
      <c r="G11" s="8" t="e">
        <f t="shared" si="1"/>
        <v>#DIV/0!</v>
      </c>
      <c r="H11" s="8" t="e">
        <f t="shared" si="1"/>
        <v>#DIV/0!</v>
      </c>
      <c r="I11" s="8" t="e">
        <f t="shared" si="1"/>
        <v>#DIV/0!</v>
      </c>
      <c r="J11" s="8" t="e">
        <f t="shared" si="1"/>
        <v>#DIV/0!</v>
      </c>
      <c r="K11" s="8" t="e">
        <f t="shared" si="1"/>
        <v>#DIV/0!</v>
      </c>
      <c r="L11" s="8" t="e">
        <f t="shared" si="1"/>
        <v>#DIV/0!</v>
      </c>
      <c r="M11" s="8" t="e">
        <f t="shared" si="1"/>
        <v>#DIV/0!</v>
      </c>
      <c r="N11" s="8" t="e">
        <f t="shared" si="1"/>
        <v>#DIV/0!</v>
      </c>
      <c r="O11" s="9">
        <f t="shared" si="1"/>
        <v>8.9587628865979383</v>
      </c>
    </row>
    <row r="12" spans="1:15" x14ac:dyDescent="0.2">
      <c r="A12" s="122">
        <v>9</v>
      </c>
      <c r="B12" s="123" t="s">
        <v>25</v>
      </c>
      <c r="C12" s="6">
        <v>234</v>
      </c>
      <c r="D12" s="6">
        <v>208</v>
      </c>
      <c r="E12" s="6">
        <v>250</v>
      </c>
      <c r="F12" s="6">
        <v>239</v>
      </c>
      <c r="G12" s="6"/>
      <c r="H12" s="6"/>
      <c r="I12" s="6"/>
      <c r="J12" s="6"/>
      <c r="K12" s="6"/>
      <c r="L12" s="6"/>
      <c r="M12" s="6"/>
      <c r="N12" s="6"/>
      <c r="O12" s="7">
        <f t="shared" si="0"/>
        <v>931</v>
      </c>
    </row>
    <row r="13" spans="1:15" x14ac:dyDescent="0.2">
      <c r="A13" s="122">
        <v>10</v>
      </c>
      <c r="B13" s="123" t="s">
        <v>26</v>
      </c>
      <c r="C13" s="8">
        <f>C12/C6</f>
        <v>9</v>
      </c>
      <c r="D13" s="8">
        <f t="shared" ref="D13:O13" si="2">D12/D6</f>
        <v>9.0434782608695645</v>
      </c>
      <c r="E13" s="8">
        <f t="shared" si="2"/>
        <v>10.416666666666666</v>
      </c>
      <c r="F13" s="8">
        <f t="shared" si="2"/>
        <v>9.9583333333333339</v>
      </c>
      <c r="G13" s="8" t="e">
        <f t="shared" si="2"/>
        <v>#DIV/0!</v>
      </c>
      <c r="H13" s="8" t="e">
        <f t="shared" si="2"/>
        <v>#DIV/0!</v>
      </c>
      <c r="I13" s="8" t="e">
        <f t="shared" si="2"/>
        <v>#DIV/0!</v>
      </c>
      <c r="J13" s="8" t="e">
        <f t="shared" si="2"/>
        <v>#DIV/0!</v>
      </c>
      <c r="K13" s="8" t="e">
        <f t="shared" si="2"/>
        <v>#DIV/0!</v>
      </c>
      <c r="L13" s="8" t="e">
        <f t="shared" si="2"/>
        <v>#DIV/0!</v>
      </c>
      <c r="M13" s="8" t="e">
        <f t="shared" si="2"/>
        <v>#DIV/0!</v>
      </c>
      <c r="N13" s="8" t="e">
        <f t="shared" si="2"/>
        <v>#DIV/0!</v>
      </c>
      <c r="O13" s="9">
        <f t="shared" si="2"/>
        <v>9.5979381443298966</v>
      </c>
    </row>
    <row r="14" spans="1:15" x14ac:dyDescent="0.2">
      <c r="A14" s="122">
        <v>11</v>
      </c>
      <c r="B14" s="123" t="s">
        <v>27</v>
      </c>
      <c r="C14" s="6" t="s">
        <v>592</v>
      </c>
      <c r="D14" s="10" t="s">
        <v>760</v>
      </c>
      <c r="E14" s="6" t="s">
        <v>777</v>
      </c>
      <c r="F14" s="6"/>
      <c r="G14" s="6"/>
      <c r="H14" s="6"/>
      <c r="I14" s="6"/>
      <c r="J14" s="6"/>
      <c r="K14" s="6"/>
      <c r="L14" s="6"/>
      <c r="M14" s="6"/>
      <c r="N14" s="6"/>
      <c r="O14" s="7">
        <f t="shared" si="0"/>
        <v>0</v>
      </c>
    </row>
    <row r="15" spans="1:15" x14ac:dyDescent="0.2">
      <c r="A15" s="122">
        <v>12</v>
      </c>
      <c r="B15" s="123" t="s">
        <v>28</v>
      </c>
      <c r="C15" s="6"/>
      <c r="D15" s="6">
        <v>1</v>
      </c>
      <c r="E15" s="6">
        <v>1</v>
      </c>
      <c r="F15" s="6"/>
      <c r="G15" s="6"/>
      <c r="H15" s="6"/>
      <c r="I15" s="6"/>
      <c r="J15" s="6"/>
      <c r="K15" s="6"/>
      <c r="L15" s="6"/>
      <c r="M15" s="6"/>
      <c r="N15" s="6"/>
      <c r="O15" s="7">
        <f t="shared" si="0"/>
        <v>2</v>
      </c>
    </row>
    <row r="16" spans="1:15" x14ac:dyDescent="0.2">
      <c r="A16" s="122">
        <v>13</v>
      </c>
      <c r="B16" s="123" t="s">
        <v>177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1:15" x14ac:dyDescent="0.2">
      <c r="A17" s="122">
        <v>14</v>
      </c>
      <c r="B17" s="124" t="s">
        <v>178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x14ac:dyDescent="0.2">
      <c r="A18" s="122">
        <v>15</v>
      </c>
      <c r="B18" s="123" t="s">
        <v>593</v>
      </c>
      <c r="C18" s="6">
        <v>6</v>
      </c>
      <c r="D18" s="6">
        <v>3</v>
      </c>
      <c r="E18" s="6">
        <v>3</v>
      </c>
      <c r="F18" s="6"/>
      <c r="G18" s="6"/>
      <c r="H18" s="6"/>
      <c r="I18" s="6"/>
      <c r="J18" s="6"/>
      <c r="K18" s="6"/>
      <c r="L18" s="6"/>
      <c r="M18" s="6"/>
      <c r="N18" s="6"/>
      <c r="O18" s="7">
        <f t="shared" si="0"/>
        <v>12</v>
      </c>
    </row>
    <row r="19" spans="1:15" x14ac:dyDescent="0.2">
      <c r="A19" s="122">
        <v>16</v>
      </c>
      <c r="B19" s="123" t="s">
        <v>29</v>
      </c>
      <c r="C19" s="6">
        <v>20</v>
      </c>
      <c r="D19" s="6">
        <v>20</v>
      </c>
      <c r="E19" s="6">
        <v>21</v>
      </c>
      <c r="F19" s="6"/>
      <c r="G19" s="6"/>
      <c r="H19" s="6"/>
      <c r="I19" s="6"/>
      <c r="J19" s="6"/>
      <c r="K19" s="6"/>
      <c r="L19" s="6"/>
      <c r="M19" s="6"/>
      <c r="N19" s="6"/>
      <c r="O19" s="7">
        <f>SUM(C19:N19)</f>
        <v>61</v>
      </c>
    </row>
    <row r="20" spans="1:15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3">
    <mergeCell ref="A1:B1"/>
    <mergeCell ref="C1:O2"/>
    <mergeCell ref="A2:B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6"/>
  <sheetViews>
    <sheetView topLeftCell="C1" workbookViewId="0">
      <selection activeCell="F22" sqref="F22"/>
    </sheetView>
  </sheetViews>
  <sheetFormatPr defaultRowHeight="15" x14ac:dyDescent="0.2"/>
  <cols>
    <col min="1" max="1" width="10.0859375" bestFit="1" customWidth="1"/>
    <col min="2" max="2" width="12.5078125" customWidth="1"/>
    <col min="3" max="4" width="16.94921875" customWidth="1"/>
    <col min="5" max="6" width="25.55859375" customWidth="1"/>
  </cols>
  <sheetData>
    <row r="1" spans="1:16384" x14ac:dyDescent="0.2">
      <c r="A1" t="s">
        <v>90</v>
      </c>
      <c r="B1" s="211"/>
      <c r="C1" s="211"/>
    </row>
    <row r="2" spans="1:16384" x14ac:dyDescent="0.2">
      <c r="A2" t="s">
        <v>91</v>
      </c>
      <c r="B2" s="211"/>
      <c r="C2" s="211"/>
      <c r="E2" s="211" t="s">
        <v>88</v>
      </c>
      <c r="F2" s="211"/>
    </row>
    <row r="3" spans="1:16384" ht="15.75" thickBot="1" x14ac:dyDescent="0.25">
      <c r="E3" s="212" t="s">
        <v>92</v>
      </c>
      <c r="F3" s="212"/>
    </row>
    <row r="4" spans="1:16384" ht="15.75" thickBot="1" x14ac:dyDescent="0.25">
      <c r="A4" s="71" t="s">
        <v>59</v>
      </c>
      <c r="B4" s="72" t="s">
        <v>61</v>
      </c>
      <c r="C4" s="73" t="s">
        <v>62</v>
      </c>
      <c r="D4" s="73" t="s">
        <v>63</v>
      </c>
      <c r="E4" s="73" t="s">
        <v>64</v>
      </c>
      <c r="F4" s="74" t="s">
        <v>65</v>
      </c>
    </row>
    <row r="5" spans="1:16384" x14ac:dyDescent="0.2">
      <c r="A5" s="65">
        <v>1</v>
      </c>
      <c r="B5" s="179" t="s">
        <v>583</v>
      </c>
      <c r="C5" s="76" t="s">
        <v>589</v>
      </c>
      <c r="D5" s="76"/>
      <c r="E5" s="66">
        <v>8</v>
      </c>
      <c r="F5" s="67">
        <v>9</v>
      </c>
    </row>
    <row r="6" spans="1:16384" x14ac:dyDescent="0.2">
      <c r="A6" s="68">
        <v>2</v>
      </c>
      <c r="B6" s="77" t="s">
        <v>584</v>
      </c>
      <c r="C6" s="76" t="s">
        <v>589</v>
      </c>
      <c r="D6" s="76" t="s">
        <v>258</v>
      </c>
      <c r="E6" s="69">
        <v>11</v>
      </c>
      <c r="F6" s="70">
        <v>6</v>
      </c>
    </row>
    <row r="7" spans="1:16384" s="103" customFormat="1" x14ac:dyDescent="0.2">
      <c r="A7" s="178">
        <v>3</v>
      </c>
      <c r="B7" s="75" t="s">
        <v>585</v>
      </c>
      <c r="C7" s="186" t="s">
        <v>589</v>
      </c>
      <c r="D7" s="186" t="s">
        <v>258</v>
      </c>
      <c r="E7" s="180">
        <v>9</v>
      </c>
      <c r="F7" s="181">
        <v>10</v>
      </c>
    </row>
    <row r="8" spans="1:16384" x14ac:dyDescent="0.2">
      <c r="A8" s="68">
        <v>4</v>
      </c>
      <c r="B8" s="77" t="s">
        <v>586</v>
      </c>
      <c r="C8" s="76" t="s">
        <v>711</v>
      </c>
      <c r="D8" s="76"/>
      <c r="E8" s="69"/>
      <c r="F8" s="70">
        <v>13</v>
      </c>
    </row>
    <row r="9" spans="1:16384" s="182" customFormat="1" x14ac:dyDescent="0.2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5"/>
      <c r="HP9" s="175"/>
      <c r="HQ9" s="175"/>
      <c r="HR9" s="175"/>
      <c r="HS9" s="175"/>
      <c r="HT9" s="175"/>
      <c r="HU9" s="175"/>
      <c r="HV9" s="175"/>
      <c r="HW9" s="175"/>
      <c r="HX9" s="175"/>
      <c r="HY9" s="175"/>
      <c r="HZ9" s="175"/>
      <c r="IA9" s="175"/>
      <c r="IB9" s="175"/>
      <c r="IC9" s="175"/>
      <c r="ID9" s="175"/>
      <c r="IE9" s="175"/>
      <c r="IF9" s="175"/>
      <c r="IG9" s="175"/>
      <c r="IH9" s="175"/>
      <c r="II9" s="175"/>
      <c r="IJ9" s="175"/>
      <c r="IK9" s="175"/>
      <c r="IL9" s="175"/>
      <c r="IM9" s="175"/>
      <c r="IN9" s="175"/>
      <c r="IO9" s="175"/>
      <c r="IP9" s="175"/>
      <c r="IQ9" s="175"/>
      <c r="IR9" s="175"/>
      <c r="IS9" s="175"/>
      <c r="IT9" s="175"/>
      <c r="IU9" s="175"/>
      <c r="IV9" s="175"/>
      <c r="IW9" s="175"/>
      <c r="IX9" s="175"/>
      <c r="IY9" s="175"/>
      <c r="IZ9" s="175"/>
      <c r="JA9" s="175"/>
      <c r="JB9" s="175"/>
      <c r="JC9" s="175"/>
      <c r="JD9" s="175"/>
      <c r="JE9" s="175"/>
      <c r="JF9" s="175"/>
      <c r="JG9" s="175"/>
      <c r="JH9" s="175"/>
      <c r="JI9" s="175"/>
      <c r="JJ9" s="175"/>
      <c r="JK9" s="175"/>
      <c r="JL9" s="175"/>
      <c r="JM9" s="175"/>
      <c r="JN9" s="175"/>
      <c r="JO9" s="175"/>
      <c r="JP9" s="175"/>
      <c r="JQ9" s="175"/>
      <c r="JR9" s="175"/>
      <c r="JS9" s="175"/>
      <c r="JT9" s="175"/>
      <c r="JU9" s="175"/>
      <c r="JV9" s="175"/>
      <c r="JW9" s="175"/>
      <c r="JX9" s="175"/>
      <c r="JY9" s="175"/>
      <c r="JZ9" s="175"/>
      <c r="KA9" s="175"/>
      <c r="KB9" s="175"/>
      <c r="KC9" s="175"/>
      <c r="KD9" s="175"/>
      <c r="KE9" s="175"/>
      <c r="KF9" s="175"/>
      <c r="KG9" s="175"/>
      <c r="KH9" s="175"/>
      <c r="KI9" s="175"/>
      <c r="KJ9" s="175"/>
      <c r="KK9" s="175"/>
      <c r="KL9" s="175"/>
      <c r="KM9" s="175"/>
      <c r="KN9" s="175"/>
      <c r="KO9" s="175"/>
      <c r="KP9" s="175"/>
      <c r="KQ9" s="175"/>
      <c r="KR9" s="175"/>
      <c r="KS9" s="175"/>
      <c r="KT9" s="175"/>
      <c r="KU9" s="175"/>
      <c r="KV9" s="175"/>
      <c r="KW9" s="175"/>
      <c r="KX9" s="175"/>
      <c r="KY9" s="175"/>
      <c r="KZ9" s="175"/>
      <c r="LA9" s="175"/>
      <c r="LB9" s="175"/>
      <c r="LC9" s="175"/>
      <c r="LD9" s="175"/>
      <c r="LE9" s="175"/>
      <c r="LF9" s="175"/>
      <c r="LG9" s="175"/>
      <c r="LH9" s="175"/>
      <c r="LI9" s="175"/>
      <c r="LJ9" s="175"/>
      <c r="LK9" s="175"/>
      <c r="LL9" s="175"/>
      <c r="LM9" s="175"/>
      <c r="LN9" s="175"/>
      <c r="LO9" s="175"/>
      <c r="LP9" s="175"/>
      <c r="LQ9" s="175"/>
      <c r="LR9" s="175"/>
      <c r="LS9" s="175"/>
      <c r="LT9" s="175"/>
      <c r="LU9" s="175"/>
      <c r="LV9" s="175"/>
      <c r="LW9" s="175"/>
      <c r="LX9" s="175"/>
      <c r="LY9" s="175"/>
      <c r="LZ9" s="175"/>
      <c r="MA9" s="175"/>
      <c r="MB9" s="175"/>
      <c r="MC9" s="175"/>
      <c r="MD9" s="175"/>
      <c r="ME9" s="175"/>
      <c r="MF9" s="175"/>
      <c r="MG9" s="175"/>
      <c r="MH9" s="175"/>
      <c r="MI9" s="175"/>
      <c r="MJ9" s="175"/>
      <c r="MK9" s="175"/>
      <c r="ML9" s="175"/>
      <c r="MM9" s="175"/>
      <c r="MN9" s="175"/>
      <c r="MO9" s="175"/>
      <c r="MP9" s="175"/>
      <c r="MQ9" s="175"/>
      <c r="MR9" s="175"/>
      <c r="MS9" s="175"/>
      <c r="MT9" s="175"/>
      <c r="MU9" s="175"/>
      <c r="MV9" s="175"/>
      <c r="MW9" s="175"/>
      <c r="MX9" s="175"/>
      <c r="MY9" s="175"/>
      <c r="MZ9" s="175"/>
      <c r="NA9" s="175"/>
      <c r="NB9" s="175"/>
      <c r="NC9" s="175"/>
      <c r="ND9" s="175"/>
      <c r="NE9" s="175"/>
      <c r="NF9" s="175"/>
      <c r="NG9" s="175"/>
      <c r="NH9" s="175"/>
      <c r="NI9" s="175"/>
      <c r="NJ9" s="175"/>
      <c r="NK9" s="175"/>
      <c r="NL9" s="175"/>
      <c r="NM9" s="175"/>
      <c r="NN9" s="175"/>
      <c r="NO9" s="175"/>
      <c r="NP9" s="175"/>
      <c r="NQ9" s="175"/>
      <c r="NR9" s="175"/>
      <c r="NS9" s="175"/>
      <c r="NT9" s="175"/>
      <c r="NU9" s="175"/>
      <c r="NV9" s="175"/>
      <c r="NW9" s="175"/>
      <c r="NX9" s="175"/>
      <c r="NY9" s="175"/>
      <c r="NZ9" s="175"/>
      <c r="OA9" s="175"/>
      <c r="OB9" s="175"/>
      <c r="OC9" s="175"/>
      <c r="OD9" s="175"/>
      <c r="OE9" s="175"/>
      <c r="OF9" s="175"/>
      <c r="OG9" s="175"/>
      <c r="OH9" s="175"/>
      <c r="OI9" s="175"/>
      <c r="OJ9" s="175"/>
      <c r="OK9" s="175"/>
      <c r="OL9" s="175"/>
      <c r="OM9" s="175"/>
      <c r="ON9" s="175"/>
      <c r="OO9" s="175"/>
      <c r="OP9" s="175"/>
      <c r="OQ9" s="175"/>
      <c r="OR9" s="175"/>
      <c r="OS9" s="175"/>
      <c r="OT9" s="175"/>
      <c r="OU9" s="175"/>
      <c r="OV9" s="175"/>
      <c r="OW9" s="175"/>
      <c r="OX9" s="175"/>
      <c r="OY9" s="175"/>
      <c r="OZ9" s="175"/>
      <c r="PA9" s="175"/>
      <c r="PB9" s="175"/>
      <c r="PC9" s="175"/>
      <c r="PD9" s="175"/>
      <c r="PE9" s="175"/>
      <c r="PF9" s="175"/>
      <c r="PG9" s="175"/>
      <c r="PH9" s="175"/>
      <c r="PI9" s="175"/>
      <c r="PJ9" s="175"/>
      <c r="PK9" s="175"/>
      <c r="PL9" s="175"/>
      <c r="PM9" s="175"/>
      <c r="PN9" s="175"/>
      <c r="PO9" s="175"/>
      <c r="PP9" s="175"/>
      <c r="PQ9" s="175"/>
      <c r="PR9" s="175"/>
      <c r="PS9" s="175"/>
      <c r="PT9" s="175"/>
      <c r="PU9" s="175"/>
      <c r="PV9" s="175"/>
      <c r="PW9" s="175"/>
      <c r="PX9" s="175"/>
      <c r="PY9" s="175"/>
      <c r="PZ9" s="175"/>
      <c r="QA9" s="175"/>
      <c r="QB9" s="175"/>
      <c r="QC9" s="175"/>
      <c r="QD9" s="175"/>
      <c r="QE9" s="175"/>
      <c r="QF9" s="175"/>
      <c r="QG9" s="175"/>
      <c r="QH9" s="175"/>
      <c r="QI9" s="175"/>
      <c r="QJ9" s="175"/>
      <c r="QK9" s="175"/>
      <c r="QL9" s="175"/>
      <c r="QM9" s="175"/>
      <c r="QN9" s="175"/>
      <c r="QO9" s="175"/>
      <c r="QP9" s="175"/>
      <c r="QQ9" s="175"/>
      <c r="QR9" s="175"/>
      <c r="QS9" s="175"/>
      <c r="QT9" s="175"/>
      <c r="QU9" s="175"/>
      <c r="QV9" s="175"/>
      <c r="QW9" s="175"/>
      <c r="QX9" s="175"/>
      <c r="QY9" s="175"/>
      <c r="QZ9" s="175"/>
      <c r="RA9" s="175"/>
      <c r="RB9" s="175"/>
      <c r="RC9" s="175"/>
      <c r="RD9" s="175"/>
      <c r="RE9" s="175"/>
      <c r="RF9" s="175"/>
      <c r="RG9" s="175"/>
      <c r="RH9" s="175"/>
      <c r="RI9" s="175"/>
      <c r="RJ9" s="175"/>
      <c r="RK9" s="175"/>
      <c r="RL9" s="175"/>
      <c r="RM9" s="175"/>
      <c r="RN9" s="175"/>
      <c r="RO9" s="175"/>
      <c r="RP9" s="175"/>
      <c r="RQ9" s="175"/>
      <c r="RR9" s="175"/>
      <c r="RS9" s="175"/>
      <c r="RT9" s="175"/>
      <c r="RU9" s="175"/>
      <c r="RV9" s="175"/>
      <c r="RW9" s="175"/>
      <c r="RX9" s="175"/>
      <c r="RY9" s="175"/>
      <c r="RZ9" s="175"/>
      <c r="SA9" s="175"/>
      <c r="SB9" s="175"/>
      <c r="SC9" s="175"/>
      <c r="SD9" s="175"/>
      <c r="SE9" s="175"/>
      <c r="SF9" s="175"/>
      <c r="SG9" s="175"/>
      <c r="SH9" s="175"/>
      <c r="SI9" s="175"/>
      <c r="SJ9" s="175"/>
      <c r="SK9" s="175"/>
      <c r="SL9" s="175"/>
      <c r="SM9" s="175"/>
      <c r="SN9" s="175"/>
      <c r="SO9" s="175"/>
      <c r="SP9" s="175"/>
      <c r="SQ9" s="175"/>
      <c r="SR9" s="175"/>
      <c r="SS9" s="175"/>
      <c r="ST9" s="175"/>
      <c r="SU9" s="175"/>
      <c r="SV9" s="175"/>
      <c r="SW9" s="175"/>
      <c r="SX9" s="175"/>
      <c r="SY9" s="175"/>
      <c r="SZ9" s="175"/>
      <c r="TA9" s="175"/>
      <c r="TB9" s="175"/>
      <c r="TC9" s="175"/>
      <c r="TD9" s="175"/>
      <c r="TE9" s="175"/>
      <c r="TF9" s="175"/>
      <c r="TG9" s="175"/>
      <c r="TH9" s="175"/>
      <c r="TI9" s="175"/>
      <c r="TJ9" s="175"/>
      <c r="TK9" s="175"/>
      <c r="TL9" s="175"/>
      <c r="TM9" s="175"/>
      <c r="TN9" s="175"/>
      <c r="TO9" s="175"/>
      <c r="TP9" s="175"/>
      <c r="TQ9" s="175"/>
      <c r="TR9" s="175"/>
      <c r="TS9" s="175"/>
      <c r="TT9" s="175"/>
      <c r="TU9" s="175"/>
      <c r="TV9" s="175"/>
      <c r="TW9" s="175"/>
      <c r="TX9" s="175"/>
      <c r="TY9" s="175"/>
      <c r="TZ9" s="175"/>
      <c r="UA9" s="175"/>
      <c r="UB9" s="175"/>
      <c r="UC9" s="175"/>
      <c r="UD9" s="175"/>
      <c r="UE9" s="175"/>
      <c r="UF9" s="175"/>
      <c r="UG9" s="175"/>
      <c r="UH9" s="175"/>
      <c r="UI9" s="175"/>
      <c r="UJ9" s="175"/>
      <c r="UK9" s="175"/>
      <c r="UL9" s="175"/>
      <c r="UM9" s="175"/>
      <c r="UN9" s="175"/>
      <c r="UO9" s="175"/>
      <c r="UP9" s="175"/>
      <c r="UQ9" s="175"/>
      <c r="UR9" s="175"/>
      <c r="US9" s="175"/>
      <c r="UT9" s="175"/>
      <c r="UU9" s="175"/>
      <c r="UV9" s="175"/>
      <c r="UW9" s="175"/>
      <c r="UX9" s="175"/>
      <c r="UY9" s="175"/>
      <c r="UZ9" s="175"/>
      <c r="VA9" s="175"/>
      <c r="VB9" s="175"/>
      <c r="VC9" s="175"/>
      <c r="VD9" s="175"/>
      <c r="VE9" s="175"/>
      <c r="VF9" s="175"/>
      <c r="VG9" s="175"/>
      <c r="VH9" s="175"/>
      <c r="VI9" s="175"/>
      <c r="VJ9" s="175"/>
      <c r="VK9" s="175"/>
      <c r="VL9" s="175"/>
      <c r="VM9" s="175"/>
      <c r="VN9" s="175"/>
      <c r="VO9" s="175"/>
      <c r="VP9" s="175"/>
      <c r="VQ9" s="175"/>
      <c r="VR9" s="175"/>
      <c r="VS9" s="175"/>
      <c r="VT9" s="175"/>
      <c r="VU9" s="175"/>
      <c r="VV9" s="175"/>
      <c r="VW9" s="175"/>
      <c r="VX9" s="175"/>
      <c r="VY9" s="175"/>
      <c r="VZ9" s="175"/>
      <c r="WA9" s="175"/>
      <c r="WB9" s="175"/>
      <c r="WC9" s="175"/>
      <c r="WD9" s="175"/>
      <c r="WE9" s="175"/>
      <c r="WF9" s="175"/>
      <c r="WG9" s="175"/>
      <c r="WH9" s="175"/>
      <c r="WI9" s="175"/>
      <c r="WJ9" s="175"/>
      <c r="WK9" s="175"/>
      <c r="WL9" s="175"/>
      <c r="WM9" s="175"/>
      <c r="WN9" s="175"/>
      <c r="WO9" s="175"/>
      <c r="WP9" s="175"/>
      <c r="WQ9" s="175"/>
      <c r="WR9" s="175"/>
      <c r="WS9" s="175"/>
      <c r="WT9" s="175"/>
      <c r="WU9" s="175"/>
      <c r="WV9" s="175"/>
      <c r="WW9" s="175"/>
      <c r="WX9" s="175"/>
      <c r="WY9" s="175"/>
      <c r="WZ9" s="175"/>
      <c r="XA9" s="175"/>
      <c r="XB9" s="175"/>
      <c r="XC9" s="175"/>
      <c r="XD9" s="175"/>
      <c r="XE9" s="175"/>
      <c r="XF9" s="175"/>
      <c r="XG9" s="175"/>
      <c r="XH9" s="175"/>
      <c r="XI9" s="175"/>
      <c r="XJ9" s="175"/>
      <c r="XK9" s="175"/>
      <c r="XL9" s="175"/>
      <c r="XM9" s="175"/>
      <c r="XN9" s="175"/>
      <c r="XO9" s="175"/>
      <c r="XP9" s="175"/>
      <c r="XQ9" s="175"/>
      <c r="XR9" s="175"/>
      <c r="XS9" s="175"/>
      <c r="XT9" s="175"/>
      <c r="XU9" s="175"/>
      <c r="XV9" s="175"/>
      <c r="XW9" s="175"/>
      <c r="XX9" s="175"/>
      <c r="XY9" s="175"/>
      <c r="XZ9" s="175"/>
      <c r="YA9" s="175"/>
      <c r="YB9" s="175"/>
      <c r="YC9" s="175"/>
      <c r="YD9" s="175"/>
      <c r="YE9" s="175"/>
      <c r="YF9" s="175"/>
      <c r="YG9" s="175"/>
      <c r="YH9" s="175"/>
      <c r="YI9" s="175"/>
      <c r="YJ9" s="175"/>
      <c r="YK9" s="175"/>
      <c r="YL9" s="175"/>
      <c r="YM9" s="175"/>
      <c r="YN9" s="175"/>
      <c r="YO9" s="175"/>
      <c r="YP9" s="175"/>
      <c r="YQ9" s="175"/>
      <c r="YR9" s="175"/>
      <c r="YS9" s="175"/>
      <c r="YT9" s="175"/>
      <c r="YU9" s="175"/>
      <c r="YV9" s="175"/>
      <c r="YW9" s="175"/>
      <c r="YX9" s="175"/>
      <c r="YY9" s="175"/>
      <c r="YZ9" s="175"/>
      <c r="ZA9" s="175"/>
      <c r="ZB9" s="175"/>
      <c r="ZC9" s="175"/>
      <c r="ZD9" s="175"/>
      <c r="ZE9" s="175"/>
      <c r="ZF9" s="175"/>
      <c r="ZG9" s="175"/>
      <c r="ZH9" s="175"/>
      <c r="ZI9" s="175"/>
      <c r="ZJ9" s="175"/>
      <c r="ZK9" s="175"/>
      <c r="ZL9" s="175"/>
      <c r="ZM9" s="175"/>
      <c r="ZN9" s="175"/>
      <c r="ZO9" s="175"/>
      <c r="ZP9" s="175"/>
      <c r="ZQ9" s="175"/>
      <c r="ZR9" s="175"/>
      <c r="ZS9" s="175"/>
      <c r="ZT9" s="175"/>
      <c r="ZU9" s="175"/>
      <c r="ZV9" s="175"/>
      <c r="ZW9" s="175"/>
      <c r="ZX9" s="175"/>
      <c r="ZY9" s="175"/>
      <c r="ZZ9" s="175"/>
      <c r="AAA9" s="175"/>
      <c r="AAB9" s="175"/>
      <c r="AAC9" s="175"/>
      <c r="AAD9" s="175"/>
      <c r="AAE9" s="175"/>
      <c r="AAF9" s="175"/>
      <c r="AAG9" s="175"/>
      <c r="AAH9" s="175"/>
      <c r="AAI9" s="175"/>
      <c r="AAJ9" s="175"/>
      <c r="AAK9" s="175"/>
      <c r="AAL9" s="175"/>
      <c r="AAM9" s="175"/>
      <c r="AAN9" s="175"/>
      <c r="AAO9" s="175"/>
      <c r="AAP9" s="175"/>
      <c r="AAQ9" s="175"/>
      <c r="AAR9" s="175"/>
      <c r="AAS9" s="175"/>
      <c r="AAT9" s="175"/>
      <c r="AAU9" s="175"/>
      <c r="AAV9" s="175"/>
      <c r="AAW9" s="175"/>
      <c r="AAX9" s="175"/>
      <c r="AAY9" s="175"/>
      <c r="AAZ9" s="175"/>
      <c r="ABA9" s="175"/>
      <c r="ABB9" s="175"/>
      <c r="ABC9" s="175"/>
      <c r="ABD9" s="175"/>
      <c r="ABE9" s="175"/>
      <c r="ABF9" s="175"/>
      <c r="ABG9" s="175"/>
      <c r="ABH9" s="175"/>
      <c r="ABI9" s="175"/>
      <c r="ABJ9" s="175"/>
      <c r="ABK9" s="175"/>
      <c r="ABL9" s="175"/>
      <c r="ABM9" s="175"/>
      <c r="ABN9" s="175"/>
      <c r="ABO9" s="175"/>
      <c r="ABP9" s="175"/>
      <c r="ABQ9" s="175"/>
      <c r="ABR9" s="175"/>
      <c r="ABS9" s="175"/>
      <c r="ABT9" s="175"/>
      <c r="ABU9" s="175"/>
      <c r="ABV9" s="175"/>
      <c r="ABW9" s="175"/>
      <c r="ABX9" s="175"/>
      <c r="ABY9" s="175"/>
      <c r="ABZ9" s="175"/>
      <c r="ACA9" s="175"/>
      <c r="ACB9" s="175"/>
      <c r="ACC9" s="175"/>
      <c r="ACD9" s="175"/>
      <c r="ACE9" s="175"/>
      <c r="ACF9" s="175"/>
      <c r="ACG9" s="175"/>
      <c r="ACH9" s="175"/>
      <c r="ACI9" s="175"/>
      <c r="ACJ9" s="175"/>
      <c r="ACK9" s="175"/>
      <c r="ACL9" s="175"/>
      <c r="ACM9" s="175"/>
      <c r="ACN9" s="175"/>
      <c r="ACO9" s="175"/>
      <c r="ACP9" s="175"/>
      <c r="ACQ9" s="175"/>
      <c r="ACR9" s="175"/>
      <c r="ACS9" s="175"/>
      <c r="ACT9" s="175"/>
      <c r="ACU9" s="175"/>
      <c r="ACV9" s="175"/>
      <c r="ACW9" s="175"/>
      <c r="ACX9" s="175"/>
      <c r="ACY9" s="175"/>
      <c r="ACZ9" s="175"/>
      <c r="ADA9" s="175"/>
      <c r="ADB9" s="175"/>
      <c r="ADC9" s="175"/>
      <c r="ADD9" s="175"/>
      <c r="ADE9" s="175"/>
      <c r="ADF9" s="175"/>
      <c r="ADG9" s="175"/>
      <c r="ADH9" s="175"/>
      <c r="ADI9" s="175"/>
      <c r="ADJ9" s="175"/>
      <c r="ADK9" s="175"/>
      <c r="ADL9" s="175"/>
      <c r="ADM9" s="175"/>
      <c r="ADN9" s="175"/>
      <c r="ADO9" s="175"/>
      <c r="ADP9" s="175"/>
      <c r="ADQ9" s="175"/>
      <c r="ADR9" s="175"/>
      <c r="ADS9" s="175"/>
      <c r="ADT9" s="175"/>
      <c r="ADU9" s="175"/>
      <c r="ADV9" s="175"/>
      <c r="ADW9" s="175"/>
      <c r="ADX9" s="175"/>
      <c r="ADY9" s="175"/>
      <c r="ADZ9" s="175"/>
      <c r="AEA9" s="175"/>
      <c r="AEB9" s="175"/>
      <c r="AEC9" s="175"/>
      <c r="AED9" s="175"/>
      <c r="AEE9" s="175"/>
      <c r="AEF9" s="175"/>
      <c r="AEG9" s="175"/>
      <c r="AEH9" s="175"/>
      <c r="AEI9" s="175"/>
      <c r="AEJ9" s="175"/>
      <c r="AEK9" s="175"/>
      <c r="AEL9" s="175"/>
      <c r="AEM9" s="175"/>
      <c r="AEN9" s="175"/>
      <c r="AEO9" s="175"/>
      <c r="AEP9" s="175"/>
      <c r="AEQ9" s="175"/>
      <c r="AER9" s="175"/>
      <c r="AES9" s="175"/>
      <c r="AET9" s="175"/>
      <c r="AEU9" s="175"/>
      <c r="AEV9" s="175"/>
      <c r="AEW9" s="175"/>
      <c r="AEX9" s="175"/>
      <c r="AEY9" s="175"/>
      <c r="AEZ9" s="175"/>
      <c r="AFA9" s="175"/>
      <c r="AFB9" s="175"/>
      <c r="AFC9" s="175"/>
      <c r="AFD9" s="175"/>
      <c r="AFE9" s="175"/>
      <c r="AFF9" s="175"/>
      <c r="AFG9" s="175"/>
      <c r="AFH9" s="175"/>
      <c r="AFI9" s="175"/>
      <c r="AFJ9" s="175"/>
      <c r="AFK9" s="175"/>
      <c r="AFL9" s="175"/>
      <c r="AFM9" s="175"/>
      <c r="AFN9" s="175"/>
      <c r="AFO9" s="175"/>
      <c r="AFP9" s="175"/>
      <c r="AFQ9" s="175"/>
      <c r="AFR9" s="175"/>
      <c r="AFS9" s="175"/>
      <c r="AFT9" s="175"/>
      <c r="AFU9" s="175"/>
      <c r="AFV9" s="175"/>
      <c r="AFW9" s="175"/>
      <c r="AFX9" s="175"/>
      <c r="AFY9" s="175"/>
      <c r="AFZ9" s="175"/>
      <c r="AGA9" s="175"/>
      <c r="AGB9" s="175"/>
      <c r="AGC9" s="175"/>
      <c r="AGD9" s="175"/>
      <c r="AGE9" s="175"/>
      <c r="AGF9" s="175"/>
      <c r="AGG9" s="175"/>
      <c r="AGH9" s="175"/>
      <c r="AGI9" s="175"/>
      <c r="AGJ9" s="175"/>
      <c r="AGK9" s="175"/>
      <c r="AGL9" s="175"/>
      <c r="AGM9" s="175"/>
      <c r="AGN9" s="175"/>
      <c r="AGO9" s="175"/>
      <c r="AGP9" s="175"/>
      <c r="AGQ9" s="175"/>
      <c r="AGR9" s="175"/>
      <c r="AGS9" s="175"/>
      <c r="AGT9" s="175"/>
      <c r="AGU9" s="175"/>
      <c r="AGV9" s="175"/>
      <c r="AGW9" s="175"/>
      <c r="AGX9" s="175"/>
      <c r="AGY9" s="175"/>
      <c r="AGZ9" s="175"/>
      <c r="AHA9" s="175"/>
      <c r="AHB9" s="175"/>
      <c r="AHC9" s="175"/>
      <c r="AHD9" s="175"/>
      <c r="AHE9" s="175"/>
      <c r="AHF9" s="175"/>
      <c r="AHG9" s="175"/>
      <c r="AHH9" s="175"/>
      <c r="AHI9" s="175"/>
      <c r="AHJ9" s="175"/>
      <c r="AHK9" s="175"/>
      <c r="AHL9" s="175"/>
      <c r="AHM9" s="175"/>
      <c r="AHN9" s="175"/>
      <c r="AHO9" s="175"/>
      <c r="AHP9" s="175"/>
      <c r="AHQ9" s="175"/>
      <c r="AHR9" s="175"/>
      <c r="AHS9" s="175"/>
      <c r="AHT9" s="175"/>
      <c r="AHU9" s="175"/>
      <c r="AHV9" s="175"/>
      <c r="AHW9" s="175"/>
      <c r="AHX9" s="175"/>
      <c r="AHY9" s="175"/>
      <c r="AHZ9" s="175"/>
      <c r="AIA9" s="175"/>
      <c r="AIB9" s="175"/>
      <c r="AIC9" s="175"/>
      <c r="AID9" s="175"/>
      <c r="AIE9" s="175"/>
      <c r="AIF9" s="175"/>
      <c r="AIG9" s="175"/>
      <c r="AIH9" s="175"/>
      <c r="AII9" s="175"/>
      <c r="AIJ9" s="175"/>
      <c r="AIK9" s="175"/>
      <c r="AIL9" s="175"/>
      <c r="AIM9" s="175"/>
      <c r="AIN9" s="175"/>
      <c r="AIO9" s="175"/>
      <c r="AIP9" s="175"/>
      <c r="AIQ9" s="175"/>
      <c r="AIR9" s="175"/>
      <c r="AIS9" s="175"/>
      <c r="AIT9" s="175"/>
      <c r="AIU9" s="175"/>
      <c r="AIV9" s="175"/>
      <c r="AIW9" s="175"/>
      <c r="AIX9" s="175"/>
      <c r="AIY9" s="175"/>
      <c r="AIZ9" s="175"/>
      <c r="AJA9" s="175"/>
      <c r="AJB9" s="175"/>
      <c r="AJC9" s="175"/>
      <c r="AJD9" s="175"/>
      <c r="AJE9" s="175"/>
      <c r="AJF9" s="175"/>
      <c r="AJG9" s="175"/>
      <c r="AJH9" s="175"/>
      <c r="AJI9" s="175"/>
      <c r="AJJ9" s="175"/>
      <c r="AJK9" s="175"/>
      <c r="AJL9" s="175"/>
      <c r="AJM9" s="175"/>
      <c r="AJN9" s="175"/>
      <c r="AJO9" s="175"/>
      <c r="AJP9" s="175"/>
      <c r="AJQ9" s="175"/>
      <c r="AJR9" s="175"/>
      <c r="AJS9" s="175"/>
      <c r="AJT9" s="175"/>
      <c r="AJU9" s="175"/>
      <c r="AJV9" s="175"/>
      <c r="AJW9" s="175"/>
      <c r="AJX9" s="175"/>
      <c r="AJY9" s="175"/>
      <c r="AJZ9" s="175"/>
      <c r="AKA9" s="175"/>
      <c r="AKB9" s="175"/>
      <c r="AKC9" s="175"/>
      <c r="AKD9" s="175"/>
      <c r="AKE9" s="175"/>
      <c r="AKF9" s="175"/>
      <c r="AKG9" s="175"/>
      <c r="AKH9" s="175"/>
      <c r="AKI9" s="175"/>
      <c r="AKJ9" s="175"/>
      <c r="AKK9" s="175"/>
      <c r="AKL9" s="175"/>
      <c r="AKM9" s="175"/>
      <c r="AKN9" s="175"/>
      <c r="AKO9" s="175"/>
      <c r="AKP9" s="175"/>
      <c r="AKQ9" s="175"/>
      <c r="AKR9" s="175"/>
      <c r="AKS9" s="175"/>
      <c r="AKT9" s="175"/>
      <c r="AKU9" s="175"/>
      <c r="AKV9" s="175"/>
      <c r="AKW9" s="175"/>
      <c r="AKX9" s="175"/>
      <c r="AKY9" s="175"/>
      <c r="AKZ9" s="175"/>
      <c r="ALA9" s="175"/>
      <c r="ALB9" s="175"/>
      <c r="ALC9" s="175"/>
      <c r="ALD9" s="175"/>
      <c r="ALE9" s="175"/>
      <c r="ALF9" s="175"/>
      <c r="ALG9" s="175"/>
      <c r="ALH9" s="175"/>
      <c r="ALI9" s="175"/>
      <c r="ALJ9" s="175"/>
      <c r="ALK9" s="175"/>
      <c r="ALL9" s="175"/>
      <c r="ALM9" s="175"/>
      <c r="ALN9" s="175"/>
      <c r="ALO9" s="175"/>
      <c r="ALP9" s="175"/>
      <c r="ALQ9" s="175"/>
      <c r="ALR9" s="175"/>
      <c r="ALS9" s="175"/>
      <c r="ALT9" s="175"/>
      <c r="ALU9" s="175"/>
      <c r="ALV9" s="175"/>
      <c r="ALW9" s="175"/>
      <c r="ALX9" s="175"/>
      <c r="ALY9" s="175"/>
      <c r="ALZ9" s="175"/>
      <c r="AMA9" s="175"/>
      <c r="AMB9" s="175"/>
      <c r="AMC9" s="175"/>
      <c r="AMD9" s="175"/>
      <c r="AME9" s="175"/>
      <c r="AMF9" s="175"/>
      <c r="AMG9" s="175"/>
      <c r="AMH9" s="175"/>
      <c r="AMI9" s="175"/>
      <c r="AMJ9" s="175"/>
      <c r="AMK9" s="175"/>
      <c r="AML9" s="175"/>
      <c r="AMM9" s="175"/>
      <c r="AMN9" s="175"/>
      <c r="AMO9" s="175"/>
      <c r="AMP9" s="175"/>
      <c r="AMQ9" s="175"/>
      <c r="AMR9" s="175"/>
      <c r="AMS9" s="175"/>
      <c r="AMT9" s="175"/>
      <c r="AMU9" s="175"/>
      <c r="AMV9" s="175"/>
      <c r="AMW9" s="175"/>
      <c r="AMX9" s="175"/>
      <c r="AMY9" s="175"/>
      <c r="AMZ9" s="175"/>
      <c r="ANA9" s="175"/>
      <c r="ANB9" s="175"/>
      <c r="ANC9" s="175"/>
      <c r="AND9" s="175"/>
      <c r="ANE9" s="175"/>
      <c r="ANF9" s="175"/>
      <c r="ANG9" s="175"/>
      <c r="ANH9" s="175"/>
      <c r="ANI9" s="175"/>
      <c r="ANJ9" s="175"/>
      <c r="ANK9" s="175"/>
      <c r="ANL9" s="175"/>
      <c r="ANM9" s="175"/>
      <c r="ANN9" s="175"/>
      <c r="ANO9" s="175"/>
      <c r="ANP9" s="175"/>
      <c r="ANQ9" s="175"/>
      <c r="ANR9" s="175"/>
      <c r="ANS9" s="175"/>
      <c r="ANT9" s="175"/>
      <c r="ANU9" s="175"/>
      <c r="ANV9" s="175"/>
      <c r="ANW9" s="175"/>
      <c r="ANX9" s="175"/>
      <c r="ANY9" s="175"/>
      <c r="ANZ9" s="175"/>
      <c r="AOA9" s="175"/>
      <c r="AOB9" s="175"/>
      <c r="AOC9" s="175"/>
      <c r="AOD9" s="175"/>
      <c r="AOE9" s="175"/>
      <c r="AOF9" s="175"/>
      <c r="AOG9" s="175"/>
      <c r="AOH9" s="175"/>
      <c r="AOI9" s="175"/>
      <c r="AOJ9" s="175"/>
      <c r="AOK9" s="175"/>
      <c r="AOL9" s="175"/>
      <c r="AOM9" s="175"/>
      <c r="AON9" s="175"/>
      <c r="AOO9" s="175"/>
      <c r="AOP9" s="175"/>
      <c r="AOQ9" s="175"/>
      <c r="AOR9" s="175"/>
      <c r="AOS9" s="175"/>
      <c r="AOT9" s="175"/>
      <c r="AOU9" s="175"/>
      <c r="AOV9" s="175"/>
      <c r="AOW9" s="175"/>
      <c r="AOX9" s="175"/>
      <c r="AOY9" s="175"/>
      <c r="AOZ9" s="175"/>
      <c r="APA9" s="175"/>
      <c r="APB9" s="175"/>
      <c r="APC9" s="175"/>
      <c r="APD9" s="175"/>
      <c r="APE9" s="175"/>
      <c r="APF9" s="175"/>
      <c r="APG9" s="175"/>
      <c r="APH9" s="175"/>
      <c r="API9" s="175"/>
      <c r="APJ9" s="175"/>
      <c r="APK9" s="175"/>
      <c r="APL9" s="175"/>
      <c r="APM9" s="175"/>
      <c r="APN9" s="175"/>
      <c r="APO9" s="175"/>
      <c r="APP9" s="175"/>
      <c r="APQ9" s="175"/>
      <c r="APR9" s="175"/>
      <c r="APS9" s="175"/>
      <c r="APT9" s="175"/>
      <c r="APU9" s="175"/>
      <c r="APV9" s="175"/>
      <c r="APW9" s="175"/>
      <c r="APX9" s="175"/>
      <c r="APY9" s="175"/>
      <c r="APZ9" s="175"/>
      <c r="AQA9" s="175"/>
      <c r="AQB9" s="175"/>
      <c r="AQC9" s="175"/>
      <c r="AQD9" s="175"/>
      <c r="AQE9" s="175"/>
      <c r="AQF9" s="175"/>
      <c r="AQG9" s="175"/>
      <c r="AQH9" s="175"/>
      <c r="AQI9" s="175"/>
      <c r="AQJ9" s="175"/>
      <c r="AQK9" s="175"/>
      <c r="AQL9" s="175"/>
      <c r="AQM9" s="175"/>
      <c r="AQN9" s="175"/>
      <c r="AQO9" s="175"/>
      <c r="AQP9" s="175"/>
      <c r="AQQ9" s="175"/>
      <c r="AQR9" s="175"/>
      <c r="AQS9" s="175"/>
      <c r="AQT9" s="175"/>
      <c r="AQU9" s="175"/>
      <c r="AQV9" s="175"/>
      <c r="AQW9" s="175"/>
      <c r="AQX9" s="175"/>
      <c r="AQY9" s="175"/>
      <c r="AQZ9" s="175"/>
      <c r="ARA9" s="175"/>
      <c r="ARB9" s="175"/>
      <c r="ARC9" s="175"/>
      <c r="ARD9" s="175"/>
      <c r="ARE9" s="175"/>
      <c r="ARF9" s="175"/>
      <c r="ARG9" s="175"/>
      <c r="ARH9" s="175"/>
      <c r="ARI9" s="175"/>
      <c r="ARJ9" s="175"/>
      <c r="ARK9" s="175"/>
      <c r="ARL9" s="175"/>
      <c r="ARM9" s="175"/>
      <c r="ARN9" s="175"/>
      <c r="ARO9" s="175"/>
      <c r="ARP9" s="175"/>
      <c r="ARQ9" s="175"/>
      <c r="ARR9" s="175"/>
      <c r="ARS9" s="175"/>
      <c r="ART9" s="175"/>
      <c r="ARU9" s="175"/>
      <c r="ARV9" s="175"/>
      <c r="ARW9" s="175"/>
      <c r="ARX9" s="175"/>
      <c r="ARY9" s="175"/>
      <c r="ARZ9" s="175"/>
      <c r="ASA9" s="175"/>
      <c r="ASB9" s="175"/>
      <c r="ASC9" s="175"/>
      <c r="ASD9" s="175"/>
      <c r="ASE9" s="175"/>
      <c r="ASF9" s="175"/>
      <c r="ASG9" s="175"/>
      <c r="ASH9" s="175"/>
      <c r="ASI9" s="175"/>
      <c r="ASJ9" s="175"/>
      <c r="ASK9" s="175"/>
      <c r="ASL9" s="175"/>
      <c r="ASM9" s="175"/>
      <c r="ASN9" s="175"/>
      <c r="ASO9" s="175"/>
      <c r="ASP9" s="175"/>
      <c r="ASQ9" s="175"/>
      <c r="ASR9" s="175"/>
      <c r="ASS9" s="175"/>
      <c r="AST9" s="175"/>
      <c r="ASU9" s="175"/>
      <c r="ASV9" s="175"/>
      <c r="ASW9" s="175"/>
      <c r="ASX9" s="175"/>
      <c r="ASY9" s="175"/>
      <c r="ASZ9" s="175"/>
      <c r="ATA9" s="175"/>
      <c r="ATB9" s="175"/>
      <c r="ATC9" s="175"/>
      <c r="ATD9" s="175"/>
      <c r="ATE9" s="175"/>
      <c r="ATF9" s="175"/>
      <c r="ATG9" s="175"/>
      <c r="ATH9" s="175"/>
      <c r="ATI9" s="175"/>
      <c r="ATJ9" s="175"/>
      <c r="ATK9" s="175"/>
      <c r="ATL9" s="175"/>
      <c r="ATM9" s="175"/>
      <c r="ATN9" s="175"/>
      <c r="ATO9" s="175"/>
      <c r="ATP9" s="175"/>
      <c r="ATQ9" s="175"/>
      <c r="ATR9" s="175"/>
      <c r="ATS9" s="175"/>
      <c r="ATT9" s="175"/>
      <c r="ATU9" s="175"/>
      <c r="ATV9" s="175"/>
      <c r="ATW9" s="175"/>
      <c r="ATX9" s="175"/>
      <c r="ATY9" s="175"/>
      <c r="ATZ9" s="175"/>
      <c r="AUA9" s="175"/>
      <c r="AUB9" s="175"/>
      <c r="AUC9" s="175"/>
      <c r="AUD9" s="175"/>
      <c r="AUE9" s="175"/>
      <c r="AUF9" s="175"/>
      <c r="AUG9" s="175"/>
      <c r="AUH9" s="175"/>
      <c r="AUI9" s="175"/>
      <c r="AUJ9" s="175"/>
      <c r="AUK9" s="175"/>
      <c r="AUL9" s="175"/>
      <c r="AUM9" s="175"/>
      <c r="AUN9" s="175"/>
      <c r="AUO9" s="175"/>
      <c r="AUP9" s="175"/>
      <c r="AUQ9" s="175"/>
      <c r="AUR9" s="175"/>
      <c r="AUS9" s="175"/>
      <c r="AUT9" s="175"/>
      <c r="AUU9" s="175"/>
      <c r="AUV9" s="175"/>
      <c r="AUW9" s="175"/>
      <c r="AUX9" s="175"/>
      <c r="AUY9" s="175"/>
      <c r="AUZ9" s="175"/>
      <c r="AVA9" s="175"/>
      <c r="AVB9" s="175"/>
      <c r="AVC9" s="175"/>
      <c r="AVD9" s="175"/>
      <c r="AVE9" s="175"/>
      <c r="AVF9" s="175"/>
      <c r="AVG9" s="175"/>
      <c r="AVH9" s="175"/>
      <c r="AVI9" s="175"/>
      <c r="AVJ9" s="175"/>
      <c r="AVK9" s="175"/>
      <c r="AVL9" s="175"/>
      <c r="AVM9" s="175"/>
      <c r="AVN9" s="175"/>
      <c r="AVO9" s="175"/>
      <c r="AVP9" s="175"/>
      <c r="AVQ9" s="175"/>
      <c r="AVR9" s="175"/>
      <c r="AVS9" s="175"/>
      <c r="AVT9" s="175"/>
      <c r="AVU9" s="175"/>
      <c r="AVV9" s="175"/>
      <c r="AVW9" s="175"/>
      <c r="AVX9" s="175"/>
      <c r="AVY9" s="175"/>
      <c r="AVZ9" s="175"/>
      <c r="AWA9" s="175"/>
      <c r="AWB9" s="175"/>
      <c r="AWC9" s="175"/>
      <c r="AWD9" s="175"/>
      <c r="AWE9" s="175"/>
      <c r="AWF9" s="175"/>
      <c r="AWG9" s="175"/>
      <c r="AWH9" s="175"/>
      <c r="AWI9" s="175"/>
      <c r="AWJ9" s="175"/>
      <c r="AWK9" s="175"/>
      <c r="AWL9" s="175"/>
      <c r="AWM9" s="175"/>
      <c r="AWN9" s="175"/>
      <c r="AWO9" s="175"/>
      <c r="AWP9" s="175"/>
      <c r="AWQ9" s="175"/>
      <c r="AWR9" s="175"/>
      <c r="AWS9" s="175"/>
      <c r="AWT9" s="175"/>
      <c r="AWU9" s="175"/>
      <c r="AWV9" s="175"/>
      <c r="AWW9" s="175"/>
      <c r="AWX9" s="175"/>
      <c r="AWY9" s="175"/>
      <c r="AWZ9" s="175"/>
      <c r="AXA9" s="175"/>
      <c r="AXB9" s="175"/>
      <c r="AXC9" s="175"/>
      <c r="AXD9" s="175"/>
      <c r="AXE9" s="175"/>
      <c r="AXF9" s="175"/>
      <c r="AXG9" s="175"/>
      <c r="AXH9" s="175"/>
      <c r="AXI9" s="175"/>
      <c r="AXJ9" s="175"/>
      <c r="AXK9" s="175"/>
      <c r="AXL9" s="175"/>
      <c r="AXM9" s="175"/>
      <c r="AXN9" s="175"/>
      <c r="AXO9" s="175"/>
      <c r="AXP9" s="175"/>
      <c r="AXQ9" s="175"/>
      <c r="AXR9" s="175"/>
      <c r="AXS9" s="175"/>
      <c r="AXT9" s="175"/>
      <c r="AXU9" s="175"/>
      <c r="AXV9" s="175"/>
      <c r="AXW9" s="175"/>
      <c r="AXX9" s="175"/>
      <c r="AXY9" s="175"/>
      <c r="AXZ9" s="175"/>
      <c r="AYA9" s="175"/>
      <c r="AYB9" s="175"/>
      <c r="AYC9" s="175"/>
      <c r="AYD9" s="175"/>
      <c r="AYE9" s="175"/>
      <c r="AYF9" s="175"/>
      <c r="AYG9" s="175"/>
      <c r="AYH9" s="175"/>
      <c r="AYI9" s="175"/>
      <c r="AYJ9" s="175"/>
      <c r="AYK9" s="175"/>
      <c r="AYL9" s="175"/>
      <c r="AYM9" s="175"/>
      <c r="AYN9" s="175"/>
      <c r="AYO9" s="175"/>
      <c r="AYP9" s="175"/>
      <c r="AYQ9" s="175"/>
      <c r="AYR9" s="175"/>
      <c r="AYS9" s="175"/>
      <c r="AYT9" s="175"/>
      <c r="AYU9" s="175"/>
      <c r="AYV9" s="175"/>
      <c r="AYW9" s="175"/>
      <c r="AYX9" s="175"/>
      <c r="AYY9" s="175"/>
      <c r="AYZ9" s="175"/>
      <c r="AZA9" s="175"/>
      <c r="AZB9" s="175"/>
      <c r="AZC9" s="175"/>
      <c r="AZD9" s="175"/>
      <c r="AZE9" s="175"/>
      <c r="AZF9" s="175"/>
      <c r="AZG9" s="175"/>
      <c r="AZH9" s="175"/>
      <c r="AZI9" s="175"/>
      <c r="AZJ9" s="175"/>
      <c r="AZK9" s="175"/>
      <c r="AZL9" s="175"/>
      <c r="AZM9" s="175"/>
      <c r="AZN9" s="175"/>
      <c r="AZO9" s="175"/>
      <c r="AZP9" s="175"/>
      <c r="AZQ9" s="175"/>
      <c r="AZR9" s="175"/>
      <c r="AZS9" s="175"/>
      <c r="AZT9" s="175"/>
      <c r="AZU9" s="175"/>
      <c r="AZV9" s="175"/>
      <c r="AZW9" s="175"/>
      <c r="AZX9" s="175"/>
      <c r="AZY9" s="175"/>
      <c r="AZZ9" s="175"/>
      <c r="BAA9" s="175"/>
      <c r="BAB9" s="175"/>
      <c r="BAC9" s="175"/>
      <c r="BAD9" s="175"/>
      <c r="BAE9" s="175"/>
      <c r="BAF9" s="175"/>
      <c r="BAG9" s="175"/>
      <c r="BAH9" s="175"/>
      <c r="BAI9" s="175"/>
      <c r="BAJ9" s="175"/>
      <c r="BAK9" s="175"/>
      <c r="BAL9" s="175"/>
      <c r="BAM9" s="175"/>
      <c r="BAN9" s="175"/>
      <c r="BAO9" s="175"/>
      <c r="BAP9" s="175"/>
      <c r="BAQ9" s="175"/>
      <c r="BAR9" s="175"/>
      <c r="BAS9" s="175"/>
      <c r="BAT9" s="175"/>
      <c r="BAU9" s="175"/>
      <c r="BAV9" s="175"/>
      <c r="BAW9" s="175"/>
      <c r="BAX9" s="175"/>
      <c r="BAY9" s="175"/>
      <c r="BAZ9" s="175"/>
      <c r="BBA9" s="175"/>
      <c r="BBB9" s="175"/>
      <c r="BBC9" s="175"/>
      <c r="BBD9" s="175"/>
      <c r="BBE9" s="175"/>
      <c r="BBF9" s="175"/>
      <c r="BBG9" s="175"/>
      <c r="BBH9" s="175"/>
      <c r="BBI9" s="175"/>
      <c r="BBJ9" s="175"/>
      <c r="BBK9" s="175"/>
      <c r="BBL9" s="175"/>
      <c r="BBM9" s="175"/>
      <c r="BBN9" s="175"/>
      <c r="BBO9" s="175"/>
      <c r="BBP9" s="175"/>
      <c r="BBQ9" s="175"/>
      <c r="BBR9" s="175"/>
      <c r="BBS9" s="175"/>
      <c r="BBT9" s="175"/>
      <c r="BBU9" s="175"/>
      <c r="BBV9" s="175"/>
      <c r="BBW9" s="175"/>
      <c r="BBX9" s="175"/>
      <c r="BBY9" s="175"/>
      <c r="BBZ9" s="175"/>
      <c r="BCA9" s="175"/>
      <c r="BCB9" s="175"/>
      <c r="BCC9" s="175"/>
      <c r="BCD9" s="175"/>
      <c r="BCE9" s="175"/>
      <c r="BCF9" s="175"/>
      <c r="BCG9" s="175"/>
      <c r="BCH9" s="175"/>
      <c r="BCI9" s="175"/>
      <c r="BCJ9" s="175"/>
      <c r="BCK9" s="175"/>
      <c r="BCL9" s="175"/>
      <c r="BCM9" s="175"/>
      <c r="BCN9" s="175"/>
      <c r="BCO9" s="175"/>
      <c r="BCP9" s="175"/>
      <c r="BCQ9" s="175"/>
      <c r="BCR9" s="175"/>
      <c r="BCS9" s="175"/>
      <c r="BCT9" s="175"/>
      <c r="BCU9" s="175"/>
      <c r="BCV9" s="175"/>
      <c r="BCW9" s="175"/>
      <c r="BCX9" s="175"/>
      <c r="BCY9" s="175"/>
      <c r="BCZ9" s="175"/>
      <c r="BDA9" s="175"/>
      <c r="BDB9" s="175"/>
      <c r="BDC9" s="175"/>
      <c r="BDD9" s="175"/>
      <c r="BDE9" s="175"/>
      <c r="BDF9" s="175"/>
      <c r="BDG9" s="175"/>
      <c r="BDH9" s="175"/>
      <c r="BDI9" s="175"/>
      <c r="BDJ9" s="175"/>
      <c r="BDK9" s="175"/>
      <c r="BDL9" s="175"/>
      <c r="BDM9" s="175"/>
      <c r="BDN9" s="175"/>
      <c r="BDO9" s="175"/>
      <c r="BDP9" s="175"/>
      <c r="BDQ9" s="175"/>
      <c r="BDR9" s="175"/>
      <c r="BDS9" s="175"/>
      <c r="BDT9" s="175"/>
      <c r="BDU9" s="175"/>
      <c r="BDV9" s="175"/>
      <c r="BDW9" s="175"/>
      <c r="BDX9" s="175"/>
      <c r="BDY9" s="175"/>
      <c r="BDZ9" s="175"/>
      <c r="BEA9" s="175"/>
      <c r="BEB9" s="175"/>
      <c r="BEC9" s="175"/>
      <c r="BED9" s="175"/>
      <c r="BEE9" s="175"/>
      <c r="BEF9" s="175"/>
      <c r="BEG9" s="175"/>
      <c r="BEH9" s="175"/>
      <c r="BEI9" s="175"/>
      <c r="BEJ9" s="175"/>
      <c r="BEK9" s="175"/>
      <c r="BEL9" s="175"/>
      <c r="BEM9" s="175"/>
      <c r="BEN9" s="175"/>
      <c r="BEO9" s="175"/>
      <c r="BEP9" s="175"/>
      <c r="BEQ9" s="175"/>
      <c r="BER9" s="175"/>
      <c r="BES9" s="175"/>
      <c r="BET9" s="175"/>
      <c r="BEU9" s="175"/>
      <c r="BEV9" s="175"/>
      <c r="BEW9" s="175"/>
      <c r="BEX9" s="175"/>
      <c r="BEY9" s="175"/>
      <c r="BEZ9" s="175"/>
      <c r="BFA9" s="175"/>
      <c r="BFB9" s="175"/>
      <c r="BFC9" s="175"/>
      <c r="BFD9" s="175"/>
      <c r="BFE9" s="175"/>
      <c r="BFF9" s="175"/>
      <c r="BFG9" s="175"/>
      <c r="BFH9" s="175"/>
      <c r="BFI9" s="175"/>
      <c r="BFJ9" s="175"/>
      <c r="BFK9" s="175"/>
      <c r="BFL9" s="175"/>
      <c r="BFM9" s="175"/>
      <c r="BFN9" s="175"/>
      <c r="BFO9" s="175"/>
      <c r="BFP9" s="175"/>
      <c r="BFQ9" s="175"/>
      <c r="BFR9" s="175"/>
      <c r="BFS9" s="175"/>
      <c r="BFT9" s="175"/>
      <c r="BFU9" s="175"/>
      <c r="BFV9" s="175"/>
      <c r="BFW9" s="175"/>
      <c r="BFX9" s="175"/>
      <c r="BFY9" s="175"/>
      <c r="BFZ9" s="175"/>
      <c r="BGA9" s="175"/>
      <c r="BGB9" s="175"/>
      <c r="BGC9" s="175"/>
      <c r="BGD9" s="175"/>
      <c r="BGE9" s="175"/>
      <c r="BGF9" s="175"/>
      <c r="BGG9" s="175"/>
      <c r="BGH9" s="175"/>
      <c r="BGI9" s="175"/>
      <c r="BGJ9" s="175"/>
      <c r="BGK9" s="175"/>
      <c r="BGL9" s="175"/>
      <c r="BGM9" s="175"/>
      <c r="BGN9" s="175"/>
      <c r="BGO9" s="175"/>
      <c r="BGP9" s="175"/>
      <c r="BGQ9" s="175"/>
      <c r="BGR9" s="175"/>
      <c r="BGS9" s="175"/>
      <c r="BGT9" s="175"/>
      <c r="BGU9" s="175"/>
      <c r="BGV9" s="175"/>
      <c r="BGW9" s="175"/>
      <c r="BGX9" s="175"/>
      <c r="BGY9" s="175"/>
      <c r="BGZ9" s="175"/>
      <c r="BHA9" s="175"/>
      <c r="BHB9" s="175"/>
      <c r="BHC9" s="175"/>
      <c r="BHD9" s="175"/>
      <c r="BHE9" s="175"/>
      <c r="BHF9" s="175"/>
      <c r="BHG9" s="175"/>
      <c r="BHH9" s="175"/>
      <c r="BHI9" s="175"/>
      <c r="BHJ9" s="175"/>
      <c r="BHK9" s="175"/>
      <c r="BHL9" s="175"/>
      <c r="BHM9" s="175"/>
      <c r="BHN9" s="175"/>
      <c r="BHO9" s="175"/>
      <c r="BHP9" s="175"/>
      <c r="BHQ9" s="175"/>
      <c r="BHR9" s="175"/>
      <c r="BHS9" s="175"/>
      <c r="BHT9" s="175"/>
      <c r="BHU9" s="175"/>
      <c r="BHV9" s="175"/>
      <c r="BHW9" s="175"/>
      <c r="BHX9" s="175"/>
      <c r="BHY9" s="175"/>
      <c r="BHZ9" s="175"/>
      <c r="BIA9" s="175"/>
      <c r="BIB9" s="175"/>
      <c r="BIC9" s="175"/>
      <c r="BID9" s="175"/>
      <c r="BIE9" s="175"/>
      <c r="BIF9" s="175"/>
      <c r="BIG9" s="175"/>
      <c r="BIH9" s="175"/>
      <c r="BII9" s="175"/>
      <c r="BIJ9" s="175"/>
      <c r="BIK9" s="175"/>
      <c r="BIL9" s="175"/>
      <c r="BIM9" s="175"/>
      <c r="BIN9" s="175"/>
      <c r="BIO9" s="175"/>
      <c r="BIP9" s="175"/>
      <c r="BIQ9" s="175"/>
      <c r="BIR9" s="175"/>
      <c r="BIS9" s="175"/>
      <c r="BIT9" s="175"/>
      <c r="BIU9" s="175"/>
      <c r="BIV9" s="175"/>
      <c r="BIW9" s="175"/>
      <c r="BIX9" s="175"/>
      <c r="BIY9" s="175"/>
      <c r="BIZ9" s="175"/>
      <c r="BJA9" s="175"/>
      <c r="BJB9" s="175"/>
      <c r="BJC9" s="175"/>
      <c r="BJD9" s="175"/>
      <c r="BJE9" s="175"/>
      <c r="BJF9" s="175"/>
      <c r="BJG9" s="175"/>
      <c r="BJH9" s="175"/>
      <c r="BJI9" s="175"/>
      <c r="BJJ9" s="175"/>
      <c r="BJK9" s="175"/>
      <c r="BJL9" s="175"/>
      <c r="BJM9" s="175"/>
      <c r="BJN9" s="175"/>
      <c r="BJO9" s="175"/>
      <c r="BJP9" s="175"/>
      <c r="BJQ9" s="175"/>
      <c r="BJR9" s="175"/>
      <c r="BJS9" s="175"/>
      <c r="BJT9" s="175"/>
      <c r="BJU9" s="175"/>
      <c r="BJV9" s="175"/>
      <c r="BJW9" s="175"/>
      <c r="BJX9" s="175"/>
      <c r="BJY9" s="175"/>
      <c r="BJZ9" s="175"/>
      <c r="BKA9" s="175"/>
      <c r="BKB9" s="175"/>
      <c r="BKC9" s="175"/>
      <c r="BKD9" s="175"/>
      <c r="BKE9" s="175"/>
      <c r="BKF9" s="175"/>
      <c r="BKG9" s="175"/>
      <c r="BKH9" s="175"/>
      <c r="BKI9" s="175"/>
      <c r="BKJ9" s="175"/>
      <c r="BKK9" s="175"/>
      <c r="BKL9" s="175"/>
      <c r="BKM9" s="175"/>
      <c r="BKN9" s="175"/>
      <c r="BKO9" s="175"/>
      <c r="BKP9" s="175"/>
      <c r="BKQ9" s="175"/>
      <c r="BKR9" s="175"/>
      <c r="BKS9" s="175"/>
      <c r="BKT9" s="175"/>
      <c r="BKU9" s="175"/>
      <c r="BKV9" s="175"/>
      <c r="BKW9" s="175"/>
      <c r="BKX9" s="175"/>
      <c r="BKY9" s="175"/>
      <c r="BKZ9" s="175"/>
      <c r="BLA9" s="175"/>
      <c r="BLB9" s="175"/>
      <c r="BLC9" s="175"/>
      <c r="BLD9" s="175"/>
      <c r="BLE9" s="175"/>
      <c r="BLF9" s="175"/>
      <c r="BLG9" s="175"/>
      <c r="BLH9" s="175"/>
      <c r="BLI9" s="175"/>
      <c r="BLJ9" s="175"/>
      <c r="BLK9" s="175"/>
      <c r="BLL9" s="175"/>
      <c r="BLM9" s="175"/>
      <c r="BLN9" s="175"/>
      <c r="BLO9" s="175"/>
      <c r="BLP9" s="175"/>
      <c r="BLQ9" s="175"/>
      <c r="BLR9" s="175"/>
      <c r="BLS9" s="175"/>
      <c r="BLT9" s="175"/>
      <c r="BLU9" s="175"/>
      <c r="BLV9" s="175"/>
      <c r="BLW9" s="175"/>
      <c r="BLX9" s="175"/>
      <c r="BLY9" s="175"/>
      <c r="BLZ9" s="175"/>
      <c r="BMA9" s="175"/>
      <c r="BMB9" s="175"/>
      <c r="BMC9" s="175"/>
      <c r="BMD9" s="175"/>
      <c r="BME9" s="175"/>
      <c r="BMF9" s="175"/>
      <c r="BMG9" s="175"/>
      <c r="BMH9" s="175"/>
      <c r="BMI9" s="175"/>
      <c r="BMJ9" s="175"/>
      <c r="BMK9" s="175"/>
      <c r="BML9" s="175"/>
      <c r="BMM9" s="175"/>
      <c r="BMN9" s="175"/>
      <c r="BMO9" s="175"/>
      <c r="BMP9" s="175"/>
      <c r="BMQ9" s="175"/>
      <c r="BMR9" s="175"/>
      <c r="BMS9" s="175"/>
      <c r="BMT9" s="175"/>
      <c r="BMU9" s="175"/>
      <c r="BMV9" s="175"/>
      <c r="BMW9" s="175"/>
      <c r="BMX9" s="175"/>
      <c r="BMY9" s="175"/>
      <c r="BMZ9" s="175"/>
      <c r="BNA9" s="175"/>
      <c r="BNB9" s="175"/>
      <c r="BNC9" s="175"/>
      <c r="BND9" s="175"/>
      <c r="BNE9" s="175"/>
      <c r="BNF9" s="175"/>
      <c r="BNG9" s="175"/>
      <c r="BNH9" s="175"/>
      <c r="BNI9" s="175"/>
      <c r="BNJ9" s="175"/>
      <c r="BNK9" s="175"/>
      <c r="BNL9" s="175"/>
      <c r="BNM9" s="175"/>
      <c r="BNN9" s="175"/>
      <c r="BNO9" s="175"/>
      <c r="BNP9" s="175"/>
      <c r="BNQ9" s="175"/>
      <c r="BNR9" s="175"/>
      <c r="BNS9" s="175"/>
      <c r="BNT9" s="175"/>
      <c r="BNU9" s="175"/>
      <c r="BNV9" s="175"/>
      <c r="BNW9" s="175"/>
      <c r="BNX9" s="175"/>
      <c r="BNY9" s="175"/>
      <c r="BNZ9" s="175"/>
      <c r="BOA9" s="175"/>
      <c r="BOB9" s="175"/>
      <c r="BOC9" s="175"/>
      <c r="BOD9" s="175"/>
      <c r="BOE9" s="175"/>
      <c r="BOF9" s="175"/>
      <c r="BOG9" s="175"/>
      <c r="BOH9" s="175"/>
      <c r="BOI9" s="175"/>
      <c r="BOJ9" s="175"/>
      <c r="BOK9" s="175"/>
      <c r="BOL9" s="175"/>
      <c r="BOM9" s="175"/>
      <c r="BON9" s="175"/>
      <c r="BOO9" s="175"/>
      <c r="BOP9" s="175"/>
      <c r="BOQ9" s="175"/>
      <c r="BOR9" s="175"/>
      <c r="BOS9" s="175"/>
      <c r="BOT9" s="175"/>
      <c r="BOU9" s="175"/>
      <c r="BOV9" s="175"/>
      <c r="BOW9" s="175"/>
      <c r="BOX9" s="175"/>
      <c r="BOY9" s="175"/>
      <c r="BOZ9" s="175"/>
      <c r="BPA9" s="175"/>
      <c r="BPB9" s="175"/>
      <c r="BPC9" s="175"/>
      <c r="BPD9" s="175"/>
      <c r="BPE9" s="175"/>
      <c r="BPF9" s="175"/>
      <c r="BPG9" s="175"/>
      <c r="BPH9" s="175"/>
      <c r="BPI9" s="175"/>
      <c r="BPJ9" s="175"/>
      <c r="BPK9" s="175"/>
      <c r="BPL9" s="175"/>
      <c r="BPM9" s="175"/>
      <c r="BPN9" s="175"/>
      <c r="BPO9" s="175"/>
      <c r="BPP9" s="175"/>
      <c r="BPQ9" s="175"/>
      <c r="BPR9" s="175"/>
      <c r="BPS9" s="175"/>
      <c r="BPT9" s="175"/>
      <c r="BPU9" s="175"/>
      <c r="BPV9" s="175"/>
      <c r="BPW9" s="175"/>
      <c r="BPX9" s="175"/>
      <c r="BPY9" s="175"/>
      <c r="BPZ9" s="175"/>
      <c r="BQA9" s="175"/>
      <c r="BQB9" s="175"/>
      <c r="BQC9" s="175"/>
      <c r="BQD9" s="175"/>
      <c r="BQE9" s="175"/>
      <c r="BQF9" s="175"/>
      <c r="BQG9" s="175"/>
      <c r="BQH9" s="175"/>
      <c r="BQI9" s="175"/>
      <c r="BQJ9" s="175"/>
      <c r="BQK9" s="175"/>
      <c r="BQL9" s="175"/>
      <c r="BQM9" s="175"/>
      <c r="BQN9" s="175"/>
      <c r="BQO9" s="175"/>
      <c r="BQP9" s="175"/>
      <c r="BQQ9" s="175"/>
      <c r="BQR9" s="175"/>
      <c r="BQS9" s="175"/>
      <c r="BQT9" s="175"/>
      <c r="BQU9" s="175"/>
      <c r="BQV9" s="175"/>
      <c r="BQW9" s="175"/>
      <c r="BQX9" s="175"/>
      <c r="BQY9" s="175"/>
      <c r="BQZ9" s="175"/>
      <c r="BRA9" s="175"/>
      <c r="BRB9" s="175"/>
      <c r="BRC9" s="175"/>
      <c r="BRD9" s="175"/>
      <c r="BRE9" s="175"/>
      <c r="BRF9" s="175"/>
      <c r="BRG9" s="175"/>
      <c r="BRH9" s="175"/>
      <c r="BRI9" s="175"/>
      <c r="BRJ9" s="175"/>
      <c r="BRK9" s="175"/>
      <c r="BRL9" s="175"/>
      <c r="BRM9" s="175"/>
      <c r="BRN9" s="175"/>
      <c r="BRO9" s="175"/>
      <c r="BRP9" s="175"/>
      <c r="BRQ9" s="175"/>
      <c r="BRR9" s="175"/>
      <c r="BRS9" s="175"/>
      <c r="BRT9" s="175"/>
      <c r="BRU9" s="175"/>
      <c r="BRV9" s="175"/>
      <c r="BRW9" s="175"/>
      <c r="BRX9" s="175"/>
      <c r="BRY9" s="175"/>
      <c r="BRZ9" s="175"/>
      <c r="BSA9" s="175"/>
      <c r="BSB9" s="175"/>
      <c r="BSC9" s="175"/>
      <c r="BSD9" s="175"/>
      <c r="BSE9" s="175"/>
      <c r="BSF9" s="175"/>
      <c r="BSG9" s="175"/>
      <c r="BSH9" s="175"/>
      <c r="BSI9" s="175"/>
      <c r="BSJ9" s="175"/>
      <c r="BSK9" s="175"/>
      <c r="BSL9" s="175"/>
      <c r="BSM9" s="175"/>
      <c r="BSN9" s="175"/>
      <c r="BSO9" s="175"/>
      <c r="BSP9" s="175"/>
      <c r="BSQ9" s="175"/>
      <c r="BSR9" s="175"/>
      <c r="BSS9" s="175"/>
      <c r="BST9" s="175"/>
      <c r="BSU9" s="175"/>
      <c r="BSV9" s="175"/>
      <c r="BSW9" s="175"/>
      <c r="BSX9" s="175"/>
      <c r="BSY9" s="175"/>
      <c r="BSZ9" s="175"/>
      <c r="BTA9" s="175"/>
      <c r="BTB9" s="175"/>
      <c r="BTC9" s="175"/>
      <c r="BTD9" s="175"/>
      <c r="BTE9" s="175"/>
      <c r="BTF9" s="175"/>
      <c r="BTG9" s="175"/>
      <c r="BTH9" s="175"/>
      <c r="BTI9" s="175"/>
      <c r="BTJ9" s="175"/>
      <c r="BTK9" s="175"/>
      <c r="BTL9" s="175"/>
      <c r="BTM9" s="175"/>
      <c r="BTN9" s="175"/>
      <c r="BTO9" s="175"/>
      <c r="BTP9" s="175"/>
      <c r="BTQ9" s="175"/>
      <c r="BTR9" s="175"/>
      <c r="BTS9" s="175"/>
      <c r="BTT9" s="175"/>
      <c r="BTU9" s="175"/>
      <c r="BTV9" s="175"/>
      <c r="BTW9" s="175"/>
      <c r="BTX9" s="175"/>
      <c r="BTY9" s="175"/>
      <c r="BTZ9" s="175"/>
      <c r="BUA9" s="175"/>
      <c r="BUB9" s="175"/>
      <c r="BUC9" s="175"/>
      <c r="BUD9" s="175"/>
      <c r="BUE9" s="175"/>
      <c r="BUF9" s="175"/>
      <c r="BUG9" s="175"/>
      <c r="BUH9" s="175"/>
      <c r="BUI9" s="175"/>
      <c r="BUJ9" s="175"/>
      <c r="BUK9" s="175"/>
      <c r="BUL9" s="175"/>
      <c r="BUM9" s="175"/>
      <c r="BUN9" s="175"/>
      <c r="BUO9" s="175"/>
      <c r="BUP9" s="175"/>
      <c r="BUQ9" s="175"/>
      <c r="BUR9" s="175"/>
      <c r="BUS9" s="175"/>
      <c r="BUT9" s="175"/>
      <c r="BUU9" s="175"/>
      <c r="BUV9" s="175"/>
      <c r="BUW9" s="175"/>
      <c r="BUX9" s="175"/>
      <c r="BUY9" s="175"/>
      <c r="BUZ9" s="175"/>
      <c r="BVA9" s="175"/>
      <c r="BVB9" s="175"/>
      <c r="BVC9" s="175"/>
      <c r="BVD9" s="175"/>
      <c r="BVE9" s="175"/>
      <c r="BVF9" s="175"/>
      <c r="BVG9" s="175"/>
      <c r="BVH9" s="175"/>
      <c r="BVI9" s="175"/>
      <c r="BVJ9" s="175"/>
      <c r="BVK9" s="175"/>
      <c r="BVL9" s="175"/>
      <c r="BVM9" s="175"/>
      <c r="BVN9" s="175"/>
      <c r="BVO9" s="175"/>
      <c r="BVP9" s="175"/>
      <c r="BVQ9" s="175"/>
      <c r="BVR9" s="175"/>
      <c r="BVS9" s="175"/>
      <c r="BVT9" s="175"/>
      <c r="BVU9" s="175"/>
      <c r="BVV9" s="175"/>
      <c r="BVW9" s="175"/>
      <c r="BVX9" s="175"/>
      <c r="BVY9" s="175"/>
      <c r="BVZ9" s="175"/>
      <c r="BWA9" s="175"/>
      <c r="BWB9" s="175"/>
      <c r="BWC9" s="175"/>
      <c r="BWD9" s="175"/>
      <c r="BWE9" s="175"/>
      <c r="BWF9" s="175"/>
      <c r="BWG9" s="175"/>
      <c r="BWH9" s="175"/>
      <c r="BWI9" s="175"/>
      <c r="BWJ9" s="175"/>
      <c r="BWK9" s="175"/>
      <c r="BWL9" s="175"/>
      <c r="BWM9" s="175"/>
      <c r="BWN9" s="175"/>
      <c r="BWO9" s="175"/>
      <c r="BWP9" s="175"/>
      <c r="BWQ9" s="175"/>
      <c r="BWR9" s="175"/>
      <c r="BWS9" s="175"/>
      <c r="BWT9" s="175"/>
      <c r="BWU9" s="175"/>
      <c r="BWV9" s="175"/>
      <c r="BWW9" s="175"/>
      <c r="BWX9" s="175"/>
      <c r="BWY9" s="175"/>
      <c r="BWZ9" s="175"/>
      <c r="BXA9" s="175"/>
      <c r="BXB9" s="175"/>
      <c r="BXC9" s="175"/>
      <c r="BXD9" s="175"/>
      <c r="BXE9" s="175"/>
      <c r="BXF9" s="175"/>
      <c r="BXG9" s="175"/>
      <c r="BXH9" s="175"/>
      <c r="BXI9" s="175"/>
      <c r="BXJ9" s="175"/>
      <c r="BXK9" s="175"/>
      <c r="BXL9" s="175"/>
      <c r="BXM9" s="175"/>
      <c r="BXN9" s="175"/>
      <c r="BXO9" s="175"/>
      <c r="BXP9" s="175"/>
      <c r="BXQ9" s="175"/>
      <c r="BXR9" s="175"/>
      <c r="BXS9" s="175"/>
      <c r="BXT9" s="175"/>
      <c r="BXU9" s="175"/>
      <c r="BXV9" s="175"/>
      <c r="BXW9" s="175"/>
      <c r="BXX9" s="175"/>
      <c r="BXY9" s="175"/>
      <c r="BXZ9" s="175"/>
      <c r="BYA9" s="175"/>
      <c r="BYB9" s="175"/>
      <c r="BYC9" s="175"/>
      <c r="BYD9" s="175"/>
      <c r="BYE9" s="175"/>
      <c r="BYF9" s="175"/>
      <c r="BYG9" s="175"/>
      <c r="BYH9" s="175"/>
      <c r="BYI9" s="175"/>
      <c r="BYJ9" s="175"/>
      <c r="BYK9" s="175"/>
      <c r="BYL9" s="175"/>
      <c r="BYM9" s="175"/>
      <c r="BYN9" s="175"/>
      <c r="BYO9" s="175"/>
      <c r="BYP9" s="175"/>
      <c r="BYQ9" s="175"/>
      <c r="BYR9" s="175"/>
      <c r="BYS9" s="175"/>
      <c r="BYT9" s="175"/>
      <c r="BYU9" s="175"/>
      <c r="BYV9" s="175"/>
      <c r="BYW9" s="175"/>
      <c r="BYX9" s="175"/>
      <c r="BYY9" s="175"/>
      <c r="BYZ9" s="175"/>
      <c r="BZA9" s="175"/>
      <c r="BZB9" s="175"/>
      <c r="BZC9" s="175"/>
      <c r="BZD9" s="175"/>
      <c r="BZE9" s="175"/>
      <c r="BZF9" s="175"/>
      <c r="BZG9" s="175"/>
      <c r="BZH9" s="175"/>
      <c r="BZI9" s="175"/>
      <c r="BZJ9" s="175"/>
      <c r="BZK9" s="175"/>
      <c r="BZL9" s="175"/>
      <c r="BZM9" s="175"/>
      <c r="BZN9" s="175"/>
      <c r="BZO9" s="175"/>
      <c r="BZP9" s="175"/>
      <c r="BZQ9" s="175"/>
      <c r="BZR9" s="175"/>
      <c r="BZS9" s="175"/>
      <c r="BZT9" s="175"/>
      <c r="BZU9" s="175"/>
      <c r="BZV9" s="175"/>
      <c r="BZW9" s="175"/>
      <c r="BZX9" s="175"/>
      <c r="BZY9" s="175"/>
      <c r="BZZ9" s="175"/>
      <c r="CAA9" s="175"/>
      <c r="CAB9" s="175"/>
      <c r="CAC9" s="175"/>
      <c r="CAD9" s="175"/>
      <c r="CAE9" s="175"/>
      <c r="CAF9" s="175"/>
      <c r="CAG9" s="175"/>
      <c r="CAH9" s="175"/>
      <c r="CAI9" s="175"/>
      <c r="CAJ9" s="175"/>
      <c r="CAK9" s="175"/>
      <c r="CAL9" s="175"/>
      <c r="CAM9" s="175"/>
      <c r="CAN9" s="175"/>
      <c r="CAO9" s="175"/>
      <c r="CAP9" s="175"/>
      <c r="CAQ9" s="175"/>
      <c r="CAR9" s="175"/>
      <c r="CAS9" s="175"/>
      <c r="CAT9" s="175"/>
      <c r="CAU9" s="175"/>
      <c r="CAV9" s="175"/>
      <c r="CAW9" s="175"/>
      <c r="CAX9" s="175"/>
      <c r="CAY9" s="175"/>
      <c r="CAZ9" s="175"/>
      <c r="CBA9" s="175"/>
      <c r="CBB9" s="175"/>
      <c r="CBC9" s="175"/>
      <c r="CBD9" s="175"/>
      <c r="CBE9" s="175"/>
      <c r="CBF9" s="175"/>
      <c r="CBG9" s="175"/>
      <c r="CBH9" s="175"/>
      <c r="CBI9" s="175"/>
      <c r="CBJ9" s="175"/>
      <c r="CBK9" s="175"/>
      <c r="CBL9" s="175"/>
      <c r="CBM9" s="175"/>
      <c r="CBN9" s="175"/>
      <c r="CBO9" s="175"/>
      <c r="CBP9" s="175"/>
      <c r="CBQ9" s="175"/>
      <c r="CBR9" s="175"/>
      <c r="CBS9" s="175"/>
      <c r="CBT9" s="175"/>
      <c r="CBU9" s="175"/>
      <c r="CBV9" s="175"/>
      <c r="CBW9" s="175"/>
      <c r="CBX9" s="175"/>
      <c r="CBY9" s="175"/>
      <c r="CBZ9" s="175"/>
      <c r="CCA9" s="175"/>
      <c r="CCB9" s="175"/>
      <c r="CCC9" s="175"/>
      <c r="CCD9" s="175"/>
      <c r="CCE9" s="175"/>
      <c r="CCF9" s="175"/>
      <c r="CCG9" s="175"/>
      <c r="CCH9" s="175"/>
      <c r="CCI9" s="175"/>
      <c r="CCJ9" s="175"/>
      <c r="CCK9" s="175"/>
      <c r="CCL9" s="175"/>
      <c r="CCM9" s="175"/>
      <c r="CCN9" s="175"/>
      <c r="CCO9" s="175"/>
      <c r="CCP9" s="175"/>
      <c r="CCQ9" s="175"/>
      <c r="CCR9" s="175"/>
      <c r="CCS9" s="175"/>
      <c r="CCT9" s="175"/>
      <c r="CCU9" s="175"/>
      <c r="CCV9" s="175"/>
      <c r="CCW9" s="175"/>
      <c r="CCX9" s="175"/>
      <c r="CCY9" s="175"/>
      <c r="CCZ9" s="175"/>
      <c r="CDA9" s="175"/>
      <c r="CDB9" s="175"/>
      <c r="CDC9" s="175"/>
      <c r="CDD9" s="175"/>
      <c r="CDE9" s="175"/>
      <c r="CDF9" s="175"/>
      <c r="CDG9" s="175"/>
      <c r="CDH9" s="175"/>
      <c r="CDI9" s="175"/>
      <c r="CDJ9" s="175"/>
      <c r="CDK9" s="175"/>
      <c r="CDL9" s="175"/>
      <c r="CDM9" s="175"/>
      <c r="CDN9" s="175"/>
      <c r="CDO9" s="175"/>
      <c r="CDP9" s="175"/>
      <c r="CDQ9" s="175"/>
      <c r="CDR9" s="175"/>
      <c r="CDS9" s="175"/>
      <c r="CDT9" s="175"/>
      <c r="CDU9" s="175"/>
      <c r="CDV9" s="175"/>
      <c r="CDW9" s="175"/>
      <c r="CDX9" s="175"/>
      <c r="CDY9" s="175"/>
      <c r="CDZ9" s="175"/>
      <c r="CEA9" s="175"/>
      <c r="CEB9" s="175"/>
      <c r="CEC9" s="175"/>
      <c r="CED9" s="175"/>
      <c r="CEE9" s="175"/>
      <c r="CEF9" s="175"/>
      <c r="CEG9" s="175"/>
      <c r="CEH9" s="175"/>
      <c r="CEI9" s="175"/>
      <c r="CEJ9" s="175"/>
      <c r="CEK9" s="175"/>
      <c r="CEL9" s="175"/>
      <c r="CEM9" s="175"/>
      <c r="CEN9" s="175"/>
      <c r="CEO9" s="175"/>
      <c r="CEP9" s="175"/>
      <c r="CEQ9" s="175"/>
      <c r="CER9" s="175"/>
      <c r="CES9" s="175"/>
      <c r="CET9" s="175"/>
      <c r="CEU9" s="175"/>
      <c r="CEV9" s="175"/>
      <c r="CEW9" s="175"/>
      <c r="CEX9" s="175"/>
      <c r="CEY9" s="175"/>
      <c r="CEZ9" s="175"/>
      <c r="CFA9" s="175"/>
      <c r="CFB9" s="175"/>
      <c r="CFC9" s="175"/>
      <c r="CFD9" s="175"/>
      <c r="CFE9" s="175"/>
      <c r="CFF9" s="175"/>
      <c r="CFG9" s="175"/>
      <c r="CFH9" s="175"/>
      <c r="CFI9" s="175"/>
      <c r="CFJ9" s="175"/>
      <c r="CFK9" s="175"/>
      <c r="CFL9" s="175"/>
      <c r="CFM9" s="175"/>
      <c r="CFN9" s="175"/>
      <c r="CFO9" s="175"/>
      <c r="CFP9" s="175"/>
      <c r="CFQ9" s="175"/>
      <c r="CFR9" s="175"/>
      <c r="CFS9" s="175"/>
      <c r="CFT9" s="175"/>
      <c r="CFU9" s="175"/>
      <c r="CFV9" s="175"/>
      <c r="CFW9" s="175"/>
      <c r="CFX9" s="175"/>
      <c r="CFY9" s="175"/>
      <c r="CFZ9" s="175"/>
      <c r="CGA9" s="175"/>
      <c r="CGB9" s="175"/>
      <c r="CGC9" s="175"/>
      <c r="CGD9" s="175"/>
      <c r="CGE9" s="175"/>
      <c r="CGF9" s="175"/>
      <c r="CGG9" s="175"/>
      <c r="CGH9" s="175"/>
      <c r="CGI9" s="175"/>
      <c r="CGJ9" s="175"/>
      <c r="CGK9" s="175"/>
      <c r="CGL9" s="175"/>
      <c r="CGM9" s="175"/>
      <c r="CGN9" s="175"/>
      <c r="CGO9" s="175"/>
      <c r="CGP9" s="175"/>
      <c r="CGQ9" s="175"/>
      <c r="CGR9" s="175"/>
      <c r="CGS9" s="175"/>
      <c r="CGT9" s="175"/>
      <c r="CGU9" s="175"/>
      <c r="CGV9" s="175"/>
      <c r="CGW9" s="175"/>
      <c r="CGX9" s="175"/>
      <c r="CGY9" s="175"/>
      <c r="CGZ9" s="175"/>
      <c r="CHA9" s="175"/>
      <c r="CHB9" s="175"/>
      <c r="CHC9" s="175"/>
      <c r="CHD9" s="175"/>
      <c r="CHE9" s="175"/>
      <c r="CHF9" s="175"/>
      <c r="CHG9" s="175"/>
      <c r="CHH9" s="175"/>
      <c r="CHI9" s="175"/>
      <c r="CHJ9" s="175"/>
      <c r="CHK9" s="175"/>
      <c r="CHL9" s="175"/>
      <c r="CHM9" s="175"/>
      <c r="CHN9" s="175"/>
      <c r="CHO9" s="175"/>
      <c r="CHP9" s="175"/>
      <c r="CHQ9" s="175"/>
      <c r="CHR9" s="175"/>
      <c r="CHS9" s="175"/>
      <c r="CHT9" s="175"/>
      <c r="CHU9" s="175"/>
      <c r="CHV9" s="175"/>
      <c r="CHW9" s="175"/>
      <c r="CHX9" s="175"/>
      <c r="CHY9" s="175"/>
      <c r="CHZ9" s="175"/>
      <c r="CIA9" s="175"/>
      <c r="CIB9" s="175"/>
      <c r="CIC9" s="175"/>
      <c r="CID9" s="175"/>
      <c r="CIE9" s="175"/>
      <c r="CIF9" s="175"/>
      <c r="CIG9" s="175"/>
      <c r="CIH9" s="175"/>
      <c r="CII9" s="175"/>
      <c r="CIJ9" s="175"/>
      <c r="CIK9" s="175"/>
      <c r="CIL9" s="175"/>
      <c r="CIM9" s="175"/>
      <c r="CIN9" s="175"/>
      <c r="CIO9" s="175"/>
      <c r="CIP9" s="175"/>
      <c r="CIQ9" s="175"/>
      <c r="CIR9" s="175"/>
      <c r="CIS9" s="175"/>
      <c r="CIT9" s="175"/>
      <c r="CIU9" s="175"/>
      <c r="CIV9" s="175"/>
      <c r="CIW9" s="175"/>
      <c r="CIX9" s="175"/>
      <c r="CIY9" s="175"/>
      <c r="CIZ9" s="175"/>
      <c r="CJA9" s="175"/>
      <c r="CJB9" s="175"/>
      <c r="CJC9" s="175"/>
      <c r="CJD9" s="175"/>
      <c r="CJE9" s="175"/>
      <c r="CJF9" s="175"/>
      <c r="CJG9" s="175"/>
      <c r="CJH9" s="175"/>
      <c r="CJI9" s="175"/>
      <c r="CJJ9" s="175"/>
      <c r="CJK9" s="175"/>
      <c r="CJL9" s="175"/>
      <c r="CJM9" s="175"/>
      <c r="CJN9" s="175"/>
      <c r="CJO9" s="175"/>
      <c r="CJP9" s="175"/>
      <c r="CJQ9" s="175"/>
      <c r="CJR9" s="175"/>
      <c r="CJS9" s="175"/>
      <c r="CJT9" s="175"/>
      <c r="CJU9" s="175"/>
      <c r="CJV9" s="175"/>
      <c r="CJW9" s="175"/>
      <c r="CJX9" s="175"/>
      <c r="CJY9" s="175"/>
      <c r="CJZ9" s="175"/>
      <c r="CKA9" s="175"/>
      <c r="CKB9" s="175"/>
      <c r="CKC9" s="175"/>
      <c r="CKD9" s="175"/>
      <c r="CKE9" s="175"/>
      <c r="CKF9" s="175"/>
      <c r="CKG9" s="175"/>
      <c r="CKH9" s="175"/>
      <c r="CKI9" s="175"/>
      <c r="CKJ9" s="175"/>
      <c r="CKK9" s="175"/>
      <c r="CKL9" s="175"/>
      <c r="CKM9" s="175"/>
      <c r="CKN9" s="175"/>
      <c r="CKO9" s="175"/>
      <c r="CKP9" s="175"/>
      <c r="CKQ9" s="175"/>
      <c r="CKR9" s="175"/>
      <c r="CKS9" s="175"/>
      <c r="CKT9" s="175"/>
      <c r="CKU9" s="175"/>
      <c r="CKV9" s="175"/>
      <c r="CKW9" s="175"/>
      <c r="CKX9" s="175"/>
      <c r="CKY9" s="175"/>
      <c r="CKZ9" s="175"/>
      <c r="CLA9" s="175"/>
      <c r="CLB9" s="175"/>
      <c r="CLC9" s="175"/>
      <c r="CLD9" s="175"/>
      <c r="CLE9" s="175"/>
      <c r="CLF9" s="175"/>
      <c r="CLG9" s="175"/>
      <c r="CLH9" s="175"/>
      <c r="CLI9" s="175"/>
      <c r="CLJ9" s="175"/>
      <c r="CLK9" s="175"/>
      <c r="CLL9" s="175"/>
      <c r="CLM9" s="175"/>
      <c r="CLN9" s="175"/>
      <c r="CLO9" s="175"/>
      <c r="CLP9" s="175"/>
      <c r="CLQ9" s="175"/>
      <c r="CLR9" s="175"/>
      <c r="CLS9" s="175"/>
      <c r="CLT9" s="175"/>
      <c r="CLU9" s="175"/>
      <c r="CLV9" s="175"/>
      <c r="CLW9" s="175"/>
      <c r="CLX9" s="175"/>
      <c r="CLY9" s="175"/>
      <c r="CLZ9" s="175"/>
      <c r="CMA9" s="175"/>
      <c r="CMB9" s="175"/>
      <c r="CMC9" s="175"/>
      <c r="CMD9" s="175"/>
      <c r="CME9" s="175"/>
      <c r="CMF9" s="175"/>
      <c r="CMG9" s="175"/>
      <c r="CMH9" s="175"/>
      <c r="CMI9" s="175"/>
      <c r="CMJ9" s="175"/>
      <c r="CMK9" s="175"/>
      <c r="CML9" s="175"/>
      <c r="CMM9" s="175"/>
      <c r="CMN9" s="175"/>
      <c r="CMO9" s="175"/>
      <c r="CMP9" s="175"/>
      <c r="CMQ9" s="175"/>
      <c r="CMR9" s="175"/>
      <c r="CMS9" s="175"/>
      <c r="CMT9" s="175"/>
      <c r="CMU9" s="175"/>
      <c r="CMV9" s="175"/>
      <c r="CMW9" s="175"/>
      <c r="CMX9" s="175"/>
      <c r="CMY9" s="175"/>
      <c r="CMZ9" s="175"/>
      <c r="CNA9" s="175"/>
      <c r="CNB9" s="175"/>
      <c r="CNC9" s="175"/>
      <c r="CND9" s="175"/>
      <c r="CNE9" s="175"/>
      <c r="CNF9" s="175"/>
      <c r="CNG9" s="175"/>
      <c r="CNH9" s="175"/>
      <c r="CNI9" s="175"/>
      <c r="CNJ9" s="175"/>
      <c r="CNK9" s="175"/>
      <c r="CNL9" s="175"/>
      <c r="CNM9" s="175"/>
      <c r="CNN9" s="175"/>
      <c r="CNO9" s="175"/>
      <c r="CNP9" s="175"/>
      <c r="CNQ9" s="175"/>
      <c r="CNR9" s="175"/>
      <c r="CNS9" s="175"/>
      <c r="CNT9" s="175"/>
      <c r="CNU9" s="175"/>
      <c r="CNV9" s="175"/>
      <c r="CNW9" s="175"/>
      <c r="CNX9" s="175"/>
      <c r="CNY9" s="175"/>
      <c r="CNZ9" s="175"/>
      <c r="COA9" s="175"/>
      <c r="COB9" s="175"/>
      <c r="COC9" s="175"/>
      <c r="COD9" s="175"/>
      <c r="COE9" s="175"/>
      <c r="COF9" s="175"/>
      <c r="COG9" s="175"/>
      <c r="COH9" s="175"/>
      <c r="COI9" s="175"/>
      <c r="COJ9" s="175"/>
      <c r="COK9" s="175"/>
      <c r="COL9" s="175"/>
      <c r="COM9" s="175"/>
      <c r="CON9" s="175"/>
      <c r="COO9" s="175"/>
      <c r="COP9" s="175"/>
      <c r="COQ9" s="175"/>
      <c r="COR9" s="175"/>
      <c r="COS9" s="175"/>
      <c r="COT9" s="175"/>
      <c r="COU9" s="175"/>
      <c r="COV9" s="175"/>
      <c r="COW9" s="175"/>
      <c r="COX9" s="175"/>
      <c r="COY9" s="175"/>
      <c r="COZ9" s="175"/>
      <c r="CPA9" s="175"/>
      <c r="CPB9" s="175"/>
      <c r="CPC9" s="175"/>
      <c r="CPD9" s="175"/>
      <c r="CPE9" s="175"/>
      <c r="CPF9" s="175"/>
      <c r="CPG9" s="175"/>
      <c r="CPH9" s="175"/>
      <c r="CPI9" s="175"/>
      <c r="CPJ9" s="175"/>
      <c r="CPK9" s="175"/>
      <c r="CPL9" s="175"/>
      <c r="CPM9" s="175"/>
      <c r="CPN9" s="175"/>
      <c r="CPO9" s="175"/>
      <c r="CPP9" s="175"/>
      <c r="CPQ9" s="175"/>
      <c r="CPR9" s="175"/>
      <c r="CPS9" s="175"/>
      <c r="CPT9" s="175"/>
      <c r="CPU9" s="175"/>
      <c r="CPV9" s="175"/>
      <c r="CPW9" s="175"/>
      <c r="CPX9" s="175"/>
      <c r="CPY9" s="175"/>
      <c r="CPZ9" s="175"/>
      <c r="CQA9" s="175"/>
      <c r="CQB9" s="175"/>
      <c r="CQC9" s="175"/>
      <c r="CQD9" s="175"/>
      <c r="CQE9" s="175"/>
      <c r="CQF9" s="175"/>
      <c r="CQG9" s="175"/>
      <c r="CQH9" s="175"/>
      <c r="CQI9" s="175"/>
      <c r="CQJ9" s="175"/>
      <c r="CQK9" s="175"/>
      <c r="CQL9" s="175"/>
      <c r="CQM9" s="175"/>
      <c r="CQN9" s="175"/>
      <c r="CQO9" s="175"/>
      <c r="CQP9" s="175"/>
      <c r="CQQ9" s="175"/>
      <c r="CQR9" s="175"/>
      <c r="CQS9" s="175"/>
      <c r="CQT9" s="175"/>
      <c r="CQU9" s="175"/>
      <c r="CQV9" s="175"/>
      <c r="CQW9" s="175"/>
      <c r="CQX9" s="175"/>
      <c r="CQY9" s="175"/>
      <c r="CQZ9" s="175"/>
      <c r="CRA9" s="175"/>
      <c r="CRB9" s="175"/>
      <c r="CRC9" s="175"/>
      <c r="CRD9" s="175"/>
      <c r="CRE9" s="175"/>
      <c r="CRF9" s="175"/>
      <c r="CRG9" s="175"/>
      <c r="CRH9" s="175"/>
      <c r="CRI9" s="175"/>
      <c r="CRJ9" s="175"/>
      <c r="CRK9" s="175"/>
      <c r="CRL9" s="175"/>
      <c r="CRM9" s="175"/>
      <c r="CRN9" s="175"/>
      <c r="CRO9" s="175"/>
      <c r="CRP9" s="175"/>
      <c r="CRQ9" s="175"/>
      <c r="CRR9" s="175"/>
      <c r="CRS9" s="175"/>
      <c r="CRT9" s="175"/>
      <c r="CRU9" s="175"/>
      <c r="CRV9" s="175"/>
      <c r="CRW9" s="175"/>
      <c r="CRX9" s="175"/>
      <c r="CRY9" s="175"/>
      <c r="CRZ9" s="175"/>
      <c r="CSA9" s="175"/>
      <c r="CSB9" s="175"/>
      <c r="CSC9" s="175"/>
      <c r="CSD9" s="175"/>
      <c r="CSE9" s="175"/>
      <c r="CSF9" s="175"/>
      <c r="CSG9" s="175"/>
      <c r="CSH9" s="175"/>
      <c r="CSI9" s="175"/>
      <c r="CSJ9" s="175"/>
      <c r="CSK9" s="175"/>
      <c r="CSL9" s="175"/>
      <c r="CSM9" s="175"/>
      <c r="CSN9" s="175"/>
      <c r="CSO9" s="175"/>
      <c r="CSP9" s="175"/>
      <c r="CSQ9" s="175"/>
      <c r="CSR9" s="175"/>
      <c r="CSS9" s="175"/>
      <c r="CST9" s="175"/>
      <c r="CSU9" s="175"/>
      <c r="CSV9" s="175"/>
      <c r="CSW9" s="175"/>
      <c r="CSX9" s="175"/>
      <c r="CSY9" s="175"/>
      <c r="CSZ9" s="175"/>
      <c r="CTA9" s="175"/>
      <c r="CTB9" s="175"/>
      <c r="CTC9" s="175"/>
      <c r="CTD9" s="175"/>
      <c r="CTE9" s="175"/>
      <c r="CTF9" s="175"/>
      <c r="CTG9" s="175"/>
      <c r="CTH9" s="175"/>
      <c r="CTI9" s="175"/>
      <c r="CTJ9" s="175"/>
      <c r="CTK9" s="175"/>
      <c r="CTL9" s="175"/>
      <c r="CTM9" s="175"/>
      <c r="CTN9" s="175"/>
      <c r="CTO9" s="175"/>
      <c r="CTP9" s="175"/>
      <c r="CTQ9" s="175"/>
      <c r="CTR9" s="175"/>
      <c r="CTS9" s="175"/>
      <c r="CTT9" s="175"/>
      <c r="CTU9" s="175"/>
      <c r="CTV9" s="175"/>
      <c r="CTW9" s="175"/>
      <c r="CTX9" s="175"/>
      <c r="CTY9" s="175"/>
      <c r="CTZ9" s="175"/>
      <c r="CUA9" s="175"/>
      <c r="CUB9" s="175"/>
      <c r="CUC9" s="175"/>
      <c r="CUD9" s="175"/>
      <c r="CUE9" s="175"/>
      <c r="CUF9" s="175"/>
      <c r="CUG9" s="175"/>
      <c r="CUH9" s="175"/>
      <c r="CUI9" s="175"/>
      <c r="CUJ9" s="175"/>
      <c r="CUK9" s="175"/>
      <c r="CUL9" s="175"/>
      <c r="CUM9" s="175"/>
      <c r="CUN9" s="175"/>
      <c r="CUO9" s="175"/>
      <c r="CUP9" s="175"/>
      <c r="CUQ9" s="175"/>
      <c r="CUR9" s="175"/>
      <c r="CUS9" s="175"/>
      <c r="CUT9" s="175"/>
      <c r="CUU9" s="175"/>
      <c r="CUV9" s="175"/>
      <c r="CUW9" s="175"/>
      <c r="CUX9" s="175"/>
      <c r="CUY9" s="175"/>
      <c r="CUZ9" s="175"/>
      <c r="CVA9" s="175"/>
      <c r="CVB9" s="175"/>
      <c r="CVC9" s="175"/>
      <c r="CVD9" s="175"/>
      <c r="CVE9" s="175"/>
      <c r="CVF9" s="175"/>
      <c r="CVG9" s="175"/>
      <c r="CVH9" s="175"/>
      <c r="CVI9" s="175"/>
      <c r="CVJ9" s="175"/>
      <c r="CVK9" s="175"/>
      <c r="CVL9" s="175"/>
      <c r="CVM9" s="175"/>
      <c r="CVN9" s="175"/>
      <c r="CVO9" s="175"/>
      <c r="CVP9" s="175"/>
      <c r="CVQ9" s="175"/>
      <c r="CVR9" s="175"/>
      <c r="CVS9" s="175"/>
      <c r="CVT9" s="175"/>
      <c r="CVU9" s="175"/>
      <c r="CVV9" s="175"/>
      <c r="CVW9" s="175"/>
      <c r="CVX9" s="175"/>
      <c r="CVY9" s="175"/>
      <c r="CVZ9" s="175"/>
      <c r="CWA9" s="175"/>
      <c r="CWB9" s="175"/>
      <c r="CWC9" s="175"/>
      <c r="CWD9" s="175"/>
      <c r="CWE9" s="175"/>
      <c r="CWF9" s="175"/>
      <c r="CWG9" s="175"/>
      <c r="CWH9" s="175"/>
      <c r="CWI9" s="175"/>
      <c r="CWJ9" s="175"/>
      <c r="CWK9" s="175"/>
      <c r="CWL9" s="175"/>
      <c r="CWM9" s="175"/>
      <c r="CWN9" s="175"/>
      <c r="CWO9" s="175"/>
      <c r="CWP9" s="175"/>
      <c r="CWQ9" s="175"/>
      <c r="CWR9" s="175"/>
      <c r="CWS9" s="175"/>
      <c r="CWT9" s="175"/>
      <c r="CWU9" s="175"/>
      <c r="CWV9" s="175"/>
      <c r="CWW9" s="175"/>
      <c r="CWX9" s="175"/>
      <c r="CWY9" s="175"/>
      <c r="CWZ9" s="175"/>
      <c r="CXA9" s="175"/>
      <c r="CXB9" s="175"/>
      <c r="CXC9" s="175"/>
      <c r="CXD9" s="175"/>
      <c r="CXE9" s="175"/>
      <c r="CXF9" s="175"/>
      <c r="CXG9" s="175"/>
      <c r="CXH9" s="175"/>
      <c r="CXI9" s="175"/>
      <c r="CXJ9" s="175"/>
      <c r="CXK9" s="175"/>
      <c r="CXL9" s="175"/>
      <c r="CXM9" s="175"/>
      <c r="CXN9" s="175"/>
      <c r="CXO9" s="175"/>
      <c r="CXP9" s="175"/>
      <c r="CXQ9" s="175"/>
      <c r="CXR9" s="175"/>
      <c r="CXS9" s="175"/>
      <c r="CXT9" s="175"/>
      <c r="CXU9" s="175"/>
      <c r="CXV9" s="175"/>
      <c r="CXW9" s="175"/>
      <c r="CXX9" s="175"/>
      <c r="CXY9" s="175"/>
      <c r="CXZ9" s="175"/>
      <c r="CYA9" s="175"/>
      <c r="CYB9" s="175"/>
      <c r="CYC9" s="175"/>
      <c r="CYD9" s="175"/>
      <c r="CYE9" s="175"/>
      <c r="CYF9" s="175"/>
      <c r="CYG9" s="175"/>
      <c r="CYH9" s="175"/>
      <c r="CYI9" s="175"/>
      <c r="CYJ9" s="175"/>
      <c r="CYK9" s="175"/>
      <c r="CYL9" s="175"/>
      <c r="CYM9" s="175"/>
      <c r="CYN9" s="175"/>
      <c r="CYO9" s="175"/>
      <c r="CYP9" s="175"/>
      <c r="CYQ9" s="175"/>
      <c r="CYR9" s="175"/>
      <c r="CYS9" s="175"/>
      <c r="CYT9" s="175"/>
      <c r="CYU9" s="175"/>
      <c r="CYV9" s="175"/>
      <c r="CYW9" s="175"/>
      <c r="CYX9" s="175"/>
      <c r="CYY9" s="175"/>
      <c r="CYZ9" s="175"/>
      <c r="CZA9" s="175"/>
      <c r="CZB9" s="175"/>
      <c r="CZC9" s="175"/>
      <c r="CZD9" s="175"/>
      <c r="CZE9" s="175"/>
      <c r="CZF9" s="175"/>
      <c r="CZG9" s="175"/>
      <c r="CZH9" s="175"/>
      <c r="CZI9" s="175"/>
      <c r="CZJ9" s="175"/>
      <c r="CZK9" s="175"/>
      <c r="CZL9" s="175"/>
      <c r="CZM9" s="175"/>
      <c r="CZN9" s="175"/>
      <c r="CZO9" s="175"/>
      <c r="CZP9" s="175"/>
      <c r="CZQ9" s="175"/>
      <c r="CZR9" s="175"/>
      <c r="CZS9" s="175"/>
      <c r="CZT9" s="175"/>
      <c r="CZU9" s="175"/>
      <c r="CZV9" s="175"/>
      <c r="CZW9" s="175"/>
      <c r="CZX9" s="175"/>
      <c r="CZY9" s="175"/>
      <c r="CZZ9" s="175"/>
      <c r="DAA9" s="175"/>
      <c r="DAB9" s="175"/>
      <c r="DAC9" s="175"/>
      <c r="DAD9" s="175"/>
      <c r="DAE9" s="175"/>
      <c r="DAF9" s="175"/>
      <c r="DAG9" s="175"/>
      <c r="DAH9" s="175"/>
      <c r="DAI9" s="175"/>
      <c r="DAJ9" s="175"/>
      <c r="DAK9" s="175"/>
      <c r="DAL9" s="175"/>
      <c r="DAM9" s="175"/>
      <c r="DAN9" s="175"/>
      <c r="DAO9" s="175"/>
      <c r="DAP9" s="175"/>
      <c r="DAQ9" s="175"/>
      <c r="DAR9" s="175"/>
      <c r="DAS9" s="175"/>
      <c r="DAT9" s="175"/>
      <c r="DAU9" s="175"/>
      <c r="DAV9" s="175"/>
      <c r="DAW9" s="175"/>
      <c r="DAX9" s="175"/>
      <c r="DAY9" s="175"/>
      <c r="DAZ9" s="175"/>
      <c r="DBA9" s="175"/>
      <c r="DBB9" s="175"/>
      <c r="DBC9" s="175"/>
      <c r="DBD9" s="175"/>
      <c r="DBE9" s="175"/>
      <c r="DBF9" s="175"/>
      <c r="DBG9" s="175"/>
      <c r="DBH9" s="175"/>
      <c r="DBI9" s="175"/>
      <c r="DBJ9" s="175"/>
      <c r="DBK9" s="175"/>
      <c r="DBL9" s="175"/>
      <c r="DBM9" s="175"/>
      <c r="DBN9" s="175"/>
      <c r="DBO9" s="175"/>
      <c r="DBP9" s="175"/>
      <c r="DBQ9" s="175"/>
      <c r="DBR9" s="175"/>
      <c r="DBS9" s="175"/>
      <c r="DBT9" s="175"/>
      <c r="DBU9" s="175"/>
      <c r="DBV9" s="175"/>
      <c r="DBW9" s="175"/>
      <c r="DBX9" s="175"/>
      <c r="DBY9" s="175"/>
      <c r="DBZ9" s="175"/>
      <c r="DCA9" s="175"/>
      <c r="DCB9" s="175"/>
      <c r="DCC9" s="175"/>
      <c r="DCD9" s="175"/>
      <c r="DCE9" s="175"/>
      <c r="DCF9" s="175"/>
      <c r="DCG9" s="175"/>
      <c r="DCH9" s="175"/>
      <c r="DCI9" s="175"/>
      <c r="DCJ9" s="175"/>
      <c r="DCK9" s="175"/>
      <c r="DCL9" s="175"/>
      <c r="DCM9" s="175"/>
      <c r="DCN9" s="175"/>
      <c r="DCO9" s="175"/>
      <c r="DCP9" s="175"/>
      <c r="DCQ9" s="175"/>
      <c r="DCR9" s="175"/>
      <c r="DCS9" s="175"/>
      <c r="DCT9" s="175"/>
      <c r="DCU9" s="175"/>
      <c r="DCV9" s="175"/>
      <c r="DCW9" s="175"/>
      <c r="DCX9" s="175"/>
      <c r="DCY9" s="175"/>
      <c r="DCZ9" s="175"/>
      <c r="DDA9" s="175"/>
      <c r="DDB9" s="175"/>
      <c r="DDC9" s="175"/>
      <c r="DDD9" s="175"/>
      <c r="DDE9" s="175"/>
      <c r="DDF9" s="175"/>
      <c r="DDG9" s="175"/>
      <c r="DDH9" s="175"/>
      <c r="DDI9" s="175"/>
      <c r="DDJ9" s="175"/>
      <c r="DDK9" s="175"/>
      <c r="DDL9" s="175"/>
      <c r="DDM9" s="175"/>
      <c r="DDN9" s="175"/>
      <c r="DDO9" s="175"/>
      <c r="DDP9" s="175"/>
      <c r="DDQ9" s="175"/>
      <c r="DDR9" s="175"/>
      <c r="DDS9" s="175"/>
      <c r="DDT9" s="175"/>
      <c r="DDU9" s="175"/>
      <c r="DDV9" s="175"/>
      <c r="DDW9" s="175"/>
      <c r="DDX9" s="175"/>
      <c r="DDY9" s="175"/>
      <c r="DDZ9" s="175"/>
      <c r="DEA9" s="175"/>
      <c r="DEB9" s="175"/>
      <c r="DEC9" s="175"/>
      <c r="DED9" s="175"/>
      <c r="DEE9" s="175"/>
      <c r="DEF9" s="175"/>
      <c r="DEG9" s="175"/>
      <c r="DEH9" s="175"/>
      <c r="DEI9" s="175"/>
      <c r="DEJ9" s="175"/>
      <c r="DEK9" s="175"/>
      <c r="DEL9" s="175"/>
      <c r="DEM9" s="175"/>
      <c r="DEN9" s="175"/>
      <c r="DEO9" s="175"/>
      <c r="DEP9" s="175"/>
      <c r="DEQ9" s="175"/>
      <c r="DER9" s="175"/>
      <c r="DES9" s="175"/>
      <c r="DET9" s="175"/>
      <c r="DEU9" s="175"/>
      <c r="DEV9" s="175"/>
      <c r="DEW9" s="175"/>
      <c r="DEX9" s="175"/>
      <c r="DEY9" s="175"/>
      <c r="DEZ9" s="175"/>
      <c r="DFA9" s="175"/>
      <c r="DFB9" s="175"/>
      <c r="DFC9" s="175"/>
      <c r="DFD9" s="175"/>
      <c r="DFE9" s="175"/>
      <c r="DFF9" s="175"/>
      <c r="DFG9" s="175"/>
      <c r="DFH9" s="175"/>
      <c r="DFI9" s="175"/>
      <c r="DFJ9" s="175"/>
      <c r="DFK9" s="175"/>
      <c r="DFL9" s="175"/>
      <c r="DFM9" s="175"/>
      <c r="DFN9" s="175"/>
      <c r="DFO9" s="175"/>
      <c r="DFP9" s="175"/>
      <c r="DFQ9" s="175"/>
      <c r="DFR9" s="175"/>
      <c r="DFS9" s="175"/>
      <c r="DFT9" s="175"/>
      <c r="DFU9" s="175"/>
      <c r="DFV9" s="175"/>
      <c r="DFW9" s="175"/>
      <c r="DFX9" s="175"/>
      <c r="DFY9" s="175"/>
      <c r="DFZ9" s="175"/>
      <c r="DGA9" s="175"/>
      <c r="DGB9" s="175"/>
      <c r="DGC9" s="175"/>
      <c r="DGD9" s="175"/>
      <c r="DGE9" s="175"/>
      <c r="DGF9" s="175"/>
      <c r="DGG9" s="175"/>
      <c r="DGH9" s="175"/>
      <c r="DGI9" s="175"/>
      <c r="DGJ9" s="175"/>
      <c r="DGK9" s="175"/>
      <c r="DGL9" s="175"/>
      <c r="DGM9" s="175"/>
      <c r="DGN9" s="175"/>
      <c r="DGO9" s="175"/>
      <c r="DGP9" s="175"/>
      <c r="DGQ9" s="175"/>
      <c r="DGR9" s="175"/>
      <c r="DGS9" s="175"/>
      <c r="DGT9" s="175"/>
      <c r="DGU9" s="175"/>
      <c r="DGV9" s="175"/>
      <c r="DGW9" s="175"/>
      <c r="DGX9" s="175"/>
      <c r="DGY9" s="175"/>
      <c r="DGZ9" s="175"/>
      <c r="DHA9" s="175"/>
      <c r="DHB9" s="175"/>
      <c r="DHC9" s="175"/>
      <c r="DHD9" s="175"/>
      <c r="DHE9" s="175"/>
      <c r="DHF9" s="175"/>
      <c r="DHG9" s="175"/>
      <c r="DHH9" s="175"/>
      <c r="DHI9" s="175"/>
      <c r="DHJ9" s="175"/>
      <c r="DHK9" s="175"/>
      <c r="DHL9" s="175"/>
      <c r="DHM9" s="175"/>
      <c r="DHN9" s="175"/>
      <c r="DHO9" s="175"/>
      <c r="DHP9" s="175"/>
      <c r="DHQ9" s="175"/>
      <c r="DHR9" s="175"/>
      <c r="DHS9" s="175"/>
      <c r="DHT9" s="175"/>
      <c r="DHU9" s="175"/>
      <c r="DHV9" s="175"/>
      <c r="DHW9" s="175"/>
      <c r="DHX9" s="175"/>
      <c r="DHY9" s="175"/>
      <c r="DHZ9" s="175"/>
      <c r="DIA9" s="175"/>
      <c r="DIB9" s="175"/>
      <c r="DIC9" s="175"/>
      <c r="DID9" s="175"/>
      <c r="DIE9" s="175"/>
      <c r="DIF9" s="175"/>
      <c r="DIG9" s="175"/>
      <c r="DIH9" s="175"/>
      <c r="DII9" s="175"/>
      <c r="DIJ9" s="175"/>
      <c r="DIK9" s="175"/>
      <c r="DIL9" s="175"/>
      <c r="DIM9" s="175"/>
      <c r="DIN9" s="175"/>
      <c r="DIO9" s="175"/>
      <c r="DIP9" s="175"/>
      <c r="DIQ9" s="175"/>
      <c r="DIR9" s="175"/>
      <c r="DIS9" s="175"/>
      <c r="DIT9" s="175"/>
      <c r="DIU9" s="175"/>
      <c r="DIV9" s="175"/>
      <c r="DIW9" s="175"/>
      <c r="DIX9" s="175"/>
      <c r="DIY9" s="175"/>
      <c r="DIZ9" s="175"/>
      <c r="DJA9" s="175"/>
      <c r="DJB9" s="175"/>
      <c r="DJC9" s="175"/>
      <c r="DJD9" s="175"/>
      <c r="DJE9" s="175"/>
      <c r="DJF9" s="175"/>
      <c r="DJG9" s="175"/>
      <c r="DJH9" s="175"/>
      <c r="DJI9" s="175"/>
      <c r="DJJ9" s="175"/>
      <c r="DJK9" s="175"/>
      <c r="DJL9" s="175"/>
      <c r="DJM9" s="175"/>
      <c r="DJN9" s="175"/>
      <c r="DJO9" s="175"/>
      <c r="DJP9" s="175"/>
      <c r="DJQ9" s="175"/>
      <c r="DJR9" s="175"/>
      <c r="DJS9" s="175"/>
      <c r="DJT9" s="175"/>
      <c r="DJU9" s="175"/>
      <c r="DJV9" s="175"/>
      <c r="DJW9" s="175"/>
      <c r="DJX9" s="175"/>
      <c r="DJY9" s="175"/>
      <c r="DJZ9" s="175"/>
      <c r="DKA9" s="175"/>
      <c r="DKB9" s="175"/>
      <c r="DKC9" s="175"/>
      <c r="DKD9" s="175"/>
      <c r="DKE9" s="175"/>
      <c r="DKF9" s="175"/>
      <c r="DKG9" s="175"/>
      <c r="DKH9" s="175"/>
      <c r="DKI9" s="175"/>
      <c r="DKJ9" s="175"/>
      <c r="DKK9" s="175"/>
      <c r="DKL9" s="175"/>
      <c r="DKM9" s="175"/>
      <c r="DKN9" s="175"/>
      <c r="DKO9" s="175"/>
      <c r="DKP9" s="175"/>
      <c r="DKQ9" s="175"/>
      <c r="DKR9" s="175"/>
      <c r="DKS9" s="175"/>
      <c r="DKT9" s="175"/>
      <c r="DKU9" s="175"/>
      <c r="DKV9" s="175"/>
      <c r="DKW9" s="175"/>
      <c r="DKX9" s="175"/>
      <c r="DKY9" s="175"/>
      <c r="DKZ9" s="175"/>
      <c r="DLA9" s="175"/>
      <c r="DLB9" s="175"/>
      <c r="DLC9" s="175"/>
      <c r="DLD9" s="175"/>
      <c r="DLE9" s="175"/>
      <c r="DLF9" s="175"/>
      <c r="DLG9" s="175"/>
      <c r="DLH9" s="175"/>
      <c r="DLI9" s="175"/>
      <c r="DLJ9" s="175"/>
      <c r="DLK9" s="175"/>
      <c r="DLL9" s="175"/>
      <c r="DLM9" s="175"/>
      <c r="DLN9" s="175"/>
      <c r="DLO9" s="175"/>
      <c r="DLP9" s="175"/>
      <c r="DLQ9" s="175"/>
      <c r="DLR9" s="175"/>
      <c r="DLS9" s="175"/>
      <c r="DLT9" s="175"/>
      <c r="DLU9" s="175"/>
      <c r="DLV9" s="175"/>
      <c r="DLW9" s="175"/>
      <c r="DLX9" s="175"/>
      <c r="DLY9" s="175"/>
      <c r="DLZ9" s="175"/>
      <c r="DMA9" s="175"/>
      <c r="DMB9" s="175"/>
      <c r="DMC9" s="175"/>
      <c r="DMD9" s="175"/>
      <c r="DME9" s="175"/>
      <c r="DMF9" s="175"/>
      <c r="DMG9" s="175"/>
      <c r="DMH9" s="175"/>
      <c r="DMI9" s="175"/>
      <c r="DMJ9" s="175"/>
      <c r="DMK9" s="175"/>
      <c r="DML9" s="175"/>
      <c r="DMM9" s="175"/>
      <c r="DMN9" s="175"/>
      <c r="DMO9" s="175"/>
      <c r="DMP9" s="175"/>
      <c r="DMQ9" s="175"/>
      <c r="DMR9" s="175"/>
      <c r="DMS9" s="175"/>
      <c r="DMT9" s="175"/>
      <c r="DMU9" s="175"/>
      <c r="DMV9" s="175"/>
      <c r="DMW9" s="175"/>
      <c r="DMX9" s="175"/>
      <c r="DMY9" s="175"/>
      <c r="DMZ9" s="175"/>
      <c r="DNA9" s="175"/>
      <c r="DNB9" s="175"/>
      <c r="DNC9" s="175"/>
      <c r="DND9" s="175"/>
      <c r="DNE9" s="175"/>
      <c r="DNF9" s="175"/>
      <c r="DNG9" s="175"/>
      <c r="DNH9" s="175"/>
      <c r="DNI9" s="175"/>
      <c r="DNJ9" s="175"/>
      <c r="DNK9" s="175"/>
      <c r="DNL9" s="175"/>
      <c r="DNM9" s="175"/>
      <c r="DNN9" s="175"/>
      <c r="DNO9" s="175"/>
      <c r="DNP9" s="175"/>
      <c r="DNQ9" s="175"/>
      <c r="DNR9" s="175"/>
      <c r="DNS9" s="175"/>
      <c r="DNT9" s="175"/>
      <c r="DNU9" s="175"/>
      <c r="DNV9" s="175"/>
      <c r="DNW9" s="175"/>
      <c r="DNX9" s="175"/>
      <c r="DNY9" s="175"/>
      <c r="DNZ9" s="175"/>
      <c r="DOA9" s="175"/>
      <c r="DOB9" s="175"/>
      <c r="DOC9" s="175"/>
      <c r="DOD9" s="175"/>
      <c r="DOE9" s="175"/>
      <c r="DOF9" s="175"/>
      <c r="DOG9" s="175"/>
      <c r="DOH9" s="175"/>
      <c r="DOI9" s="175"/>
      <c r="DOJ9" s="175"/>
      <c r="DOK9" s="175"/>
      <c r="DOL9" s="175"/>
      <c r="DOM9" s="175"/>
      <c r="DON9" s="175"/>
      <c r="DOO9" s="175"/>
      <c r="DOP9" s="175"/>
      <c r="DOQ9" s="175"/>
      <c r="DOR9" s="175"/>
      <c r="DOS9" s="175"/>
      <c r="DOT9" s="175"/>
      <c r="DOU9" s="175"/>
      <c r="DOV9" s="175"/>
      <c r="DOW9" s="175"/>
      <c r="DOX9" s="175"/>
      <c r="DOY9" s="175"/>
      <c r="DOZ9" s="175"/>
      <c r="DPA9" s="175"/>
      <c r="DPB9" s="175"/>
      <c r="DPC9" s="175"/>
      <c r="DPD9" s="175"/>
      <c r="DPE9" s="175"/>
      <c r="DPF9" s="175"/>
      <c r="DPG9" s="175"/>
      <c r="DPH9" s="175"/>
      <c r="DPI9" s="175"/>
      <c r="DPJ9" s="175"/>
      <c r="DPK9" s="175"/>
      <c r="DPL9" s="175"/>
      <c r="DPM9" s="175"/>
      <c r="DPN9" s="175"/>
      <c r="DPO9" s="175"/>
      <c r="DPP9" s="175"/>
      <c r="DPQ9" s="175"/>
      <c r="DPR9" s="175"/>
      <c r="DPS9" s="175"/>
      <c r="DPT9" s="175"/>
      <c r="DPU9" s="175"/>
      <c r="DPV9" s="175"/>
      <c r="DPW9" s="175"/>
      <c r="DPX9" s="175"/>
      <c r="DPY9" s="175"/>
      <c r="DPZ9" s="175"/>
      <c r="DQA9" s="175"/>
      <c r="DQB9" s="175"/>
      <c r="DQC9" s="175"/>
      <c r="DQD9" s="175"/>
      <c r="DQE9" s="175"/>
      <c r="DQF9" s="175"/>
      <c r="DQG9" s="175"/>
      <c r="DQH9" s="175"/>
      <c r="DQI9" s="175"/>
      <c r="DQJ9" s="175"/>
      <c r="DQK9" s="175"/>
      <c r="DQL9" s="175"/>
      <c r="DQM9" s="175"/>
      <c r="DQN9" s="175"/>
      <c r="DQO9" s="175"/>
      <c r="DQP9" s="175"/>
      <c r="DQQ9" s="175"/>
      <c r="DQR9" s="175"/>
      <c r="DQS9" s="175"/>
      <c r="DQT9" s="175"/>
      <c r="DQU9" s="175"/>
      <c r="DQV9" s="175"/>
      <c r="DQW9" s="175"/>
      <c r="DQX9" s="175"/>
      <c r="DQY9" s="175"/>
      <c r="DQZ9" s="175"/>
      <c r="DRA9" s="175"/>
      <c r="DRB9" s="175"/>
      <c r="DRC9" s="175"/>
      <c r="DRD9" s="175"/>
      <c r="DRE9" s="175"/>
      <c r="DRF9" s="175"/>
      <c r="DRG9" s="175"/>
      <c r="DRH9" s="175"/>
      <c r="DRI9" s="175"/>
      <c r="DRJ9" s="175"/>
      <c r="DRK9" s="175"/>
      <c r="DRL9" s="175"/>
      <c r="DRM9" s="175"/>
      <c r="DRN9" s="175"/>
      <c r="DRO9" s="175"/>
      <c r="DRP9" s="175"/>
      <c r="DRQ9" s="175"/>
      <c r="DRR9" s="175"/>
      <c r="DRS9" s="175"/>
      <c r="DRT9" s="175"/>
      <c r="DRU9" s="175"/>
      <c r="DRV9" s="175"/>
      <c r="DRW9" s="175"/>
      <c r="DRX9" s="175"/>
      <c r="DRY9" s="175"/>
      <c r="DRZ9" s="175"/>
      <c r="DSA9" s="175"/>
      <c r="DSB9" s="175"/>
      <c r="DSC9" s="175"/>
      <c r="DSD9" s="175"/>
      <c r="DSE9" s="175"/>
      <c r="DSF9" s="175"/>
      <c r="DSG9" s="175"/>
      <c r="DSH9" s="175"/>
      <c r="DSI9" s="175"/>
      <c r="DSJ9" s="175"/>
      <c r="DSK9" s="175"/>
      <c r="DSL9" s="175"/>
      <c r="DSM9" s="175"/>
      <c r="DSN9" s="175"/>
      <c r="DSO9" s="175"/>
      <c r="DSP9" s="175"/>
      <c r="DSQ9" s="175"/>
      <c r="DSR9" s="175"/>
      <c r="DSS9" s="175"/>
      <c r="DST9" s="175"/>
      <c r="DSU9" s="175"/>
      <c r="DSV9" s="175"/>
      <c r="DSW9" s="175"/>
      <c r="DSX9" s="175"/>
      <c r="DSY9" s="175"/>
      <c r="DSZ9" s="175"/>
      <c r="DTA9" s="175"/>
      <c r="DTB9" s="175"/>
      <c r="DTC9" s="175"/>
      <c r="DTD9" s="175"/>
      <c r="DTE9" s="175"/>
      <c r="DTF9" s="175"/>
      <c r="DTG9" s="175"/>
      <c r="DTH9" s="175"/>
      <c r="DTI9" s="175"/>
      <c r="DTJ9" s="175"/>
      <c r="DTK9" s="175"/>
      <c r="DTL9" s="175"/>
      <c r="DTM9" s="175"/>
      <c r="DTN9" s="175"/>
      <c r="DTO9" s="175"/>
      <c r="DTP9" s="175"/>
      <c r="DTQ9" s="175"/>
      <c r="DTR9" s="175"/>
      <c r="DTS9" s="175"/>
      <c r="DTT9" s="175"/>
      <c r="DTU9" s="175"/>
      <c r="DTV9" s="175"/>
      <c r="DTW9" s="175"/>
      <c r="DTX9" s="175"/>
      <c r="DTY9" s="175"/>
      <c r="DTZ9" s="175"/>
      <c r="DUA9" s="175"/>
      <c r="DUB9" s="175"/>
      <c r="DUC9" s="175"/>
      <c r="DUD9" s="175"/>
      <c r="DUE9" s="175"/>
      <c r="DUF9" s="175"/>
      <c r="DUG9" s="175"/>
      <c r="DUH9" s="175"/>
      <c r="DUI9" s="175"/>
      <c r="DUJ9" s="175"/>
      <c r="DUK9" s="175"/>
      <c r="DUL9" s="175"/>
      <c r="DUM9" s="175"/>
      <c r="DUN9" s="175"/>
      <c r="DUO9" s="175"/>
      <c r="DUP9" s="175"/>
      <c r="DUQ9" s="175"/>
      <c r="DUR9" s="175"/>
      <c r="DUS9" s="175"/>
      <c r="DUT9" s="175"/>
      <c r="DUU9" s="175"/>
      <c r="DUV9" s="175"/>
      <c r="DUW9" s="175"/>
      <c r="DUX9" s="175"/>
      <c r="DUY9" s="175"/>
      <c r="DUZ9" s="175"/>
      <c r="DVA9" s="175"/>
      <c r="DVB9" s="175"/>
      <c r="DVC9" s="175"/>
      <c r="DVD9" s="175"/>
      <c r="DVE9" s="175"/>
      <c r="DVF9" s="175"/>
      <c r="DVG9" s="175"/>
      <c r="DVH9" s="175"/>
      <c r="DVI9" s="175"/>
      <c r="DVJ9" s="175"/>
      <c r="DVK9" s="175"/>
      <c r="DVL9" s="175"/>
      <c r="DVM9" s="175"/>
      <c r="DVN9" s="175"/>
      <c r="DVO9" s="175"/>
      <c r="DVP9" s="175"/>
      <c r="DVQ9" s="175"/>
      <c r="DVR9" s="175"/>
      <c r="DVS9" s="175"/>
      <c r="DVT9" s="175"/>
      <c r="DVU9" s="175"/>
      <c r="DVV9" s="175"/>
      <c r="DVW9" s="175"/>
      <c r="DVX9" s="175"/>
      <c r="DVY9" s="175"/>
      <c r="DVZ9" s="175"/>
      <c r="DWA9" s="175"/>
      <c r="DWB9" s="175"/>
      <c r="DWC9" s="175"/>
      <c r="DWD9" s="175"/>
      <c r="DWE9" s="175"/>
      <c r="DWF9" s="175"/>
      <c r="DWG9" s="175"/>
      <c r="DWH9" s="175"/>
      <c r="DWI9" s="175"/>
      <c r="DWJ9" s="175"/>
      <c r="DWK9" s="175"/>
      <c r="DWL9" s="175"/>
      <c r="DWM9" s="175"/>
      <c r="DWN9" s="175"/>
      <c r="DWO9" s="175"/>
      <c r="DWP9" s="175"/>
      <c r="DWQ9" s="175"/>
      <c r="DWR9" s="175"/>
      <c r="DWS9" s="175"/>
      <c r="DWT9" s="175"/>
      <c r="DWU9" s="175"/>
      <c r="DWV9" s="175"/>
      <c r="DWW9" s="175"/>
      <c r="DWX9" s="175"/>
      <c r="DWY9" s="175"/>
      <c r="DWZ9" s="175"/>
      <c r="DXA9" s="175"/>
      <c r="DXB9" s="175"/>
      <c r="DXC9" s="175"/>
      <c r="DXD9" s="175"/>
      <c r="DXE9" s="175"/>
      <c r="DXF9" s="175"/>
      <c r="DXG9" s="175"/>
      <c r="DXH9" s="175"/>
      <c r="DXI9" s="175"/>
      <c r="DXJ9" s="175"/>
      <c r="DXK9" s="175"/>
      <c r="DXL9" s="175"/>
      <c r="DXM9" s="175"/>
      <c r="DXN9" s="175"/>
      <c r="DXO9" s="175"/>
      <c r="DXP9" s="175"/>
      <c r="DXQ9" s="175"/>
      <c r="DXR9" s="175"/>
      <c r="DXS9" s="175"/>
      <c r="DXT9" s="175"/>
      <c r="DXU9" s="175"/>
      <c r="DXV9" s="175"/>
      <c r="DXW9" s="175"/>
      <c r="DXX9" s="175"/>
      <c r="DXY9" s="175"/>
      <c r="DXZ9" s="175"/>
      <c r="DYA9" s="175"/>
      <c r="DYB9" s="175"/>
      <c r="DYC9" s="175"/>
      <c r="DYD9" s="175"/>
      <c r="DYE9" s="175"/>
      <c r="DYF9" s="175"/>
      <c r="DYG9" s="175"/>
      <c r="DYH9" s="175"/>
      <c r="DYI9" s="175"/>
      <c r="DYJ9" s="175"/>
      <c r="DYK9" s="175"/>
      <c r="DYL9" s="175"/>
      <c r="DYM9" s="175"/>
      <c r="DYN9" s="175"/>
      <c r="DYO9" s="175"/>
      <c r="DYP9" s="175"/>
      <c r="DYQ9" s="175"/>
      <c r="DYR9" s="175"/>
      <c r="DYS9" s="175"/>
      <c r="DYT9" s="175"/>
      <c r="DYU9" s="175"/>
      <c r="DYV9" s="175"/>
      <c r="DYW9" s="175"/>
      <c r="DYX9" s="175"/>
      <c r="DYY9" s="175"/>
      <c r="DYZ9" s="175"/>
      <c r="DZA9" s="175"/>
      <c r="DZB9" s="175"/>
      <c r="DZC9" s="175"/>
      <c r="DZD9" s="175"/>
      <c r="DZE9" s="175"/>
      <c r="DZF9" s="175"/>
      <c r="DZG9" s="175"/>
      <c r="DZH9" s="175"/>
      <c r="DZI9" s="175"/>
      <c r="DZJ9" s="175"/>
      <c r="DZK9" s="175"/>
      <c r="DZL9" s="175"/>
      <c r="DZM9" s="175"/>
      <c r="DZN9" s="175"/>
      <c r="DZO9" s="175"/>
      <c r="DZP9" s="175"/>
      <c r="DZQ9" s="175"/>
      <c r="DZR9" s="175"/>
      <c r="DZS9" s="175"/>
      <c r="DZT9" s="175"/>
      <c r="DZU9" s="175"/>
      <c r="DZV9" s="175"/>
      <c r="DZW9" s="175"/>
      <c r="DZX9" s="175"/>
      <c r="DZY9" s="175"/>
      <c r="DZZ9" s="175"/>
      <c r="EAA9" s="175"/>
      <c r="EAB9" s="175"/>
      <c r="EAC9" s="175"/>
      <c r="EAD9" s="175"/>
      <c r="EAE9" s="175"/>
      <c r="EAF9" s="175"/>
      <c r="EAG9" s="175"/>
      <c r="EAH9" s="175"/>
      <c r="EAI9" s="175"/>
      <c r="EAJ9" s="175"/>
      <c r="EAK9" s="175"/>
      <c r="EAL9" s="175"/>
      <c r="EAM9" s="175"/>
      <c r="EAN9" s="175"/>
      <c r="EAO9" s="175"/>
      <c r="EAP9" s="175"/>
      <c r="EAQ9" s="175"/>
      <c r="EAR9" s="175"/>
      <c r="EAS9" s="175"/>
      <c r="EAT9" s="175"/>
      <c r="EAU9" s="175"/>
      <c r="EAV9" s="175"/>
      <c r="EAW9" s="175"/>
      <c r="EAX9" s="175"/>
      <c r="EAY9" s="175"/>
      <c r="EAZ9" s="175"/>
      <c r="EBA9" s="175"/>
      <c r="EBB9" s="175"/>
      <c r="EBC9" s="175"/>
      <c r="EBD9" s="175"/>
      <c r="EBE9" s="175"/>
      <c r="EBF9" s="175"/>
      <c r="EBG9" s="175"/>
      <c r="EBH9" s="175"/>
      <c r="EBI9" s="175"/>
      <c r="EBJ9" s="175"/>
      <c r="EBK9" s="175"/>
      <c r="EBL9" s="175"/>
      <c r="EBM9" s="175"/>
      <c r="EBN9" s="175"/>
      <c r="EBO9" s="175"/>
      <c r="EBP9" s="175"/>
      <c r="EBQ9" s="175"/>
      <c r="EBR9" s="175"/>
      <c r="EBS9" s="175"/>
      <c r="EBT9" s="175"/>
      <c r="EBU9" s="175"/>
      <c r="EBV9" s="175"/>
      <c r="EBW9" s="175"/>
      <c r="EBX9" s="175"/>
      <c r="EBY9" s="175"/>
      <c r="EBZ9" s="175"/>
      <c r="ECA9" s="175"/>
      <c r="ECB9" s="175"/>
      <c r="ECC9" s="175"/>
      <c r="ECD9" s="175"/>
      <c r="ECE9" s="175"/>
      <c r="ECF9" s="175"/>
      <c r="ECG9" s="175"/>
      <c r="ECH9" s="175"/>
      <c r="ECI9" s="175"/>
      <c r="ECJ9" s="175"/>
      <c r="ECK9" s="175"/>
      <c r="ECL9" s="175"/>
      <c r="ECM9" s="175"/>
      <c r="ECN9" s="175"/>
      <c r="ECO9" s="175"/>
      <c r="ECP9" s="175"/>
      <c r="ECQ9" s="175"/>
      <c r="ECR9" s="175"/>
      <c r="ECS9" s="175"/>
      <c r="ECT9" s="175"/>
      <c r="ECU9" s="175"/>
      <c r="ECV9" s="175"/>
      <c r="ECW9" s="175"/>
      <c r="ECX9" s="175"/>
      <c r="ECY9" s="175"/>
      <c r="ECZ9" s="175"/>
      <c r="EDA9" s="175"/>
      <c r="EDB9" s="175"/>
      <c r="EDC9" s="175"/>
      <c r="EDD9" s="175"/>
      <c r="EDE9" s="175"/>
      <c r="EDF9" s="175"/>
      <c r="EDG9" s="175"/>
      <c r="EDH9" s="175"/>
      <c r="EDI9" s="175"/>
      <c r="EDJ9" s="175"/>
      <c r="EDK9" s="175"/>
      <c r="EDL9" s="175"/>
      <c r="EDM9" s="175"/>
      <c r="EDN9" s="175"/>
      <c r="EDO9" s="175"/>
      <c r="EDP9" s="175"/>
      <c r="EDQ9" s="175"/>
      <c r="EDR9" s="175"/>
      <c r="EDS9" s="175"/>
      <c r="EDT9" s="175"/>
      <c r="EDU9" s="175"/>
      <c r="EDV9" s="175"/>
      <c r="EDW9" s="175"/>
      <c r="EDX9" s="175"/>
      <c r="EDY9" s="175"/>
      <c r="EDZ9" s="175"/>
      <c r="EEA9" s="175"/>
      <c r="EEB9" s="175"/>
      <c r="EEC9" s="175"/>
      <c r="EED9" s="175"/>
      <c r="EEE9" s="175"/>
      <c r="EEF9" s="175"/>
      <c r="EEG9" s="175"/>
      <c r="EEH9" s="175"/>
      <c r="EEI9" s="175"/>
      <c r="EEJ9" s="175"/>
      <c r="EEK9" s="175"/>
      <c r="EEL9" s="175"/>
      <c r="EEM9" s="175"/>
      <c r="EEN9" s="175"/>
      <c r="EEO9" s="175"/>
      <c r="EEP9" s="175"/>
      <c r="EEQ9" s="175"/>
      <c r="EER9" s="175"/>
      <c r="EES9" s="175"/>
      <c r="EET9" s="175"/>
      <c r="EEU9" s="175"/>
      <c r="EEV9" s="175"/>
      <c r="EEW9" s="175"/>
      <c r="EEX9" s="175"/>
      <c r="EEY9" s="175"/>
      <c r="EEZ9" s="175"/>
      <c r="EFA9" s="175"/>
      <c r="EFB9" s="175"/>
      <c r="EFC9" s="175"/>
      <c r="EFD9" s="175"/>
      <c r="EFE9" s="175"/>
      <c r="EFF9" s="175"/>
      <c r="EFG9" s="175"/>
      <c r="EFH9" s="175"/>
      <c r="EFI9" s="175"/>
      <c r="EFJ9" s="175"/>
      <c r="EFK9" s="175"/>
      <c r="EFL9" s="175"/>
      <c r="EFM9" s="175"/>
      <c r="EFN9" s="175"/>
      <c r="EFO9" s="175"/>
      <c r="EFP9" s="175"/>
      <c r="EFQ9" s="175"/>
      <c r="EFR9" s="175"/>
      <c r="EFS9" s="175"/>
      <c r="EFT9" s="175"/>
      <c r="EFU9" s="175"/>
      <c r="EFV9" s="175"/>
      <c r="EFW9" s="175"/>
      <c r="EFX9" s="175"/>
      <c r="EFY9" s="175"/>
      <c r="EFZ9" s="175"/>
      <c r="EGA9" s="175"/>
      <c r="EGB9" s="175"/>
      <c r="EGC9" s="175"/>
      <c r="EGD9" s="175"/>
      <c r="EGE9" s="175"/>
      <c r="EGF9" s="175"/>
      <c r="EGG9" s="175"/>
      <c r="EGH9" s="175"/>
      <c r="EGI9" s="175"/>
      <c r="EGJ9" s="175"/>
      <c r="EGK9" s="175"/>
      <c r="EGL9" s="175"/>
      <c r="EGM9" s="175"/>
      <c r="EGN9" s="175"/>
      <c r="EGO9" s="175"/>
      <c r="EGP9" s="175"/>
      <c r="EGQ9" s="175"/>
      <c r="EGR9" s="175"/>
      <c r="EGS9" s="175"/>
      <c r="EGT9" s="175"/>
      <c r="EGU9" s="175"/>
      <c r="EGV9" s="175"/>
      <c r="EGW9" s="175"/>
      <c r="EGX9" s="175"/>
      <c r="EGY9" s="175"/>
      <c r="EGZ9" s="175"/>
      <c r="EHA9" s="175"/>
      <c r="EHB9" s="175"/>
      <c r="EHC9" s="175"/>
      <c r="EHD9" s="175"/>
      <c r="EHE9" s="175"/>
      <c r="EHF9" s="175"/>
      <c r="EHG9" s="175"/>
      <c r="EHH9" s="175"/>
      <c r="EHI9" s="175"/>
      <c r="EHJ9" s="175"/>
      <c r="EHK9" s="175"/>
      <c r="EHL9" s="175"/>
      <c r="EHM9" s="175"/>
      <c r="EHN9" s="175"/>
      <c r="EHO9" s="175"/>
      <c r="EHP9" s="175"/>
      <c r="EHQ9" s="175"/>
      <c r="EHR9" s="175"/>
      <c r="EHS9" s="175"/>
      <c r="EHT9" s="175"/>
      <c r="EHU9" s="175"/>
      <c r="EHV9" s="175"/>
      <c r="EHW9" s="175"/>
      <c r="EHX9" s="175"/>
      <c r="EHY9" s="175"/>
      <c r="EHZ9" s="175"/>
      <c r="EIA9" s="175"/>
      <c r="EIB9" s="175"/>
      <c r="EIC9" s="175"/>
      <c r="EID9" s="175"/>
      <c r="EIE9" s="175"/>
      <c r="EIF9" s="175"/>
      <c r="EIG9" s="175"/>
      <c r="EIH9" s="175"/>
      <c r="EII9" s="175"/>
      <c r="EIJ9" s="175"/>
      <c r="EIK9" s="175"/>
      <c r="EIL9" s="175"/>
      <c r="EIM9" s="175"/>
      <c r="EIN9" s="175"/>
      <c r="EIO9" s="175"/>
      <c r="EIP9" s="175"/>
      <c r="EIQ9" s="175"/>
      <c r="EIR9" s="175"/>
      <c r="EIS9" s="175"/>
      <c r="EIT9" s="175"/>
      <c r="EIU9" s="175"/>
      <c r="EIV9" s="175"/>
      <c r="EIW9" s="175"/>
      <c r="EIX9" s="175"/>
      <c r="EIY9" s="175"/>
      <c r="EIZ9" s="175"/>
      <c r="EJA9" s="175"/>
      <c r="EJB9" s="175"/>
      <c r="EJC9" s="175"/>
      <c r="EJD9" s="175"/>
      <c r="EJE9" s="175"/>
      <c r="EJF9" s="175"/>
      <c r="EJG9" s="175"/>
      <c r="EJH9" s="175"/>
      <c r="EJI9" s="175"/>
      <c r="EJJ9" s="175"/>
      <c r="EJK9" s="175"/>
      <c r="EJL9" s="175"/>
      <c r="EJM9" s="175"/>
      <c r="EJN9" s="175"/>
      <c r="EJO9" s="175"/>
      <c r="EJP9" s="175"/>
      <c r="EJQ9" s="175"/>
      <c r="EJR9" s="175"/>
      <c r="EJS9" s="175"/>
      <c r="EJT9" s="175"/>
      <c r="EJU9" s="175"/>
      <c r="EJV9" s="175"/>
      <c r="EJW9" s="175"/>
      <c r="EJX9" s="175"/>
      <c r="EJY9" s="175"/>
      <c r="EJZ9" s="175"/>
      <c r="EKA9" s="175"/>
      <c r="EKB9" s="175"/>
      <c r="EKC9" s="175"/>
      <c r="EKD9" s="175"/>
      <c r="EKE9" s="175"/>
      <c r="EKF9" s="175"/>
      <c r="EKG9" s="175"/>
      <c r="EKH9" s="175"/>
      <c r="EKI9" s="175"/>
      <c r="EKJ9" s="175"/>
      <c r="EKK9" s="175"/>
      <c r="EKL9" s="175"/>
      <c r="EKM9" s="175"/>
      <c r="EKN9" s="175"/>
      <c r="EKO9" s="175"/>
      <c r="EKP9" s="175"/>
      <c r="EKQ9" s="175"/>
      <c r="EKR9" s="175"/>
      <c r="EKS9" s="175"/>
      <c r="EKT9" s="175"/>
      <c r="EKU9" s="175"/>
      <c r="EKV9" s="175"/>
      <c r="EKW9" s="175"/>
      <c r="EKX9" s="175"/>
      <c r="EKY9" s="175"/>
      <c r="EKZ9" s="175"/>
      <c r="ELA9" s="175"/>
      <c r="ELB9" s="175"/>
      <c r="ELC9" s="175"/>
      <c r="ELD9" s="175"/>
      <c r="ELE9" s="175"/>
      <c r="ELF9" s="175"/>
      <c r="ELG9" s="175"/>
      <c r="ELH9" s="175"/>
      <c r="ELI9" s="175"/>
      <c r="ELJ9" s="175"/>
      <c r="ELK9" s="175"/>
      <c r="ELL9" s="175"/>
      <c r="ELM9" s="175"/>
      <c r="ELN9" s="175"/>
      <c r="ELO9" s="175"/>
      <c r="ELP9" s="175"/>
      <c r="ELQ9" s="175"/>
      <c r="ELR9" s="175"/>
      <c r="ELS9" s="175"/>
      <c r="ELT9" s="175"/>
      <c r="ELU9" s="175"/>
      <c r="ELV9" s="175"/>
      <c r="ELW9" s="175"/>
      <c r="ELX9" s="175"/>
      <c r="ELY9" s="175"/>
      <c r="ELZ9" s="175"/>
      <c r="EMA9" s="175"/>
      <c r="EMB9" s="175"/>
      <c r="EMC9" s="175"/>
      <c r="EMD9" s="175"/>
      <c r="EME9" s="175"/>
      <c r="EMF9" s="175"/>
      <c r="EMG9" s="175"/>
      <c r="EMH9" s="175"/>
      <c r="EMI9" s="175"/>
      <c r="EMJ9" s="175"/>
      <c r="EMK9" s="175"/>
      <c r="EML9" s="175"/>
      <c r="EMM9" s="175"/>
      <c r="EMN9" s="175"/>
      <c r="EMO9" s="175"/>
      <c r="EMP9" s="175"/>
      <c r="EMQ9" s="175"/>
      <c r="EMR9" s="175"/>
      <c r="EMS9" s="175"/>
      <c r="EMT9" s="175"/>
      <c r="EMU9" s="175"/>
      <c r="EMV9" s="175"/>
      <c r="EMW9" s="175"/>
      <c r="EMX9" s="175"/>
      <c r="EMY9" s="175"/>
      <c r="EMZ9" s="175"/>
      <c r="ENA9" s="175"/>
      <c r="ENB9" s="175"/>
      <c r="ENC9" s="175"/>
      <c r="END9" s="175"/>
      <c r="ENE9" s="175"/>
      <c r="ENF9" s="175"/>
      <c r="ENG9" s="175"/>
      <c r="ENH9" s="175"/>
      <c r="ENI9" s="175"/>
      <c r="ENJ9" s="175"/>
      <c r="ENK9" s="175"/>
      <c r="ENL9" s="175"/>
      <c r="ENM9" s="175"/>
      <c r="ENN9" s="175"/>
      <c r="ENO9" s="175"/>
      <c r="ENP9" s="175"/>
      <c r="ENQ9" s="175"/>
      <c r="ENR9" s="175"/>
      <c r="ENS9" s="175"/>
      <c r="ENT9" s="175"/>
      <c r="ENU9" s="175"/>
      <c r="ENV9" s="175"/>
      <c r="ENW9" s="175"/>
      <c r="ENX9" s="175"/>
      <c r="ENY9" s="175"/>
      <c r="ENZ9" s="175"/>
      <c r="EOA9" s="175"/>
      <c r="EOB9" s="175"/>
      <c r="EOC9" s="175"/>
      <c r="EOD9" s="175"/>
      <c r="EOE9" s="175"/>
      <c r="EOF9" s="175"/>
      <c r="EOG9" s="175"/>
      <c r="EOH9" s="175"/>
      <c r="EOI9" s="175"/>
      <c r="EOJ9" s="175"/>
      <c r="EOK9" s="175"/>
      <c r="EOL9" s="175"/>
      <c r="EOM9" s="175"/>
      <c r="EON9" s="175"/>
      <c r="EOO9" s="175"/>
      <c r="EOP9" s="175"/>
      <c r="EOQ9" s="175"/>
      <c r="EOR9" s="175"/>
      <c r="EOS9" s="175"/>
      <c r="EOT9" s="175"/>
      <c r="EOU9" s="175"/>
      <c r="EOV9" s="175"/>
      <c r="EOW9" s="175"/>
      <c r="EOX9" s="175"/>
      <c r="EOY9" s="175"/>
      <c r="EOZ9" s="175"/>
      <c r="EPA9" s="175"/>
      <c r="EPB9" s="175"/>
      <c r="EPC9" s="175"/>
      <c r="EPD9" s="175"/>
      <c r="EPE9" s="175"/>
      <c r="EPF9" s="175"/>
      <c r="EPG9" s="175"/>
      <c r="EPH9" s="175"/>
      <c r="EPI9" s="175"/>
      <c r="EPJ9" s="175"/>
      <c r="EPK9" s="175"/>
      <c r="EPL9" s="175"/>
      <c r="EPM9" s="175"/>
      <c r="EPN9" s="175"/>
      <c r="EPO9" s="175"/>
      <c r="EPP9" s="175"/>
      <c r="EPQ9" s="175"/>
      <c r="EPR9" s="175"/>
      <c r="EPS9" s="175"/>
      <c r="EPT9" s="175"/>
      <c r="EPU9" s="175"/>
      <c r="EPV9" s="175"/>
      <c r="EPW9" s="175"/>
      <c r="EPX9" s="175"/>
      <c r="EPY9" s="175"/>
      <c r="EPZ9" s="175"/>
      <c r="EQA9" s="175"/>
      <c r="EQB9" s="175"/>
      <c r="EQC9" s="175"/>
      <c r="EQD9" s="175"/>
      <c r="EQE9" s="175"/>
      <c r="EQF9" s="175"/>
      <c r="EQG9" s="175"/>
      <c r="EQH9" s="175"/>
      <c r="EQI9" s="175"/>
      <c r="EQJ9" s="175"/>
      <c r="EQK9" s="175"/>
      <c r="EQL9" s="175"/>
      <c r="EQM9" s="175"/>
      <c r="EQN9" s="175"/>
      <c r="EQO9" s="175"/>
      <c r="EQP9" s="175"/>
      <c r="EQQ9" s="175"/>
      <c r="EQR9" s="175"/>
      <c r="EQS9" s="175"/>
      <c r="EQT9" s="175"/>
      <c r="EQU9" s="175"/>
      <c r="EQV9" s="175"/>
      <c r="EQW9" s="175"/>
      <c r="EQX9" s="175"/>
      <c r="EQY9" s="175"/>
      <c r="EQZ9" s="175"/>
      <c r="ERA9" s="175"/>
      <c r="ERB9" s="175"/>
      <c r="ERC9" s="175"/>
      <c r="ERD9" s="175"/>
      <c r="ERE9" s="175"/>
      <c r="ERF9" s="175"/>
      <c r="ERG9" s="175"/>
      <c r="ERH9" s="175"/>
      <c r="ERI9" s="175"/>
      <c r="ERJ9" s="175"/>
      <c r="ERK9" s="175"/>
      <c r="ERL9" s="175"/>
      <c r="ERM9" s="175"/>
      <c r="ERN9" s="175"/>
      <c r="ERO9" s="175"/>
      <c r="ERP9" s="175"/>
      <c r="ERQ9" s="175"/>
      <c r="ERR9" s="175"/>
      <c r="ERS9" s="175"/>
      <c r="ERT9" s="175"/>
      <c r="ERU9" s="175"/>
      <c r="ERV9" s="175"/>
      <c r="ERW9" s="175"/>
      <c r="ERX9" s="175"/>
      <c r="ERY9" s="175"/>
      <c r="ERZ9" s="175"/>
      <c r="ESA9" s="175"/>
      <c r="ESB9" s="175"/>
      <c r="ESC9" s="175"/>
      <c r="ESD9" s="175"/>
      <c r="ESE9" s="175"/>
      <c r="ESF9" s="175"/>
      <c r="ESG9" s="175"/>
      <c r="ESH9" s="175"/>
      <c r="ESI9" s="175"/>
      <c r="ESJ9" s="175"/>
      <c r="ESK9" s="175"/>
      <c r="ESL9" s="175"/>
      <c r="ESM9" s="175"/>
      <c r="ESN9" s="175"/>
      <c r="ESO9" s="175"/>
      <c r="ESP9" s="175"/>
      <c r="ESQ9" s="175"/>
      <c r="ESR9" s="175"/>
      <c r="ESS9" s="175"/>
      <c r="EST9" s="175"/>
      <c r="ESU9" s="175"/>
      <c r="ESV9" s="175"/>
      <c r="ESW9" s="175"/>
      <c r="ESX9" s="175"/>
      <c r="ESY9" s="175"/>
      <c r="ESZ9" s="175"/>
      <c r="ETA9" s="175"/>
      <c r="ETB9" s="175"/>
      <c r="ETC9" s="175"/>
      <c r="ETD9" s="175"/>
      <c r="ETE9" s="175"/>
      <c r="ETF9" s="175"/>
      <c r="ETG9" s="175"/>
      <c r="ETH9" s="175"/>
      <c r="ETI9" s="175"/>
      <c r="ETJ9" s="175"/>
      <c r="ETK9" s="175"/>
      <c r="ETL9" s="175"/>
      <c r="ETM9" s="175"/>
      <c r="ETN9" s="175"/>
      <c r="ETO9" s="175"/>
      <c r="ETP9" s="175"/>
      <c r="ETQ9" s="175"/>
      <c r="ETR9" s="175"/>
      <c r="ETS9" s="175"/>
      <c r="ETT9" s="175"/>
      <c r="ETU9" s="175"/>
      <c r="ETV9" s="175"/>
      <c r="ETW9" s="175"/>
      <c r="ETX9" s="175"/>
      <c r="ETY9" s="175"/>
      <c r="ETZ9" s="175"/>
      <c r="EUA9" s="175"/>
      <c r="EUB9" s="175"/>
      <c r="EUC9" s="175"/>
      <c r="EUD9" s="175"/>
      <c r="EUE9" s="175"/>
      <c r="EUF9" s="175"/>
      <c r="EUG9" s="175"/>
      <c r="EUH9" s="175"/>
      <c r="EUI9" s="175"/>
      <c r="EUJ9" s="175"/>
      <c r="EUK9" s="175"/>
      <c r="EUL9" s="175"/>
      <c r="EUM9" s="175"/>
      <c r="EUN9" s="175"/>
      <c r="EUO9" s="175"/>
      <c r="EUP9" s="175"/>
      <c r="EUQ9" s="175"/>
      <c r="EUR9" s="175"/>
      <c r="EUS9" s="175"/>
      <c r="EUT9" s="175"/>
      <c r="EUU9" s="175"/>
      <c r="EUV9" s="175"/>
      <c r="EUW9" s="175"/>
      <c r="EUX9" s="175"/>
      <c r="EUY9" s="175"/>
      <c r="EUZ9" s="175"/>
      <c r="EVA9" s="175"/>
      <c r="EVB9" s="175"/>
      <c r="EVC9" s="175"/>
      <c r="EVD9" s="175"/>
      <c r="EVE9" s="175"/>
      <c r="EVF9" s="175"/>
      <c r="EVG9" s="175"/>
      <c r="EVH9" s="175"/>
      <c r="EVI9" s="175"/>
      <c r="EVJ9" s="175"/>
      <c r="EVK9" s="175"/>
      <c r="EVL9" s="175"/>
      <c r="EVM9" s="175"/>
      <c r="EVN9" s="175"/>
      <c r="EVO9" s="175"/>
      <c r="EVP9" s="175"/>
      <c r="EVQ9" s="175"/>
      <c r="EVR9" s="175"/>
      <c r="EVS9" s="175"/>
      <c r="EVT9" s="175"/>
      <c r="EVU9" s="175"/>
      <c r="EVV9" s="175"/>
      <c r="EVW9" s="175"/>
      <c r="EVX9" s="175"/>
      <c r="EVY9" s="175"/>
      <c r="EVZ9" s="175"/>
      <c r="EWA9" s="175"/>
      <c r="EWB9" s="175"/>
      <c r="EWC9" s="175"/>
      <c r="EWD9" s="175"/>
      <c r="EWE9" s="175"/>
      <c r="EWF9" s="175"/>
      <c r="EWG9" s="175"/>
      <c r="EWH9" s="175"/>
      <c r="EWI9" s="175"/>
      <c r="EWJ9" s="175"/>
      <c r="EWK9" s="175"/>
      <c r="EWL9" s="175"/>
      <c r="EWM9" s="175"/>
      <c r="EWN9" s="175"/>
      <c r="EWO9" s="175"/>
      <c r="EWP9" s="175"/>
      <c r="EWQ9" s="175"/>
      <c r="EWR9" s="175"/>
      <c r="EWS9" s="175"/>
      <c r="EWT9" s="175"/>
      <c r="EWU9" s="175"/>
      <c r="EWV9" s="175"/>
      <c r="EWW9" s="175"/>
      <c r="EWX9" s="175"/>
      <c r="EWY9" s="175"/>
      <c r="EWZ9" s="175"/>
      <c r="EXA9" s="175"/>
      <c r="EXB9" s="175"/>
      <c r="EXC9" s="175"/>
      <c r="EXD9" s="175"/>
      <c r="EXE9" s="175"/>
      <c r="EXF9" s="175"/>
      <c r="EXG9" s="175"/>
      <c r="EXH9" s="175"/>
      <c r="EXI9" s="175"/>
      <c r="EXJ9" s="175"/>
      <c r="EXK9" s="175"/>
      <c r="EXL9" s="175"/>
      <c r="EXM9" s="175"/>
      <c r="EXN9" s="175"/>
      <c r="EXO9" s="175"/>
      <c r="EXP9" s="175"/>
      <c r="EXQ9" s="175"/>
      <c r="EXR9" s="175"/>
      <c r="EXS9" s="175"/>
      <c r="EXT9" s="175"/>
      <c r="EXU9" s="175"/>
      <c r="EXV9" s="175"/>
      <c r="EXW9" s="175"/>
      <c r="EXX9" s="175"/>
      <c r="EXY9" s="175"/>
      <c r="EXZ9" s="175"/>
      <c r="EYA9" s="175"/>
      <c r="EYB9" s="175"/>
      <c r="EYC9" s="175"/>
      <c r="EYD9" s="175"/>
      <c r="EYE9" s="175"/>
      <c r="EYF9" s="175"/>
      <c r="EYG9" s="175"/>
      <c r="EYH9" s="175"/>
      <c r="EYI9" s="175"/>
      <c r="EYJ9" s="175"/>
      <c r="EYK9" s="175"/>
      <c r="EYL9" s="175"/>
      <c r="EYM9" s="175"/>
      <c r="EYN9" s="175"/>
      <c r="EYO9" s="175"/>
      <c r="EYP9" s="175"/>
      <c r="EYQ9" s="175"/>
      <c r="EYR9" s="175"/>
      <c r="EYS9" s="175"/>
      <c r="EYT9" s="175"/>
      <c r="EYU9" s="175"/>
      <c r="EYV9" s="175"/>
      <c r="EYW9" s="175"/>
      <c r="EYX9" s="175"/>
      <c r="EYY9" s="175"/>
      <c r="EYZ9" s="175"/>
      <c r="EZA9" s="175"/>
      <c r="EZB9" s="175"/>
      <c r="EZC9" s="175"/>
      <c r="EZD9" s="175"/>
      <c r="EZE9" s="175"/>
      <c r="EZF9" s="175"/>
      <c r="EZG9" s="175"/>
      <c r="EZH9" s="175"/>
      <c r="EZI9" s="175"/>
      <c r="EZJ9" s="175"/>
      <c r="EZK9" s="175"/>
      <c r="EZL9" s="175"/>
      <c r="EZM9" s="175"/>
      <c r="EZN9" s="175"/>
      <c r="EZO9" s="175"/>
      <c r="EZP9" s="175"/>
      <c r="EZQ9" s="175"/>
      <c r="EZR9" s="175"/>
      <c r="EZS9" s="175"/>
      <c r="EZT9" s="175"/>
      <c r="EZU9" s="175"/>
      <c r="EZV9" s="175"/>
      <c r="EZW9" s="175"/>
      <c r="EZX9" s="175"/>
      <c r="EZY9" s="175"/>
      <c r="EZZ9" s="175"/>
      <c r="FAA9" s="175"/>
      <c r="FAB9" s="175"/>
      <c r="FAC9" s="175"/>
      <c r="FAD9" s="175"/>
      <c r="FAE9" s="175"/>
      <c r="FAF9" s="175"/>
      <c r="FAG9" s="175"/>
      <c r="FAH9" s="175"/>
      <c r="FAI9" s="175"/>
      <c r="FAJ9" s="175"/>
      <c r="FAK9" s="175"/>
      <c r="FAL9" s="175"/>
      <c r="FAM9" s="175"/>
      <c r="FAN9" s="175"/>
      <c r="FAO9" s="175"/>
      <c r="FAP9" s="175"/>
      <c r="FAQ9" s="175"/>
      <c r="FAR9" s="175"/>
      <c r="FAS9" s="175"/>
      <c r="FAT9" s="175"/>
      <c r="FAU9" s="175"/>
      <c r="FAV9" s="175"/>
      <c r="FAW9" s="175"/>
      <c r="FAX9" s="175"/>
      <c r="FAY9" s="175"/>
      <c r="FAZ9" s="175"/>
      <c r="FBA9" s="175"/>
      <c r="FBB9" s="175"/>
      <c r="FBC9" s="175"/>
      <c r="FBD9" s="175"/>
      <c r="FBE9" s="175"/>
      <c r="FBF9" s="175"/>
      <c r="FBG9" s="175"/>
      <c r="FBH9" s="175"/>
      <c r="FBI9" s="175"/>
      <c r="FBJ9" s="175"/>
      <c r="FBK9" s="175"/>
      <c r="FBL9" s="175"/>
      <c r="FBM9" s="175"/>
      <c r="FBN9" s="175"/>
      <c r="FBO9" s="175"/>
      <c r="FBP9" s="175"/>
      <c r="FBQ9" s="175"/>
      <c r="FBR9" s="175"/>
      <c r="FBS9" s="175"/>
      <c r="FBT9" s="175"/>
      <c r="FBU9" s="175"/>
      <c r="FBV9" s="175"/>
      <c r="FBW9" s="175"/>
      <c r="FBX9" s="175"/>
      <c r="FBY9" s="175"/>
      <c r="FBZ9" s="175"/>
      <c r="FCA9" s="175"/>
      <c r="FCB9" s="175"/>
      <c r="FCC9" s="175"/>
      <c r="FCD9" s="175"/>
      <c r="FCE9" s="175"/>
      <c r="FCF9" s="175"/>
      <c r="FCG9" s="175"/>
      <c r="FCH9" s="175"/>
      <c r="FCI9" s="175"/>
      <c r="FCJ9" s="175"/>
      <c r="FCK9" s="175"/>
      <c r="FCL9" s="175"/>
      <c r="FCM9" s="175"/>
      <c r="FCN9" s="175"/>
      <c r="FCO9" s="175"/>
      <c r="FCP9" s="175"/>
      <c r="FCQ9" s="175"/>
      <c r="FCR9" s="175"/>
      <c r="FCS9" s="175"/>
      <c r="FCT9" s="175"/>
      <c r="FCU9" s="175"/>
      <c r="FCV9" s="175"/>
      <c r="FCW9" s="175"/>
      <c r="FCX9" s="175"/>
      <c r="FCY9" s="175"/>
      <c r="FCZ9" s="175"/>
      <c r="FDA9" s="175"/>
      <c r="FDB9" s="175"/>
      <c r="FDC9" s="175"/>
      <c r="FDD9" s="175"/>
      <c r="FDE9" s="175"/>
      <c r="FDF9" s="175"/>
      <c r="FDG9" s="175"/>
      <c r="FDH9" s="175"/>
      <c r="FDI9" s="175"/>
      <c r="FDJ9" s="175"/>
      <c r="FDK9" s="175"/>
      <c r="FDL9" s="175"/>
      <c r="FDM9" s="175"/>
      <c r="FDN9" s="175"/>
      <c r="FDO9" s="175"/>
      <c r="FDP9" s="175"/>
      <c r="FDQ9" s="175"/>
      <c r="FDR9" s="175"/>
      <c r="FDS9" s="175"/>
      <c r="FDT9" s="175"/>
      <c r="FDU9" s="175"/>
      <c r="FDV9" s="175"/>
      <c r="FDW9" s="175"/>
      <c r="FDX9" s="175"/>
      <c r="FDY9" s="175"/>
      <c r="FDZ9" s="175"/>
      <c r="FEA9" s="175"/>
      <c r="FEB9" s="175"/>
      <c r="FEC9" s="175"/>
      <c r="FED9" s="175"/>
      <c r="FEE9" s="175"/>
      <c r="FEF9" s="175"/>
      <c r="FEG9" s="175"/>
      <c r="FEH9" s="175"/>
      <c r="FEI9" s="175"/>
      <c r="FEJ9" s="175"/>
      <c r="FEK9" s="175"/>
      <c r="FEL9" s="175"/>
      <c r="FEM9" s="175"/>
      <c r="FEN9" s="175"/>
      <c r="FEO9" s="175"/>
      <c r="FEP9" s="175"/>
      <c r="FEQ9" s="175"/>
      <c r="FER9" s="175"/>
      <c r="FES9" s="175"/>
      <c r="FET9" s="175"/>
      <c r="FEU9" s="175"/>
      <c r="FEV9" s="175"/>
      <c r="FEW9" s="175"/>
      <c r="FEX9" s="175"/>
      <c r="FEY9" s="175"/>
      <c r="FEZ9" s="175"/>
      <c r="FFA9" s="175"/>
      <c r="FFB9" s="175"/>
      <c r="FFC9" s="175"/>
      <c r="FFD9" s="175"/>
      <c r="FFE9" s="175"/>
      <c r="FFF9" s="175"/>
      <c r="FFG9" s="175"/>
      <c r="FFH9" s="175"/>
      <c r="FFI9" s="175"/>
      <c r="FFJ9" s="175"/>
      <c r="FFK9" s="175"/>
      <c r="FFL9" s="175"/>
      <c r="FFM9" s="175"/>
      <c r="FFN9" s="175"/>
      <c r="FFO9" s="175"/>
      <c r="FFP9" s="175"/>
      <c r="FFQ9" s="175"/>
      <c r="FFR9" s="175"/>
      <c r="FFS9" s="175"/>
      <c r="FFT9" s="175"/>
      <c r="FFU9" s="175"/>
      <c r="FFV9" s="175"/>
      <c r="FFW9" s="175"/>
      <c r="FFX9" s="175"/>
      <c r="FFY9" s="175"/>
      <c r="FFZ9" s="175"/>
      <c r="FGA9" s="175"/>
      <c r="FGB9" s="175"/>
      <c r="FGC9" s="175"/>
      <c r="FGD9" s="175"/>
      <c r="FGE9" s="175"/>
      <c r="FGF9" s="175"/>
      <c r="FGG9" s="175"/>
      <c r="FGH9" s="175"/>
      <c r="FGI9" s="175"/>
      <c r="FGJ9" s="175"/>
      <c r="FGK9" s="175"/>
      <c r="FGL9" s="175"/>
      <c r="FGM9" s="175"/>
      <c r="FGN9" s="175"/>
      <c r="FGO9" s="175"/>
      <c r="FGP9" s="175"/>
      <c r="FGQ9" s="175"/>
      <c r="FGR9" s="175"/>
      <c r="FGS9" s="175"/>
      <c r="FGT9" s="175"/>
      <c r="FGU9" s="175"/>
      <c r="FGV9" s="175"/>
      <c r="FGW9" s="175"/>
      <c r="FGX9" s="175"/>
      <c r="FGY9" s="175"/>
      <c r="FGZ9" s="175"/>
      <c r="FHA9" s="175"/>
      <c r="FHB9" s="175"/>
      <c r="FHC9" s="175"/>
      <c r="FHD9" s="175"/>
      <c r="FHE9" s="175"/>
      <c r="FHF9" s="175"/>
      <c r="FHG9" s="175"/>
      <c r="FHH9" s="175"/>
      <c r="FHI9" s="175"/>
      <c r="FHJ9" s="175"/>
      <c r="FHK9" s="175"/>
      <c r="FHL9" s="175"/>
      <c r="FHM9" s="175"/>
      <c r="FHN9" s="175"/>
      <c r="FHO9" s="175"/>
      <c r="FHP9" s="175"/>
      <c r="FHQ9" s="175"/>
      <c r="FHR9" s="175"/>
      <c r="FHS9" s="175"/>
      <c r="FHT9" s="175"/>
      <c r="FHU9" s="175"/>
      <c r="FHV9" s="175"/>
      <c r="FHW9" s="175"/>
      <c r="FHX9" s="175"/>
      <c r="FHY9" s="175"/>
      <c r="FHZ9" s="175"/>
      <c r="FIA9" s="175"/>
      <c r="FIB9" s="175"/>
      <c r="FIC9" s="175"/>
      <c r="FID9" s="175"/>
      <c r="FIE9" s="175"/>
      <c r="FIF9" s="175"/>
      <c r="FIG9" s="175"/>
      <c r="FIH9" s="175"/>
      <c r="FII9" s="175"/>
      <c r="FIJ9" s="175"/>
      <c r="FIK9" s="175"/>
      <c r="FIL9" s="175"/>
      <c r="FIM9" s="175"/>
      <c r="FIN9" s="175"/>
      <c r="FIO9" s="175"/>
      <c r="FIP9" s="175"/>
      <c r="FIQ9" s="175"/>
      <c r="FIR9" s="175"/>
      <c r="FIS9" s="175"/>
      <c r="FIT9" s="175"/>
      <c r="FIU9" s="175"/>
      <c r="FIV9" s="175"/>
      <c r="FIW9" s="175"/>
      <c r="FIX9" s="175"/>
      <c r="FIY9" s="175"/>
      <c r="FIZ9" s="175"/>
      <c r="FJA9" s="175"/>
      <c r="FJB9" s="175"/>
      <c r="FJC9" s="175"/>
      <c r="FJD9" s="175"/>
      <c r="FJE9" s="175"/>
      <c r="FJF9" s="175"/>
      <c r="FJG9" s="175"/>
      <c r="FJH9" s="175"/>
      <c r="FJI9" s="175"/>
      <c r="FJJ9" s="175"/>
      <c r="FJK9" s="175"/>
      <c r="FJL9" s="175"/>
      <c r="FJM9" s="175"/>
      <c r="FJN9" s="175"/>
      <c r="FJO9" s="175"/>
      <c r="FJP9" s="175"/>
      <c r="FJQ9" s="175"/>
      <c r="FJR9" s="175"/>
      <c r="FJS9" s="175"/>
      <c r="FJT9" s="175"/>
      <c r="FJU9" s="175"/>
      <c r="FJV9" s="175"/>
      <c r="FJW9" s="175"/>
      <c r="FJX9" s="175"/>
      <c r="FJY9" s="175"/>
      <c r="FJZ9" s="175"/>
      <c r="FKA9" s="175"/>
      <c r="FKB9" s="175"/>
      <c r="FKC9" s="175"/>
      <c r="FKD9" s="175"/>
      <c r="FKE9" s="175"/>
      <c r="FKF9" s="175"/>
      <c r="FKG9" s="175"/>
      <c r="FKH9" s="175"/>
      <c r="FKI9" s="175"/>
      <c r="FKJ9" s="175"/>
      <c r="FKK9" s="175"/>
      <c r="FKL9" s="175"/>
      <c r="FKM9" s="175"/>
      <c r="FKN9" s="175"/>
      <c r="FKO9" s="175"/>
      <c r="FKP9" s="175"/>
      <c r="FKQ9" s="175"/>
      <c r="FKR9" s="175"/>
      <c r="FKS9" s="175"/>
      <c r="FKT9" s="175"/>
      <c r="FKU9" s="175"/>
      <c r="FKV9" s="175"/>
      <c r="FKW9" s="175"/>
      <c r="FKX9" s="175"/>
      <c r="FKY9" s="175"/>
      <c r="FKZ9" s="175"/>
      <c r="FLA9" s="175"/>
      <c r="FLB9" s="175"/>
      <c r="FLC9" s="175"/>
      <c r="FLD9" s="175"/>
      <c r="FLE9" s="175"/>
      <c r="FLF9" s="175"/>
      <c r="FLG9" s="175"/>
      <c r="FLH9" s="175"/>
      <c r="FLI9" s="175"/>
      <c r="FLJ9" s="175"/>
      <c r="FLK9" s="175"/>
      <c r="FLL9" s="175"/>
      <c r="FLM9" s="175"/>
      <c r="FLN9" s="175"/>
      <c r="FLO9" s="175"/>
      <c r="FLP9" s="175"/>
      <c r="FLQ9" s="175"/>
      <c r="FLR9" s="175"/>
      <c r="FLS9" s="175"/>
      <c r="FLT9" s="175"/>
      <c r="FLU9" s="175"/>
      <c r="FLV9" s="175"/>
      <c r="FLW9" s="175"/>
      <c r="FLX9" s="175"/>
      <c r="FLY9" s="175"/>
      <c r="FLZ9" s="175"/>
      <c r="FMA9" s="175"/>
      <c r="FMB9" s="175"/>
      <c r="FMC9" s="175"/>
      <c r="FMD9" s="175"/>
      <c r="FME9" s="175"/>
      <c r="FMF9" s="175"/>
      <c r="FMG9" s="175"/>
      <c r="FMH9" s="175"/>
      <c r="FMI9" s="175"/>
      <c r="FMJ9" s="175"/>
      <c r="FMK9" s="175"/>
      <c r="FML9" s="175"/>
      <c r="FMM9" s="175"/>
      <c r="FMN9" s="175"/>
      <c r="FMO9" s="175"/>
      <c r="FMP9" s="175"/>
      <c r="FMQ9" s="175"/>
      <c r="FMR9" s="175"/>
      <c r="FMS9" s="175"/>
      <c r="FMT9" s="175"/>
      <c r="FMU9" s="175"/>
      <c r="FMV9" s="175"/>
      <c r="FMW9" s="175"/>
      <c r="FMX9" s="175"/>
      <c r="FMY9" s="175"/>
      <c r="FMZ9" s="175"/>
      <c r="FNA9" s="175"/>
      <c r="FNB9" s="175"/>
      <c r="FNC9" s="175"/>
      <c r="FND9" s="175"/>
      <c r="FNE9" s="175"/>
      <c r="FNF9" s="175"/>
      <c r="FNG9" s="175"/>
      <c r="FNH9" s="175"/>
      <c r="FNI9" s="175"/>
      <c r="FNJ9" s="175"/>
      <c r="FNK9" s="175"/>
      <c r="FNL9" s="175"/>
      <c r="FNM9" s="175"/>
      <c r="FNN9" s="175"/>
      <c r="FNO9" s="175"/>
      <c r="FNP9" s="175"/>
      <c r="FNQ9" s="175"/>
      <c r="FNR9" s="175"/>
      <c r="FNS9" s="175"/>
      <c r="FNT9" s="175"/>
      <c r="FNU9" s="175"/>
      <c r="FNV9" s="175"/>
      <c r="FNW9" s="175"/>
      <c r="FNX9" s="175"/>
      <c r="FNY9" s="175"/>
      <c r="FNZ9" s="175"/>
      <c r="FOA9" s="175"/>
      <c r="FOB9" s="175"/>
      <c r="FOC9" s="175"/>
      <c r="FOD9" s="175"/>
      <c r="FOE9" s="175"/>
      <c r="FOF9" s="175"/>
      <c r="FOG9" s="175"/>
      <c r="FOH9" s="175"/>
      <c r="FOI9" s="175"/>
      <c r="FOJ9" s="175"/>
      <c r="FOK9" s="175"/>
      <c r="FOL9" s="175"/>
      <c r="FOM9" s="175"/>
      <c r="FON9" s="175"/>
      <c r="FOO9" s="175"/>
      <c r="FOP9" s="175"/>
      <c r="FOQ9" s="175"/>
      <c r="FOR9" s="175"/>
      <c r="FOS9" s="175"/>
      <c r="FOT9" s="175"/>
      <c r="FOU9" s="175"/>
      <c r="FOV9" s="175"/>
      <c r="FOW9" s="175"/>
      <c r="FOX9" s="175"/>
      <c r="FOY9" s="175"/>
      <c r="FOZ9" s="175"/>
      <c r="FPA9" s="175"/>
      <c r="FPB9" s="175"/>
      <c r="FPC9" s="175"/>
      <c r="FPD9" s="175"/>
      <c r="FPE9" s="175"/>
      <c r="FPF9" s="175"/>
      <c r="FPG9" s="175"/>
      <c r="FPH9" s="175"/>
      <c r="FPI9" s="175"/>
      <c r="FPJ9" s="175"/>
      <c r="FPK9" s="175"/>
      <c r="FPL9" s="175"/>
      <c r="FPM9" s="175"/>
      <c r="FPN9" s="175"/>
      <c r="FPO9" s="175"/>
      <c r="FPP9" s="175"/>
      <c r="FPQ9" s="175"/>
      <c r="FPR9" s="175"/>
      <c r="FPS9" s="175"/>
      <c r="FPT9" s="175"/>
      <c r="FPU9" s="175"/>
      <c r="FPV9" s="175"/>
      <c r="FPW9" s="175"/>
      <c r="FPX9" s="175"/>
      <c r="FPY9" s="175"/>
      <c r="FPZ9" s="175"/>
      <c r="FQA9" s="175"/>
      <c r="FQB9" s="175"/>
      <c r="FQC9" s="175"/>
      <c r="FQD9" s="175"/>
      <c r="FQE9" s="175"/>
      <c r="FQF9" s="175"/>
      <c r="FQG9" s="175"/>
      <c r="FQH9" s="175"/>
      <c r="FQI9" s="175"/>
      <c r="FQJ9" s="175"/>
      <c r="FQK9" s="175"/>
      <c r="FQL9" s="175"/>
      <c r="FQM9" s="175"/>
      <c r="FQN9" s="175"/>
      <c r="FQO9" s="175"/>
      <c r="FQP9" s="175"/>
      <c r="FQQ9" s="175"/>
      <c r="FQR9" s="175"/>
      <c r="FQS9" s="175"/>
      <c r="FQT9" s="175"/>
      <c r="FQU9" s="175"/>
      <c r="FQV9" s="175"/>
      <c r="FQW9" s="175"/>
      <c r="FQX9" s="175"/>
      <c r="FQY9" s="175"/>
      <c r="FQZ9" s="175"/>
      <c r="FRA9" s="175"/>
      <c r="FRB9" s="175"/>
      <c r="FRC9" s="175"/>
      <c r="FRD9" s="175"/>
      <c r="FRE9" s="175"/>
      <c r="FRF9" s="175"/>
      <c r="FRG9" s="175"/>
      <c r="FRH9" s="175"/>
      <c r="FRI9" s="175"/>
      <c r="FRJ9" s="175"/>
      <c r="FRK9" s="175"/>
      <c r="FRL9" s="175"/>
      <c r="FRM9" s="175"/>
      <c r="FRN9" s="175"/>
      <c r="FRO9" s="175"/>
      <c r="FRP9" s="175"/>
      <c r="FRQ9" s="175"/>
      <c r="FRR9" s="175"/>
      <c r="FRS9" s="175"/>
      <c r="FRT9" s="175"/>
      <c r="FRU9" s="175"/>
      <c r="FRV9" s="175"/>
      <c r="FRW9" s="175"/>
      <c r="FRX9" s="175"/>
      <c r="FRY9" s="175"/>
      <c r="FRZ9" s="175"/>
      <c r="FSA9" s="175"/>
      <c r="FSB9" s="175"/>
      <c r="FSC9" s="175"/>
      <c r="FSD9" s="175"/>
      <c r="FSE9" s="175"/>
      <c r="FSF9" s="175"/>
      <c r="FSG9" s="175"/>
      <c r="FSH9" s="175"/>
      <c r="FSI9" s="175"/>
      <c r="FSJ9" s="175"/>
      <c r="FSK9" s="175"/>
      <c r="FSL9" s="175"/>
      <c r="FSM9" s="175"/>
      <c r="FSN9" s="175"/>
      <c r="FSO9" s="175"/>
      <c r="FSP9" s="175"/>
      <c r="FSQ9" s="175"/>
      <c r="FSR9" s="175"/>
      <c r="FSS9" s="175"/>
      <c r="FST9" s="175"/>
      <c r="FSU9" s="175"/>
      <c r="FSV9" s="175"/>
      <c r="FSW9" s="175"/>
      <c r="FSX9" s="175"/>
      <c r="FSY9" s="175"/>
      <c r="FSZ9" s="175"/>
      <c r="FTA9" s="175"/>
      <c r="FTB9" s="175"/>
      <c r="FTC9" s="175"/>
      <c r="FTD9" s="175"/>
      <c r="FTE9" s="175"/>
      <c r="FTF9" s="175"/>
      <c r="FTG9" s="175"/>
      <c r="FTH9" s="175"/>
      <c r="FTI9" s="175"/>
      <c r="FTJ9" s="175"/>
      <c r="FTK9" s="175"/>
      <c r="FTL9" s="175"/>
      <c r="FTM9" s="175"/>
      <c r="FTN9" s="175"/>
      <c r="FTO9" s="175"/>
      <c r="FTP9" s="175"/>
      <c r="FTQ9" s="175"/>
      <c r="FTR9" s="175"/>
      <c r="FTS9" s="175"/>
      <c r="FTT9" s="175"/>
      <c r="FTU9" s="175"/>
      <c r="FTV9" s="175"/>
      <c r="FTW9" s="175"/>
      <c r="FTX9" s="175"/>
      <c r="FTY9" s="175"/>
      <c r="FTZ9" s="175"/>
      <c r="FUA9" s="175"/>
      <c r="FUB9" s="175"/>
      <c r="FUC9" s="175"/>
      <c r="FUD9" s="175"/>
      <c r="FUE9" s="175"/>
      <c r="FUF9" s="175"/>
      <c r="FUG9" s="175"/>
      <c r="FUH9" s="175"/>
      <c r="FUI9" s="175"/>
      <c r="FUJ9" s="175"/>
      <c r="FUK9" s="175"/>
      <c r="FUL9" s="175"/>
      <c r="FUM9" s="175"/>
      <c r="FUN9" s="175"/>
      <c r="FUO9" s="175"/>
      <c r="FUP9" s="175"/>
      <c r="FUQ9" s="175"/>
      <c r="FUR9" s="175"/>
      <c r="FUS9" s="175"/>
      <c r="FUT9" s="175"/>
      <c r="FUU9" s="175"/>
      <c r="FUV9" s="175"/>
      <c r="FUW9" s="175"/>
      <c r="FUX9" s="175"/>
      <c r="FUY9" s="175"/>
      <c r="FUZ9" s="175"/>
      <c r="FVA9" s="175"/>
      <c r="FVB9" s="175"/>
      <c r="FVC9" s="175"/>
      <c r="FVD9" s="175"/>
      <c r="FVE9" s="175"/>
      <c r="FVF9" s="175"/>
      <c r="FVG9" s="175"/>
      <c r="FVH9" s="175"/>
      <c r="FVI9" s="175"/>
      <c r="FVJ9" s="175"/>
      <c r="FVK9" s="175"/>
      <c r="FVL9" s="175"/>
      <c r="FVM9" s="175"/>
      <c r="FVN9" s="175"/>
      <c r="FVO9" s="175"/>
      <c r="FVP9" s="175"/>
      <c r="FVQ9" s="175"/>
      <c r="FVR9" s="175"/>
      <c r="FVS9" s="175"/>
      <c r="FVT9" s="175"/>
      <c r="FVU9" s="175"/>
      <c r="FVV9" s="175"/>
      <c r="FVW9" s="175"/>
      <c r="FVX9" s="175"/>
      <c r="FVY9" s="175"/>
      <c r="FVZ9" s="175"/>
      <c r="FWA9" s="175"/>
      <c r="FWB9" s="175"/>
      <c r="FWC9" s="175"/>
      <c r="FWD9" s="175"/>
      <c r="FWE9" s="175"/>
      <c r="FWF9" s="175"/>
      <c r="FWG9" s="175"/>
      <c r="FWH9" s="175"/>
      <c r="FWI9" s="175"/>
      <c r="FWJ9" s="175"/>
      <c r="FWK9" s="175"/>
      <c r="FWL9" s="175"/>
      <c r="FWM9" s="175"/>
      <c r="FWN9" s="175"/>
      <c r="FWO9" s="175"/>
      <c r="FWP9" s="175"/>
      <c r="FWQ9" s="175"/>
      <c r="FWR9" s="175"/>
      <c r="FWS9" s="175"/>
      <c r="FWT9" s="175"/>
      <c r="FWU9" s="175"/>
      <c r="FWV9" s="175"/>
      <c r="FWW9" s="175"/>
      <c r="FWX9" s="175"/>
      <c r="FWY9" s="175"/>
      <c r="FWZ9" s="175"/>
      <c r="FXA9" s="175"/>
      <c r="FXB9" s="175"/>
      <c r="FXC9" s="175"/>
      <c r="FXD9" s="175"/>
      <c r="FXE9" s="175"/>
      <c r="FXF9" s="175"/>
      <c r="FXG9" s="175"/>
      <c r="FXH9" s="175"/>
      <c r="FXI9" s="175"/>
      <c r="FXJ9" s="175"/>
      <c r="FXK9" s="175"/>
      <c r="FXL9" s="175"/>
      <c r="FXM9" s="175"/>
      <c r="FXN9" s="175"/>
      <c r="FXO9" s="175"/>
      <c r="FXP9" s="175"/>
      <c r="FXQ9" s="175"/>
      <c r="FXR9" s="175"/>
      <c r="FXS9" s="175"/>
      <c r="FXT9" s="175"/>
      <c r="FXU9" s="175"/>
      <c r="FXV9" s="175"/>
      <c r="FXW9" s="175"/>
      <c r="FXX9" s="175"/>
      <c r="FXY9" s="175"/>
      <c r="FXZ9" s="175"/>
      <c r="FYA9" s="175"/>
      <c r="FYB9" s="175"/>
      <c r="FYC9" s="175"/>
      <c r="FYD9" s="175"/>
      <c r="FYE9" s="175"/>
      <c r="FYF9" s="175"/>
      <c r="FYG9" s="175"/>
      <c r="FYH9" s="175"/>
      <c r="FYI9" s="175"/>
      <c r="FYJ9" s="175"/>
      <c r="FYK9" s="175"/>
      <c r="FYL9" s="175"/>
      <c r="FYM9" s="175"/>
      <c r="FYN9" s="175"/>
      <c r="FYO9" s="175"/>
      <c r="FYP9" s="175"/>
      <c r="FYQ9" s="175"/>
      <c r="FYR9" s="175"/>
      <c r="FYS9" s="175"/>
      <c r="FYT9" s="175"/>
      <c r="FYU9" s="175"/>
      <c r="FYV9" s="175"/>
      <c r="FYW9" s="175"/>
      <c r="FYX9" s="175"/>
      <c r="FYY9" s="175"/>
      <c r="FYZ9" s="175"/>
      <c r="FZA9" s="175"/>
      <c r="FZB9" s="175"/>
      <c r="FZC9" s="175"/>
      <c r="FZD9" s="175"/>
      <c r="FZE9" s="175"/>
      <c r="FZF9" s="175"/>
      <c r="FZG9" s="175"/>
      <c r="FZH9" s="175"/>
      <c r="FZI9" s="175"/>
      <c r="FZJ9" s="175"/>
      <c r="FZK9" s="175"/>
      <c r="FZL9" s="175"/>
      <c r="FZM9" s="175"/>
      <c r="FZN9" s="175"/>
      <c r="FZO9" s="175"/>
      <c r="FZP9" s="175"/>
      <c r="FZQ9" s="175"/>
      <c r="FZR9" s="175"/>
      <c r="FZS9" s="175"/>
      <c r="FZT9" s="175"/>
      <c r="FZU9" s="175"/>
      <c r="FZV9" s="175"/>
      <c r="FZW9" s="175"/>
      <c r="FZX9" s="175"/>
      <c r="FZY9" s="175"/>
      <c r="FZZ9" s="175"/>
      <c r="GAA9" s="175"/>
      <c r="GAB9" s="175"/>
      <c r="GAC9" s="175"/>
      <c r="GAD9" s="175"/>
      <c r="GAE9" s="175"/>
      <c r="GAF9" s="175"/>
      <c r="GAG9" s="175"/>
      <c r="GAH9" s="175"/>
      <c r="GAI9" s="175"/>
      <c r="GAJ9" s="175"/>
      <c r="GAK9" s="175"/>
      <c r="GAL9" s="175"/>
      <c r="GAM9" s="175"/>
      <c r="GAN9" s="175"/>
      <c r="GAO9" s="175"/>
      <c r="GAP9" s="175"/>
      <c r="GAQ9" s="175"/>
      <c r="GAR9" s="175"/>
      <c r="GAS9" s="175"/>
      <c r="GAT9" s="175"/>
      <c r="GAU9" s="175"/>
      <c r="GAV9" s="175"/>
      <c r="GAW9" s="175"/>
      <c r="GAX9" s="175"/>
      <c r="GAY9" s="175"/>
      <c r="GAZ9" s="175"/>
      <c r="GBA9" s="175"/>
      <c r="GBB9" s="175"/>
      <c r="GBC9" s="175"/>
      <c r="GBD9" s="175"/>
      <c r="GBE9" s="175"/>
      <c r="GBF9" s="175"/>
      <c r="GBG9" s="175"/>
      <c r="GBH9" s="175"/>
      <c r="GBI9" s="175"/>
      <c r="GBJ9" s="175"/>
      <c r="GBK9" s="175"/>
      <c r="GBL9" s="175"/>
      <c r="GBM9" s="175"/>
      <c r="GBN9" s="175"/>
      <c r="GBO9" s="175"/>
      <c r="GBP9" s="175"/>
      <c r="GBQ9" s="175"/>
      <c r="GBR9" s="175"/>
      <c r="GBS9" s="175"/>
      <c r="GBT9" s="175"/>
      <c r="GBU9" s="175"/>
      <c r="GBV9" s="175"/>
      <c r="GBW9" s="175"/>
      <c r="GBX9" s="175"/>
      <c r="GBY9" s="175"/>
      <c r="GBZ9" s="175"/>
      <c r="GCA9" s="175"/>
      <c r="GCB9" s="175"/>
      <c r="GCC9" s="175"/>
      <c r="GCD9" s="175"/>
      <c r="GCE9" s="175"/>
      <c r="GCF9" s="175"/>
      <c r="GCG9" s="175"/>
      <c r="GCH9" s="175"/>
      <c r="GCI9" s="175"/>
      <c r="GCJ9" s="175"/>
      <c r="GCK9" s="175"/>
      <c r="GCL9" s="175"/>
      <c r="GCM9" s="175"/>
      <c r="GCN9" s="175"/>
      <c r="GCO9" s="175"/>
      <c r="GCP9" s="175"/>
      <c r="GCQ9" s="175"/>
      <c r="GCR9" s="175"/>
      <c r="GCS9" s="175"/>
      <c r="GCT9" s="175"/>
      <c r="GCU9" s="175"/>
      <c r="GCV9" s="175"/>
      <c r="GCW9" s="175"/>
      <c r="GCX9" s="175"/>
      <c r="GCY9" s="175"/>
      <c r="GCZ9" s="175"/>
      <c r="GDA9" s="175"/>
      <c r="GDB9" s="175"/>
      <c r="GDC9" s="175"/>
      <c r="GDD9" s="175"/>
      <c r="GDE9" s="175"/>
      <c r="GDF9" s="175"/>
      <c r="GDG9" s="175"/>
      <c r="GDH9" s="175"/>
      <c r="GDI9" s="175"/>
      <c r="GDJ9" s="175"/>
      <c r="GDK9" s="175"/>
      <c r="GDL9" s="175"/>
      <c r="GDM9" s="175"/>
      <c r="GDN9" s="175"/>
      <c r="GDO9" s="175"/>
      <c r="GDP9" s="175"/>
      <c r="GDQ9" s="175"/>
      <c r="GDR9" s="175"/>
      <c r="GDS9" s="175"/>
      <c r="GDT9" s="175"/>
      <c r="GDU9" s="175"/>
      <c r="GDV9" s="175"/>
      <c r="GDW9" s="175"/>
      <c r="GDX9" s="175"/>
      <c r="GDY9" s="175"/>
      <c r="GDZ9" s="175"/>
      <c r="GEA9" s="175"/>
      <c r="GEB9" s="175"/>
      <c r="GEC9" s="175"/>
      <c r="GED9" s="175"/>
      <c r="GEE9" s="175"/>
      <c r="GEF9" s="175"/>
      <c r="GEG9" s="175"/>
      <c r="GEH9" s="175"/>
      <c r="GEI9" s="175"/>
      <c r="GEJ9" s="175"/>
      <c r="GEK9" s="175"/>
      <c r="GEL9" s="175"/>
      <c r="GEM9" s="175"/>
      <c r="GEN9" s="175"/>
      <c r="GEO9" s="175"/>
      <c r="GEP9" s="175"/>
      <c r="GEQ9" s="175"/>
      <c r="GER9" s="175"/>
      <c r="GES9" s="175"/>
      <c r="GET9" s="175"/>
      <c r="GEU9" s="175"/>
      <c r="GEV9" s="175"/>
      <c r="GEW9" s="175"/>
      <c r="GEX9" s="175"/>
      <c r="GEY9" s="175"/>
      <c r="GEZ9" s="175"/>
      <c r="GFA9" s="175"/>
      <c r="GFB9" s="175"/>
      <c r="GFC9" s="175"/>
      <c r="GFD9" s="175"/>
      <c r="GFE9" s="175"/>
      <c r="GFF9" s="175"/>
      <c r="GFG9" s="175"/>
      <c r="GFH9" s="175"/>
      <c r="GFI9" s="175"/>
      <c r="GFJ9" s="175"/>
      <c r="GFK9" s="175"/>
      <c r="GFL9" s="175"/>
      <c r="GFM9" s="175"/>
      <c r="GFN9" s="175"/>
      <c r="GFO9" s="175"/>
      <c r="GFP9" s="175"/>
      <c r="GFQ9" s="175"/>
      <c r="GFR9" s="175"/>
      <c r="GFS9" s="175"/>
      <c r="GFT9" s="175"/>
      <c r="GFU9" s="175"/>
      <c r="GFV9" s="175"/>
      <c r="GFW9" s="175"/>
      <c r="GFX9" s="175"/>
      <c r="GFY9" s="175"/>
      <c r="GFZ9" s="175"/>
      <c r="GGA9" s="175"/>
      <c r="GGB9" s="175"/>
      <c r="GGC9" s="175"/>
      <c r="GGD9" s="175"/>
      <c r="GGE9" s="175"/>
      <c r="GGF9" s="175"/>
      <c r="GGG9" s="175"/>
      <c r="GGH9" s="175"/>
      <c r="GGI9" s="175"/>
      <c r="GGJ9" s="175"/>
      <c r="GGK9" s="175"/>
      <c r="GGL9" s="175"/>
      <c r="GGM9" s="175"/>
      <c r="GGN9" s="175"/>
      <c r="GGO9" s="175"/>
      <c r="GGP9" s="175"/>
      <c r="GGQ9" s="175"/>
      <c r="GGR9" s="175"/>
      <c r="GGS9" s="175"/>
      <c r="GGT9" s="175"/>
      <c r="GGU9" s="175"/>
      <c r="GGV9" s="175"/>
      <c r="GGW9" s="175"/>
      <c r="GGX9" s="175"/>
      <c r="GGY9" s="175"/>
      <c r="GGZ9" s="175"/>
      <c r="GHA9" s="175"/>
      <c r="GHB9" s="175"/>
      <c r="GHC9" s="175"/>
      <c r="GHD9" s="175"/>
      <c r="GHE9" s="175"/>
      <c r="GHF9" s="175"/>
      <c r="GHG9" s="175"/>
      <c r="GHH9" s="175"/>
      <c r="GHI9" s="175"/>
      <c r="GHJ9" s="175"/>
      <c r="GHK9" s="175"/>
      <c r="GHL9" s="175"/>
      <c r="GHM9" s="175"/>
      <c r="GHN9" s="175"/>
      <c r="GHO9" s="175"/>
      <c r="GHP9" s="175"/>
      <c r="GHQ9" s="175"/>
      <c r="GHR9" s="175"/>
      <c r="GHS9" s="175"/>
      <c r="GHT9" s="175"/>
      <c r="GHU9" s="175"/>
      <c r="GHV9" s="175"/>
      <c r="GHW9" s="175"/>
      <c r="GHX9" s="175"/>
      <c r="GHY9" s="175"/>
      <c r="GHZ9" s="175"/>
      <c r="GIA9" s="175"/>
      <c r="GIB9" s="175"/>
      <c r="GIC9" s="175"/>
      <c r="GID9" s="175"/>
      <c r="GIE9" s="175"/>
      <c r="GIF9" s="175"/>
      <c r="GIG9" s="175"/>
      <c r="GIH9" s="175"/>
      <c r="GII9" s="175"/>
      <c r="GIJ9" s="175"/>
      <c r="GIK9" s="175"/>
      <c r="GIL9" s="175"/>
      <c r="GIM9" s="175"/>
      <c r="GIN9" s="175"/>
      <c r="GIO9" s="175"/>
      <c r="GIP9" s="175"/>
      <c r="GIQ9" s="175"/>
      <c r="GIR9" s="175"/>
      <c r="GIS9" s="175"/>
      <c r="GIT9" s="175"/>
      <c r="GIU9" s="175"/>
      <c r="GIV9" s="175"/>
      <c r="GIW9" s="175"/>
      <c r="GIX9" s="175"/>
      <c r="GIY9" s="175"/>
      <c r="GIZ9" s="175"/>
      <c r="GJA9" s="175"/>
      <c r="GJB9" s="175"/>
      <c r="GJC9" s="175"/>
      <c r="GJD9" s="175"/>
      <c r="GJE9" s="175"/>
      <c r="GJF9" s="175"/>
      <c r="GJG9" s="175"/>
      <c r="GJH9" s="175"/>
      <c r="GJI9" s="175"/>
      <c r="GJJ9" s="175"/>
      <c r="GJK9" s="175"/>
      <c r="GJL9" s="175"/>
      <c r="GJM9" s="175"/>
      <c r="GJN9" s="175"/>
      <c r="GJO9" s="175"/>
      <c r="GJP9" s="175"/>
      <c r="GJQ9" s="175"/>
      <c r="GJR9" s="175"/>
      <c r="GJS9" s="175"/>
      <c r="GJT9" s="175"/>
      <c r="GJU9" s="175"/>
      <c r="GJV9" s="175"/>
      <c r="GJW9" s="175"/>
      <c r="GJX9" s="175"/>
      <c r="GJY9" s="175"/>
      <c r="GJZ9" s="175"/>
      <c r="GKA9" s="175"/>
      <c r="GKB9" s="175"/>
      <c r="GKC9" s="175"/>
      <c r="GKD9" s="175"/>
      <c r="GKE9" s="175"/>
      <c r="GKF9" s="175"/>
      <c r="GKG9" s="175"/>
      <c r="GKH9" s="175"/>
      <c r="GKI9" s="175"/>
      <c r="GKJ9" s="175"/>
      <c r="GKK9" s="175"/>
      <c r="GKL9" s="175"/>
      <c r="GKM9" s="175"/>
      <c r="GKN9" s="175"/>
      <c r="GKO9" s="175"/>
      <c r="GKP9" s="175"/>
      <c r="GKQ9" s="175"/>
      <c r="GKR9" s="175"/>
      <c r="GKS9" s="175"/>
      <c r="GKT9" s="175"/>
      <c r="GKU9" s="175"/>
      <c r="GKV9" s="175"/>
      <c r="GKW9" s="175"/>
      <c r="GKX9" s="175"/>
      <c r="GKY9" s="175"/>
      <c r="GKZ9" s="175"/>
      <c r="GLA9" s="175"/>
      <c r="GLB9" s="175"/>
      <c r="GLC9" s="175"/>
      <c r="GLD9" s="175"/>
      <c r="GLE9" s="175"/>
      <c r="GLF9" s="175"/>
      <c r="GLG9" s="175"/>
      <c r="GLH9" s="175"/>
      <c r="GLI9" s="175"/>
      <c r="GLJ9" s="175"/>
      <c r="GLK9" s="175"/>
      <c r="GLL9" s="175"/>
      <c r="GLM9" s="175"/>
      <c r="GLN9" s="175"/>
      <c r="GLO9" s="175"/>
      <c r="GLP9" s="175"/>
      <c r="GLQ9" s="175"/>
      <c r="GLR9" s="175"/>
      <c r="GLS9" s="175"/>
      <c r="GLT9" s="175"/>
      <c r="GLU9" s="175"/>
      <c r="GLV9" s="175"/>
      <c r="GLW9" s="175"/>
      <c r="GLX9" s="175"/>
      <c r="GLY9" s="175"/>
      <c r="GLZ9" s="175"/>
      <c r="GMA9" s="175"/>
      <c r="GMB9" s="175"/>
      <c r="GMC9" s="175"/>
      <c r="GMD9" s="175"/>
      <c r="GME9" s="175"/>
      <c r="GMF9" s="175"/>
      <c r="GMG9" s="175"/>
      <c r="GMH9" s="175"/>
      <c r="GMI9" s="175"/>
      <c r="GMJ9" s="175"/>
      <c r="GMK9" s="175"/>
      <c r="GML9" s="175"/>
      <c r="GMM9" s="175"/>
      <c r="GMN9" s="175"/>
      <c r="GMO9" s="175"/>
      <c r="GMP9" s="175"/>
      <c r="GMQ9" s="175"/>
      <c r="GMR9" s="175"/>
      <c r="GMS9" s="175"/>
      <c r="GMT9" s="175"/>
      <c r="GMU9" s="175"/>
      <c r="GMV9" s="175"/>
      <c r="GMW9" s="175"/>
      <c r="GMX9" s="175"/>
      <c r="GMY9" s="175"/>
      <c r="GMZ9" s="175"/>
      <c r="GNA9" s="175"/>
      <c r="GNB9" s="175"/>
      <c r="GNC9" s="175"/>
      <c r="GND9" s="175"/>
      <c r="GNE9" s="175"/>
      <c r="GNF9" s="175"/>
      <c r="GNG9" s="175"/>
      <c r="GNH9" s="175"/>
      <c r="GNI9" s="175"/>
      <c r="GNJ9" s="175"/>
      <c r="GNK9" s="175"/>
      <c r="GNL9" s="175"/>
      <c r="GNM9" s="175"/>
      <c r="GNN9" s="175"/>
      <c r="GNO9" s="175"/>
      <c r="GNP9" s="175"/>
      <c r="GNQ9" s="175"/>
      <c r="GNR9" s="175"/>
      <c r="GNS9" s="175"/>
      <c r="GNT9" s="175"/>
      <c r="GNU9" s="175"/>
      <c r="GNV9" s="175"/>
      <c r="GNW9" s="175"/>
      <c r="GNX9" s="175"/>
      <c r="GNY9" s="175"/>
      <c r="GNZ9" s="175"/>
      <c r="GOA9" s="175"/>
      <c r="GOB9" s="175"/>
      <c r="GOC9" s="175"/>
      <c r="GOD9" s="175"/>
      <c r="GOE9" s="175"/>
      <c r="GOF9" s="175"/>
      <c r="GOG9" s="175"/>
      <c r="GOH9" s="175"/>
      <c r="GOI9" s="175"/>
      <c r="GOJ9" s="175"/>
      <c r="GOK9" s="175"/>
      <c r="GOL9" s="175"/>
      <c r="GOM9" s="175"/>
      <c r="GON9" s="175"/>
      <c r="GOO9" s="175"/>
      <c r="GOP9" s="175"/>
      <c r="GOQ9" s="175"/>
      <c r="GOR9" s="175"/>
      <c r="GOS9" s="175"/>
      <c r="GOT9" s="175"/>
      <c r="GOU9" s="175"/>
      <c r="GOV9" s="175"/>
      <c r="GOW9" s="175"/>
      <c r="GOX9" s="175"/>
      <c r="GOY9" s="175"/>
      <c r="GOZ9" s="175"/>
      <c r="GPA9" s="175"/>
      <c r="GPB9" s="175"/>
      <c r="GPC9" s="175"/>
      <c r="GPD9" s="175"/>
      <c r="GPE9" s="175"/>
      <c r="GPF9" s="175"/>
      <c r="GPG9" s="175"/>
      <c r="GPH9" s="175"/>
      <c r="GPI9" s="175"/>
      <c r="GPJ9" s="175"/>
      <c r="GPK9" s="175"/>
      <c r="GPL9" s="175"/>
      <c r="GPM9" s="175"/>
      <c r="GPN9" s="175"/>
      <c r="GPO9" s="175"/>
      <c r="GPP9" s="175"/>
      <c r="GPQ9" s="175"/>
      <c r="GPR9" s="175"/>
      <c r="GPS9" s="175"/>
      <c r="GPT9" s="175"/>
      <c r="GPU9" s="175"/>
      <c r="GPV9" s="175"/>
      <c r="GPW9" s="175"/>
      <c r="GPX9" s="175"/>
      <c r="GPY9" s="175"/>
      <c r="GPZ9" s="175"/>
      <c r="GQA9" s="175"/>
      <c r="GQB9" s="175"/>
      <c r="GQC9" s="175"/>
      <c r="GQD9" s="175"/>
      <c r="GQE9" s="175"/>
      <c r="GQF9" s="175"/>
      <c r="GQG9" s="175"/>
      <c r="GQH9" s="175"/>
      <c r="GQI9" s="175"/>
      <c r="GQJ9" s="175"/>
      <c r="GQK9" s="175"/>
      <c r="GQL9" s="175"/>
      <c r="GQM9" s="175"/>
      <c r="GQN9" s="175"/>
      <c r="GQO9" s="175"/>
      <c r="GQP9" s="175"/>
      <c r="GQQ9" s="175"/>
      <c r="GQR9" s="175"/>
      <c r="GQS9" s="175"/>
      <c r="GQT9" s="175"/>
      <c r="GQU9" s="175"/>
      <c r="GQV9" s="175"/>
      <c r="GQW9" s="175"/>
      <c r="GQX9" s="175"/>
      <c r="GQY9" s="175"/>
      <c r="GQZ9" s="175"/>
      <c r="GRA9" s="175"/>
      <c r="GRB9" s="175"/>
      <c r="GRC9" s="175"/>
      <c r="GRD9" s="175"/>
      <c r="GRE9" s="175"/>
      <c r="GRF9" s="175"/>
      <c r="GRG9" s="175"/>
      <c r="GRH9" s="175"/>
      <c r="GRI9" s="175"/>
      <c r="GRJ9" s="175"/>
      <c r="GRK9" s="175"/>
      <c r="GRL9" s="175"/>
      <c r="GRM9" s="175"/>
      <c r="GRN9" s="175"/>
      <c r="GRO9" s="175"/>
      <c r="GRP9" s="175"/>
      <c r="GRQ9" s="175"/>
      <c r="GRR9" s="175"/>
      <c r="GRS9" s="175"/>
      <c r="GRT9" s="175"/>
      <c r="GRU9" s="175"/>
      <c r="GRV9" s="175"/>
      <c r="GRW9" s="175"/>
      <c r="GRX9" s="175"/>
      <c r="GRY9" s="175"/>
      <c r="GRZ9" s="175"/>
      <c r="GSA9" s="175"/>
      <c r="GSB9" s="175"/>
      <c r="GSC9" s="175"/>
      <c r="GSD9" s="175"/>
      <c r="GSE9" s="175"/>
      <c r="GSF9" s="175"/>
      <c r="GSG9" s="175"/>
      <c r="GSH9" s="175"/>
      <c r="GSI9" s="175"/>
      <c r="GSJ9" s="175"/>
      <c r="GSK9" s="175"/>
      <c r="GSL9" s="175"/>
      <c r="GSM9" s="175"/>
      <c r="GSN9" s="175"/>
      <c r="GSO9" s="175"/>
      <c r="GSP9" s="175"/>
      <c r="GSQ9" s="175"/>
      <c r="GSR9" s="175"/>
      <c r="GSS9" s="175"/>
      <c r="GST9" s="175"/>
      <c r="GSU9" s="175"/>
      <c r="GSV9" s="175"/>
      <c r="GSW9" s="175"/>
      <c r="GSX9" s="175"/>
      <c r="GSY9" s="175"/>
      <c r="GSZ9" s="175"/>
      <c r="GTA9" s="175"/>
      <c r="GTB9" s="175"/>
      <c r="GTC9" s="175"/>
      <c r="GTD9" s="175"/>
      <c r="GTE9" s="175"/>
      <c r="GTF9" s="175"/>
      <c r="GTG9" s="175"/>
      <c r="GTH9" s="175"/>
      <c r="GTI9" s="175"/>
      <c r="GTJ9" s="175"/>
      <c r="GTK9" s="175"/>
      <c r="GTL9" s="175"/>
      <c r="GTM9" s="175"/>
      <c r="GTN9" s="175"/>
      <c r="GTO9" s="175"/>
      <c r="GTP9" s="175"/>
      <c r="GTQ9" s="175"/>
      <c r="GTR9" s="175"/>
      <c r="GTS9" s="175"/>
      <c r="GTT9" s="175"/>
      <c r="GTU9" s="175"/>
      <c r="GTV9" s="175"/>
      <c r="GTW9" s="175"/>
      <c r="GTX9" s="175"/>
      <c r="GTY9" s="175"/>
      <c r="GTZ9" s="175"/>
      <c r="GUA9" s="175"/>
      <c r="GUB9" s="175"/>
      <c r="GUC9" s="175"/>
      <c r="GUD9" s="175"/>
      <c r="GUE9" s="175"/>
      <c r="GUF9" s="175"/>
      <c r="GUG9" s="175"/>
      <c r="GUH9" s="175"/>
      <c r="GUI9" s="175"/>
      <c r="GUJ9" s="175"/>
      <c r="GUK9" s="175"/>
      <c r="GUL9" s="175"/>
      <c r="GUM9" s="175"/>
      <c r="GUN9" s="175"/>
      <c r="GUO9" s="175"/>
      <c r="GUP9" s="175"/>
      <c r="GUQ9" s="175"/>
      <c r="GUR9" s="175"/>
      <c r="GUS9" s="175"/>
      <c r="GUT9" s="175"/>
      <c r="GUU9" s="175"/>
      <c r="GUV9" s="175"/>
      <c r="GUW9" s="175"/>
      <c r="GUX9" s="175"/>
      <c r="GUY9" s="175"/>
      <c r="GUZ9" s="175"/>
      <c r="GVA9" s="175"/>
      <c r="GVB9" s="175"/>
      <c r="GVC9" s="175"/>
      <c r="GVD9" s="175"/>
      <c r="GVE9" s="175"/>
      <c r="GVF9" s="175"/>
      <c r="GVG9" s="175"/>
      <c r="GVH9" s="175"/>
      <c r="GVI9" s="175"/>
      <c r="GVJ9" s="175"/>
      <c r="GVK9" s="175"/>
      <c r="GVL9" s="175"/>
      <c r="GVM9" s="175"/>
      <c r="GVN9" s="175"/>
      <c r="GVO9" s="175"/>
      <c r="GVP9" s="175"/>
      <c r="GVQ9" s="175"/>
      <c r="GVR9" s="175"/>
      <c r="GVS9" s="175"/>
      <c r="GVT9" s="175"/>
      <c r="GVU9" s="175"/>
      <c r="GVV9" s="175"/>
      <c r="GVW9" s="175"/>
      <c r="GVX9" s="175"/>
      <c r="GVY9" s="175"/>
      <c r="GVZ9" s="175"/>
      <c r="GWA9" s="175"/>
      <c r="GWB9" s="175"/>
      <c r="GWC9" s="175"/>
      <c r="GWD9" s="175"/>
      <c r="GWE9" s="175"/>
      <c r="GWF9" s="175"/>
      <c r="GWG9" s="175"/>
      <c r="GWH9" s="175"/>
      <c r="GWI9" s="175"/>
      <c r="GWJ9" s="175"/>
      <c r="GWK9" s="175"/>
      <c r="GWL9" s="175"/>
      <c r="GWM9" s="175"/>
      <c r="GWN9" s="175"/>
      <c r="GWO9" s="175"/>
      <c r="GWP9" s="175"/>
      <c r="GWQ9" s="175"/>
      <c r="GWR9" s="175"/>
      <c r="GWS9" s="175"/>
      <c r="GWT9" s="175"/>
      <c r="GWU9" s="175"/>
      <c r="GWV9" s="175"/>
      <c r="GWW9" s="175"/>
      <c r="GWX9" s="175"/>
      <c r="GWY9" s="175"/>
      <c r="GWZ9" s="175"/>
      <c r="GXA9" s="175"/>
      <c r="GXB9" s="175"/>
      <c r="GXC9" s="175"/>
      <c r="GXD9" s="175"/>
      <c r="GXE9" s="175"/>
      <c r="GXF9" s="175"/>
      <c r="GXG9" s="175"/>
      <c r="GXH9" s="175"/>
      <c r="GXI9" s="175"/>
      <c r="GXJ9" s="175"/>
      <c r="GXK9" s="175"/>
      <c r="GXL9" s="175"/>
      <c r="GXM9" s="175"/>
      <c r="GXN9" s="175"/>
      <c r="GXO9" s="175"/>
      <c r="GXP9" s="175"/>
      <c r="GXQ9" s="175"/>
      <c r="GXR9" s="175"/>
      <c r="GXS9" s="175"/>
      <c r="GXT9" s="175"/>
      <c r="GXU9" s="175"/>
      <c r="GXV9" s="175"/>
      <c r="GXW9" s="175"/>
      <c r="GXX9" s="175"/>
      <c r="GXY9" s="175"/>
      <c r="GXZ9" s="175"/>
      <c r="GYA9" s="175"/>
      <c r="GYB9" s="175"/>
      <c r="GYC9" s="175"/>
      <c r="GYD9" s="175"/>
      <c r="GYE9" s="175"/>
      <c r="GYF9" s="175"/>
      <c r="GYG9" s="175"/>
      <c r="GYH9" s="175"/>
      <c r="GYI9" s="175"/>
      <c r="GYJ9" s="175"/>
      <c r="GYK9" s="175"/>
      <c r="GYL9" s="175"/>
      <c r="GYM9" s="175"/>
      <c r="GYN9" s="175"/>
      <c r="GYO9" s="175"/>
      <c r="GYP9" s="175"/>
      <c r="GYQ9" s="175"/>
      <c r="GYR9" s="175"/>
      <c r="GYS9" s="175"/>
      <c r="GYT9" s="175"/>
      <c r="GYU9" s="175"/>
      <c r="GYV9" s="175"/>
      <c r="GYW9" s="175"/>
      <c r="GYX9" s="175"/>
      <c r="GYY9" s="175"/>
      <c r="GYZ9" s="175"/>
      <c r="GZA9" s="175"/>
      <c r="GZB9" s="175"/>
      <c r="GZC9" s="175"/>
      <c r="GZD9" s="175"/>
      <c r="GZE9" s="175"/>
      <c r="GZF9" s="175"/>
      <c r="GZG9" s="175"/>
      <c r="GZH9" s="175"/>
      <c r="GZI9" s="175"/>
      <c r="GZJ9" s="175"/>
      <c r="GZK9" s="175"/>
      <c r="GZL9" s="175"/>
      <c r="GZM9" s="175"/>
      <c r="GZN9" s="175"/>
      <c r="GZO9" s="175"/>
      <c r="GZP9" s="175"/>
      <c r="GZQ9" s="175"/>
      <c r="GZR9" s="175"/>
      <c r="GZS9" s="175"/>
      <c r="GZT9" s="175"/>
      <c r="GZU9" s="175"/>
      <c r="GZV9" s="175"/>
      <c r="GZW9" s="175"/>
      <c r="GZX9" s="175"/>
      <c r="GZY9" s="175"/>
      <c r="GZZ9" s="175"/>
      <c r="HAA9" s="175"/>
      <c r="HAB9" s="175"/>
      <c r="HAC9" s="175"/>
      <c r="HAD9" s="175"/>
      <c r="HAE9" s="175"/>
      <c r="HAF9" s="175"/>
      <c r="HAG9" s="175"/>
      <c r="HAH9" s="175"/>
      <c r="HAI9" s="175"/>
      <c r="HAJ9" s="175"/>
      <c r="HAK9" s="175"/>
      <c r="HAL9" s="175"/>
      <c r="HAM9" s="175"/>
      <c r="HAN9" s="175"/>
      <c r="HAO9" s="175"/>
      <c r="HAP9" s="175"/>
      <c r="HAQ9" s="175"/>
      <c r="HAR9" s="175"/>
      <c r="HAS9" s="175"/>
      <c r="HAT9" s="175"/>
      <c r="HAU9" s="175"/>
      <c r="HAV9" s="175"/>
      <c r="HAW9" s="175"/>
      <c r="HAX9" s="175"/>
      <c r="HAY9" s="175"/>
      <c r="HAZ9" s="175"/>
      <c r="HBA9" s="175"/>
      <c r="HBB9" s="175"/>
      <c r="HBC9" s="175"/>
      <c r="HBD9" s="175"/>
      <c r="HBE9" s="175"/>
      <c r="HBF9" s="175"/>
      <c r="HBG9" s="175"/>
      <c r="HBH9" s="175"/>
      <c r="HBI9" s="175"/>
      <c r="HBJ9" s="175"/>
      <c r="HBK9" s="175"/>
      <c r="HBL9" s="175"/>
      <c r="HBM9" s="175"/>
      <c r="HBN9" s="175"/>
      <c r="HBO9" s="175"/>
      <c r="HBP9" s="175"/>
      <c r="HBQ9" s="175"/>
      <c r="HBR9" s="175"/>
      <c r="HBS9" s="175"/>
      <c r="HBT9" s="175"/>
      <c r="HBU9" s="175"/>
      <c r="HBV9" s="175"/>
      <c r="HBW9" s="175"/>
      <c r="HBX9" s="175"/>
      <c r="HBY9" s="175"/>
      <c r="HBZ9" s="175"/>
      <c r="HCA9" s="175"/>
      <c r="HCB9" s="175"/>
      <c r="HCC9" s="175"/>
      <c r="HCD9" s="175"/>
      <c r="HCE9" s="175"/>
      <c r="HCF9" s="175"/>
      <c r="HCG9" s="175"/>
      <c r="HCH9" s="175"/>
      <c r="HCI9" s="175"/>
      <c r="HCJ9" s="175"/>
      <c r="HCK9" s="175"/>
      <c r="HCL9" s="175"/>
      <c r="HCM9" s="175"/>
      <c r="HCN9" s="175"/>
      <c r="HCO9" s="175"/>
      <c r="HCP9" s="175"/>
      <c r="HCQ9" s="175"/>
      <c r="HCR9" s="175"/>
      <c r="HCS9" s="175"/>
      <c r="HCT9" s="175"/>
      <c r="HCU9" s="175"/>
      <c r="HCV9" s="175"/>
      <c r="HCW9" s="175"/>
      <c r="HCX9" s="175"/>
      <c r="HCY9" s="175"/>
      <c r="HCZ9" s="175"/>
      <c r="HDA9" s="175"/>
      <c r="HDB9" s="175"/>
      <c r="HDC9" s="175"/>
      <c r="HDD9" s="175"/>
      <c r="HDE9" s="175"/>
      <c r="HDF9" s="175"/>
      <c r="HDG9" s="175"/>
      <c r="HDH9" s="175"/>
      <c r="HDI9" s="175"/>
      <c r="HDJ9" s="175"/>
      <c r="HDK9" s="175"/>
      <c r="HDL9" s="175"/>
      <c r="HDM9" s="175"/>
      <c r="HDN9" s="175"/>
      <c r="HDO9" s="175"/>
      <c r="HDP9" s="175"/>
      <c r="HDQ9" s="175"/>
      <c r="HDR9" s="175"/>
      <c r="HDS9" s="175"/>
      <c r="HDT9" s="175"/>
      <c r="HDU9" s="175"/>
      <c r="HDV9" s="175"/>
      <c r="HDW9" s="175"/>
      <c r="HDX9" s="175"/>
      <c r="HDY9" s="175"/>
      <c r="HDZ9" s="175"/>
      <c r="HEA9" s="175"/>
      <c r="HEB9" s="175"/>
      <c r="HEC9" s="175"/>
      <c r="HED9" s="175"/>
      <c r="HEE9" s="175"/>
      <c r="HEF9" s="175"/>
      <c r="HEG9" s="175"/>
      <c r="HEH9" s="175"/>
      <c r="HEI9" s="175"/>
      <c r="HEJ9" s="175"/>
      <c r="HEK9" s="175"/>
      <c r="HEL9" s="175"/>
      <c r="HEM9" s="175"/>
      <c r="HEN9" s="175"/>
      <c r="HEO9" s="175"/>
      <c r="HEP9" s="175"/>
      <c r="HEQ9" s="175"/>
      <c r="HER9" s="175"/>
      <c r="HES9" s="175"/>
      <c r="HET9" s="175"/>
      <c r="HEU9" s="175"/>
      <c r="HEV9" s="175"/>
      <c r="HEW9" s="175"/>
      <c r="HEX9" s="175"/>
      <c r="HEY9" s="175"/>
      <c r="HEZ9" s="175"/>
      <c r="HFA9" s="175"/>
      <c r="HFB9" s="175"/>
      <c r="HFC9" s="175"/>
      <c r="HFD9" s="175"/>
      <c r="HFE9" s="175"/>
      <c r="HFF9" s="175"/>
      <c r="HFG9" s="175"/>
      <c r="HFH9" s="175"/>
      <c r="HFI9" s="175"/>
      <c r="HFJ9" s="175"/>
      <c r="HFK9" s="175"/>
      <c r="HFL9" s="175"/>
      <c r="HFM9" s="175"/>
      <c r="HFN9" s="175"/>
      <c r="HFO9" s="175"/>
      <c r="HFP9" s="175"/>
      <c r="HFQ9" s="175"/>
      <c r="HFR9" s="175"/>
      <c r="HFS9" s="175"/>
      <c r="HFT9" s="175"/>
      <c r="HFU9" s="175"/>
      <c r="HFV9" s="175"/>
      <c r="HFW9" s="175"/>
      <c r="HFX9" s="175"/>
      <c r="HFY9" s="175"/>
      <c r="HFZ9" s="175"/>
      <c r="HGA9" s="175"/>
      <c r="HGB9" s="175"/>
      <c r="HGC9" s="175"/>
      <c r="HGD9" s="175"/>
      <c r="HGE9" s="175"/>
      <c r="HGF9" s="175"/>
      <c r="HGG9" s="175"/>
      <c r="HGH9" s="175"/>
      <c r="HGI9" s="175"/>
      <c r="HGJ9" s="175"/>
      <c r="HGK9" s="175"/>
      <c r="HGL9" s="175"/>
      <c r="HGM9" s="175"/>
      <c r="HGN9" s="175"/>
      <c r="HGO9" s="175"/>
      <c r="HGP9" s="175"/>
      <c r="HGQ9" s="175"/>
      <c r="HGR9" s="175"/>
      <c r="HGS9" s="175"/>
      <c r="HGT9" s="175"/>
      <c r="HGU9" s="175"/>
      <c r="HGV9" s="175"/>
      <c r="HGW9" s="175"/>
      <c r="HGX9" s="175"/>
      <c r="HGY9" s="175"/>
      <c r="HGZ9" s="175"/>
      <c r="HHA9" s="175"/>
      <c r="HHB9" s="175"/>
      <c r="HHC9" s="175"/>
      <c r="HHD9" s="175"/>
      <c r="HHE9" s="175"/>
      <c r="HHF9" s="175"/>
      <c r="HHG9" s="175"/>
      <c r="HHH9" s="175"/>
      <c r="HHI9" s="175"/>
      <c r="HHJ9" s="175"/>
      <c r="HHK9" s="175"/>
      <c r="HHL9" s="175"/>
      <c r="HHM9" s="175"/>
      <c r="HHN9" s="175"/>
      <c r="HHO9" s="175"/>
      <c r="HHP9" s="175"/>
      <c r="HHQ9" s="175"/>
      <c r="HHR9" s="175"/>
      <c r="HHS9" s="175"/>
      <c r="HHT9" s="175"/>
      <c r="HHU9" s="175"/>
      <c r="HHV9" s="175"/>
      <c r="HHW9" s="175"/>
      <c r="HHX9" s="175"/>
      <c r="HHY9" s="175"/>
      <c r="HHZ9" s="175"/>
      <c r="HIA9" s="175"/>
      <c r="HIB9" s="175"/>
      <c r="HIC9" s="175"/>
      <c r="HID9" s="175"/>
      <c r="HIE9" s="175"/>
      <c r="HIF9" s="175"/>
      <c r="HIG9" s="175"/>
      <c r="HIH9" s="175"/>
      <c r="HII9" s="175"/>
      <c r="HIJ9" s="175"/>
      <c r="HIK9" s="175"/>
      <c r="HIL9" s="175"/>
      <c r="HIM9" s="175"/>
      <c r="HIN9" s="175"/>
      <c r="HIO9" s="175"/>
      <c r="HIP9" s="175"/>
      <c r="HIQ9" s="175"/>
      <c r="HIR9" s="175"/>
      <c r="HIS9" s="175"/>
      <c r="HIT9" s="175"/>
      <c r="HIU9" s="175"/>
      <c r="HIV9" s="175"/>
      <c r="HIW9" s="175"/>
      <c r="HIX9" s="175"/>
      <c r="HIY9" s="175"/>
      <c r="HIZ9" s="175"/>
      <c r="HJA9" s="175"/>
      <c r="HJB9" s="175"/>
      <c r="HJC9" s="175"/>
      <c r="HJD9" s="175"/>
      <c r="HJE9" s="175"/>
      <c r="HJF9" s="175"/>
      <c r="HJG9" s="175"/>
      <c r="HJH9" s="175"/>
      <c r="HJI9" s="175"/>
      <c r="HJJ9" s="175"/>
      <c r="HJK9" s="175"/>
      <c r="HJL9" s="175"/>
      <c r="HJM9" s="175"/>
      <c r="HJN9" s="175"/>
      <c r="HJO9" s="175"/>
      <c r="HJP9" s="175"/>
      <c r="HJQ9" s="175"/>
      <c r="HJR9" s="175"/>
      <c r="HJS9" s="175"/>
      <c r="HJT9" s="175"/>
      <c r="HJU9" s="175"/>
      <c r="HJV9" s="175"/>
      <c r="HJW9" s="175"/>
      <c r="HJX9" s="175"/>
      <c r="HJY9" s="175"/>
      <c r="HJZ9" s="175"/>
      <c r="HKA9" s="175"/>
      <c r="HKB9" s="175"/>
      <c r="HKC9" s="175"/>
      <c r="HKD9" s="175"/>
      <c r="HKE9" s="175"/>
      <c r="HKF9" s="175"/>
      <c r="HKG9" s="175"/>
      <c r="HKH9" s="175"/>
      <c r="HKI9" s="175"/>
      <c r="HKJ9" s="175"/>
      <c r="HKK9" s="175"/>
      <c r="HKL9" s="175"/>
      <c r="HKM9" s="175"/>
      <c r="HKN9" s="175"/>
      <c r="HKO9" s="175"/>
      <c r="HKP9" s="175"/>
      <c r="HKQ9" s="175"/>
      <c r="HKR9" s="175"/>
      <c r="HKS9" s="175"/>
      <c r="HKT9" s="175"/>
      <c r="HKU9" s="175"/>
      <c r="HKV9" s="175"/>
      <c r="HKW9" s="175"/>
      <c r="HKX9" s="175"/>
      <c r="HKY9" s="175"/>
      <c r="HKZ9" s="175"/>
      <c r="HLA9" s="175"/>
      <c r="HLB9" s="175"/>
      <c r="HLC9" s="175"/>
      <c r="HLD9" s="175"/>
      <c r="HLE9" s="175"/>
      <c r="HLF9" s="175"/>
      <c r="HLG9" s="175"/>
      <c r="HLH9" s="175"/>
      <c r="HLI9" s="175"/>
      <c r="HLJ9" s="175"/>
      <c r="HLK9" s="175"/>
      <c r="HLL9" s="175"/>
      <c r="HLM9" s="175"/>
      <c r="HLN9" s="175"/>
      <c r="HLO9" s="175"/>
      <c r="HLP9" s="175"/>
      <c r="HLQ9" s="175"/>
      <c r="HLR9" s="175"/>
      <c r="HLS9" s="175"/>
      <c r="HLT9" s="175"/>
      <c r="HLU9" s="175"/>
      <c r="HLV9" s="175"/>
      <c r="HLW9" s="175"/>
      <c r="HLX9" s="175"/>
      <c r="HLY9" s="175"/>
      <c r="HLZ9" s="175"/>
      <c r="HMA9" s="175"/>
      <c r="HMB9" s="175"/>
      <c r="HMC9" s="175"/>
      <c r="HMD9" s="175"/>
      <c r="HME9" s="175"/>
      <c r="HMF9" s="175"/>
      <c r="HMG9" s="175"/>
      <c r="HMH9" s="175"/>
      <c r="HMI9" s="175"/>
      <c r="HMJ9" s="175"/>
      <c r="HMK9" s="175"/>
      <c r="HML9" s="175"/>
      <c r="HMM9" s="175"/>
      <c r="HMN9" s="175"/>
      <c r="HMO9" s="175"/>
      <c r="HMP9" s="175"/>
      <c r="HMQ9" s="175"/>
      <c r="HMR9" s="175"/>
      <c r="HMS9" s="175"/>
      <c r="HMT9" s="175"/>
      <c r="HMU9" s="175"/>
      <c r="HMV9" s="175"/>
      <c r="HMW9" s="175"/>
      <c r="HMX9" s="175"/>
      <c r="HMY9" s="175"/>
      <c r="HMZ9" s="175"/>
      <c r="HNA9" s="175"/>
      <c r="HNB9" s="175"/>
      <c r="HNC9" s="175"/>
      <c r="HND9" s="175"/>
      <c r="HNE9" s="175"/>
      <c r="HNF9" s="175"/>
      <c r="HNG9" s="175"/>
      <c r="HNH9" s="175"/>
      <c r="HNI9" s="175"/>
      <c r="HNJ9" s="175"/>
      <c r="HNK9" s="175"/>
      <c r="HNL9" s="175"/>
      <c r="HNM9" s="175"/>
      <c r="HNN9" s="175"/>
      <c r="HNO9" s="175"/>
      <c r="HNP9" s="175"/>
      <c r="HNQ9" s="175"/>
      <c r="HNR9" s="175"/>
      <c r="HNS9" s="175"/>
      <c r="HNT9" s="175"/>
      <c r="HNU9" s="175"/>
      <c r="HNV9" s="175"/>
      <c r="HNW9" s="175"/>
      <c r="HNX9" s="175"/>
      <c r="HNY9" s="175"/>
      <c r="HNZ9" s="175"/>
      <c r="HOA9" s="175"/>
      <c r="HOB9" s="175"/>
      <c r="HOC9" s="175"/>
      <c r="HOD9" s="175"/>
      <c r="HOE9" s="175"/>
      <c r="HOF9" s="175"/>
      <c r="HOG9" s="175"/>
      <c r="HOH9" s="175"/>
      <c r="HOI9" s="175"/>
      <c r="HOJ9" s="175"/>
      <c r="HOK9" s="175"/>
      <c r="HOL9" s="175"/>
      <c r="HOM9" s="175"/>
      <c r="HON9" s="175"/>
      <c r="HOO9" s="175"/>
      <c r="HOP9" s="175"/>
      <c r="HOQ9" s="175"/>
      <c r="HOR9" s="175"/>
      <c r="HOS9" s="175"/>
      <c r="HOT9" s="175"/>
      <c r="HOU9" s="175"/>
      <c r="HOV9" s="175"/>
      <c r="HOW9" s="175"/>
      <c r="HOX9" s="175"/>
      <c r="HOY9" s="175"/>
      <c r="HOZ9" s="175"/>
      <c r="HPA9" s="175"/>
      <c r="HPB9" s="175"/>
      <c r="HPC9" s="175"/>
      <c r="HPD9" s="175"/>
      <c r="HPE9" s="175"/>
      <c r="HPF9" s="175"/>
      <c r="HPG9" s="175"/>
      <c r="HPH9" s="175"/>
      <c r="HPI9" s="175"/>
      <c r="HPJ9" s="175"/>
      <c r="HPK9" s="175"/>
      <c r="HPL9" s="175"/>
      <c r="HPM9" s="175"/>
      <c r="HPN9" s="175"/>
      <c r="HPO9" s="175"/>
      <c r="HPP9" s="175"/>
      <c r="HPQ9" s="175"/>
      <c r="HPR9" s="175"/>
      <c r="HPS9" s="175"/>
      <c r="HPT9" s="175"/>
      <c r="HPU9" s="175"/>
      <c r="HPV9" s="175"/>
      <c r="HPW9" s="175"/>
      <c r="HPX9" s="175"/>
      <c r="HPY9" s="175"/>
      <c r="HPZ9" s="175"/>
      <c r="HQA9" s="175"/>
      <c r="HQB9" s="175"/>
      <c r="HQC9" s="175"/>
      <c r="HQD9" s="175"/>
      <c r="HQE9" s="175"/>
      <c r="HQF9" s="175"/>
      <c r="HQG9" s="175"/>
      <c r="HQH9" s="175"/>
      <c r="HQI9" s="175"/>
      <c r="HQJ9" s="175"/>
      <c r="HQK9" s="175"/>
      <c r="HQL9" s="175"/>
      <c r="HQM9" s="175"/>
      <c r="HQN9" s="175"/>
      <c r="HQO9" s="175"/>
      <c r="HQP9" s="175"/>
      <c r="HQQ9" s="175"/>
      <c r="HQR9" s="175"/>
      <c r="HQS9" s="175"/>
      <c r="HQT9" s="175"/>
      <c r="HQU9" s="175"/>
      <c r="HQV9" s="175"/>
      <c r="HQW9" s="175"/>
      <c r="HQX9" s="175"/>
      <c r="HQY9" s="175"/>
      <c r="HQZ9" s="175"/>
      <c r="HRA9" s="175"/>
      <c r="HRB9" s="175"/>
      <c r="HRC9" s="175"/>
      <c r="HRD9" s="175"/>
      <c r="HRE9" s="175"/>
      <c r="HRF9" s="175"/>
      <c r="HRG9" s="175"/>
      <c r="HRH9" s="175"/>
      <c r="HRI9" s="175"/>
      <c r="HRJ9" s="175"/>
      <c r="HRK9" s="175"/>
      <c r="HRL9" s="175"/>
      <c r="HRM9" s="175"/>
      <c r="HRN9" s="175"/>
      <c r="HRO9" s="175"/>
      <c r="HRP9" s="175"/>
      <c r="HRQ9" s="175"/>
      <c r="HRR9" s="175"/>
      <c r="HRS9" s="175"/>
      <c r="HRT9" s="175"/>
      <c r="HRU9" s="175"/>
      <c r="HRV9" s="175"/>
      <c r="HRW9" s="175"/>
      <c r="HRX9" s="175"/>
      <c r="HRY9" s="175"/>
      <c r="HRZ9" s="175"/>
      <c r="HSA9" s="175"/>
      <c r="HSB9" s="175"/>
      <c r="HSC9" s="175"/>
      <c r="HSD9" s="175"/>
      <c r="HSE9" s="175"/>
      <c r="HSF9" s="175"/>
      <c r="HSG9" s="175"/>
      <c r="HSH9" s="175"/>
      <c r="HSI9" s="175"/>
      <c r="HSJ9" s="175"/>
      <c r="HSK9" s="175"/>
      <c r="HSL9" s="175"/>
      <c r="HSM9" s="175"/>
      <c r="HSN9" s="175"/>
      <c r="HSO9" s="175"/>
      <c r="HSP9" s="175"/>
      <c r="HSQ9" s="175"/>
      <c r="HSR9" s="175"/>
      <c r="HSS9" s="175"/>
      <c r="HST9" s="175"/>
      <c r="HSU9" s="175"/>
      <c r="HSV9" s="175"/>
      <c r="HSW9" s="175"/>
      <c r="HSX9" s="175"/>
      <c r="HSY9" s="175"/>
      <c r="HSZ9" s="175"/>
      <c r="HTA9" s="175"/>
      <c r="HTB9" s="175"/>
      <c r="HTC9" s="175"/>
      <c r="HTD9" s="175"/>
      <c r="HTE9" s="175"/>
      <c r="HTF9" s="175"/>
      <c r="HTG9" s="175"/>
      <c r="HTH9" s="175"/>
      <c r="HTI9" s="175"/>
      <c r="HTJ9" s="175"/>
      <c r="HTK9" s="175"/>
      <c r="HTL9" s="175"/>
      <c r="HTM9" s="175"/>
      <c r="HTN9" s="175"/>
      <c r="HTO9" s="175"/>
      <c r="HTP9" s="175"/>
      <c r="HTQ9" s="175"/>
      <c r="HTR9" s="175"/>
      <c r="HTS9" s="175"/>
      <c r="HTT9" s="175"/>
      <c r="HTU9" s="175"/>
      <c r="HTV9" s="175"/>
      <c r="HTW9" s="175"/>
      <c r="HTX9" s="175"/>
      <c r="HTY9" s="175"/>
      <c r="HTZ9" s="175"/>
      <c r="HUA9" s="175"/>
      <c r="HUB9" s="175"/>
      <c r="HUC9" s="175"/>
      <c r="HUD9" s="175"/>
      <c r="HUE9" s="175"/>
      <c r="HUF9" s="175"/>
      <c r="HUG9" s="175"/>
      <c r="HUH9" s="175"/>
      <c r="HUI9" s="175"/>
      <c r="HUJ9" s="175"/>
      <c r="HUK9" s="175"/>
      <c r="HUL9" s="175"/>
      <c r="HUM9" s="175"/>
      <c r="HUN9" s="175"/>
      <c r="HUO9" s="175"/>
      <c r="HUP9" s="175"/>
      <c r="HUQ9" s="175"/>
      <c r="HUR9" s="175"/>
      <c r="HUS9" s="175"/>
      <c r="HUT9" s="175"/>
      <c r="HUU9" s="175"/>
      <c r="HUV9" s="175"/>
      <c r="HUW9" s="175"/>
      <c r="HUX9" s="175"/>
      <c r="HUY9" s="175"/>
      <c r="HUZ9" s="175"/>
      <c r="HVA9" s="175"/>
      <c r="HVB9" s="175"/>
      <c r="HVC9" s="175"/>
      <c r="HVD9" s="175"/>
      <c r="HVE9" s="175"/>
      <c r="HVF9" s="175"/>
      <c r="HVG9" s="175"/>
      <c r="HVH9" s="175"/>
      <c r="HVI9" s="175"/>
      <c r="HVJ9" s="175"/>
      <c r="HVK9" s="175"/>
      <c r="HVL9" s="175"/>
      <c r="HVM9" s="175"/>
      <c r="HVN9" s="175"/>
      <c r="HVO9" s="175"/>
      <c r="HVP9" s="175"/>
      <c r="HVQ9" s="175"/>
      <c r="HVR9" s="175"/>
      <c r="HVS9" s="175"/>
      <c r="HVT9" s="175"/>
      <c r="HVU9" s="175"/>
      <c r="HVV9" s="175"/>
      <c r="HVW9" s="175"/>
      <c r="HVX9" s="175"/>
      <c r="HVY9" s="175"/>
      <c r="HVZ9" s="175"/>
      <c r="HWA9" s="175"/>
      <c r="HWB9" s="175"/>
      <c r="HWC9" s="175"/>
      <c r="HWD9" s="175"/>
      <c r="HWE9" s="175"/>
      <c r="HWF9" s="175"/>
      <c r="HWG9" s="175"/>
      <c r="HWH9" s="175"/>
      <c r="HWI9" s="175"/>
      <c r="HWJ9" s="175"/>
      <c r="HWK9" s="175"/>
      <c r="HWL9" s="175"/>
      <c r="HWM9" s="175"/>
      <c r="HWN9" s="175"/>
      <c r="HWO9" s="175"/>
      <c r="HWP9" s="175"/>
      <c r="HWQ9" s="175"/>
      <c r="HWR9" s="175"/>
      <c r="HWS9" s="175"/>
      <c r="HWT9" s="175"/>
      <c r="HWU9" s="175"/>
      <c r="HWV9" s="175"/>
      <c r="HWW9" s="175"/>
      <c r="HWX9" s="175"/>
      <c r="HWY9" s="175"/>
      <c r="HWZ9" s="175"/>
      <c r="HXA9" s="175"/>
      <c r="HXB9" s="175"/>
      <c r="HXC9" s="175"/>
      <c r="HXD9" s="175"/>
      <c r="HXE9" s="175"/>
      <c r="HXF9" s="175"/>
      <c r="HXG9" s="175"/>
      <c r="HXH9" s="175"/>
      <c r="HXI9" s="175"/>
      <c r="HXJ9" s="175"/>
      <c r="HXK9" s="175"/>
      <c r="HXL9" s="175"/>
      <c r="HXM9" s="175"/>
      <c r="HXN9" s="175"/>
      <c r="HXO9" s="175"/>
      <c r="HXP9" s="175"/>
      <c r="HXQ9" s="175"/>
      <c r="HXR9" s="175"/>
      <c r="HXS9" s="175"/>
      <c r="HXT9" s="175"/>
      <c r="HXU9" s="175"/>
      <c r="HXV9" s="175"/>
      <c r="HXW9" s="175"/>
      <c r="HXX9" s="175"/>
      <c r="HXY9" s="175"/>
      <c r="HXZ9" s="175"/>
      <c r="HYA9" s="175"/>
      <c r="HYB9" s="175"/>
      <c r="HYC9" s="175"/>
      <c r="HYD9" s="175"/>
      <c r="HYE9" s="175"/>
      <c r="HYF9" s="175"/>
      <c r="HYG9" s="175"/>
      <c r="HYH9" s="175"/>
      <c r="HYI9" s="175"/>
      <c r="HYJ9" s="175"/>
      <c r="HYK9" s="175"/>
      <c r="HYL9" s="175"/>
      <c r="HYM9" s="175"/>
      <c r="HYN9" s="175"/>
      <c r="HYO9" s="175"/>
      <c r="HYP9" s="175"/>
      <c r="HYQ9" s="175"/>
      <c r="HYR9" s="175"/>
      <c r="HYS9" s="175"/>
      <c r="HYT9" s="175"/>
      <c r="HYU9" s="175"/>
      <c r="HYV9" s="175"/>
      <c r="HYW9" s="175"/>
      <c r="HYX9" s="175"/>
      <c r="HYY9" s="175"/>
      <c r="HYZ9" s="175"/>
      <c r="HZA9" s="175"/>
      <c r="HZB9" s="175"/>
      <c r="HZC9" s="175"/>
      <c r="HZD9" s="175"/>
      <c r="HZE9" s="175"/>
      <c r="HZF9" s="175"/>
      <c r="HZG9" s="175"/>
      <c r="HZH9" s="175"/>
      <c r="HZI9" s="175"/>
      <c r="HZJ9" s="175"/>
      <c r="HZK9" s="175"/>
      <c r="HZL9" s="175"/>
      <c r="HZM9" s="175"/>
      <c r="HZN9" s="175"/>
      <c r="HZO9" s="175"/>
      <c r="HZP9" s="175"/>
      <c r="HZQ9" s="175"/>
      <c r="HZR9" s="175"/>
      <c r="HZS9" s="175"/>
      <c r="HZT9" s="175"/>
      <c r="HZU9" s="175"/>
      <c r="HZV9" s="175"/>
      <c r="HZW9" s="175"/>
      <c r="HZX9" s="175"/>
      <c r="HZY9" s="175"/>
      <c r="HZZ9" s="175"/>
      <c r="IAA9" s="175"/>
      <c r="IAB9" s="175"/>
      <c r="IAC9" s="175"/>
      <c r="IAD9" s="175"/>
      <c r="IAE9" s="175"/>
      <c r="IAF9" s="175"/>
      <c r="IAG9" s="175"/>
      <c r="IAH9" s="175"/>
      <c r="IAI9" s="175"/>
      <c r="IAJ9" s="175"/>
      <c r="IAK9" s="175"/>
      <c r="IAL9" s="175"/>
      <c r="IAM9" s="175"/>
      <c r="IAN9" s="175"/>
      <c r="IAO9" s="175"/>
      <c r="IAP9" s="175"/>
      <c r="IAQ9" s="175"/>
      <c r="IAR9" s="175"/>
      <c r="IAS9" s="175"/>
      <c r="IAT9" s="175"/>
      <c r="IAU9" s="175"/>
      <c r="IAV9" s="175"/>
      <c r="IAW9" s="175"/>
      <c r="IAX9" s="175"/>
      <c r="IAY9" s="175"/>
      <c r="IAZ9" s="175"/>
      <c r="IBA9" s="175"/>
      <c r="IBB9" s="175"/>
      <c r="IBC9" s="175"/>
      <c r="IBD9" s="175"/>
      <c r="IBE9" s="175"/>
      <c r="IBF9" s="175"/>
      <c r="IBG9" s="175"/>
      <c r="IBH9" s="175"/>
      <c r="IBI9" s="175"/>
      <c r="IBJ9" s="175"/>
      <c r="IBK9" s="175"/>
      <c r="IBL9" s="175"/>
      <c r="IBM9" s="175"/>
      <c r="IBN9" s="175"/>
      <c r="IBO9" s="175"/>
      <c r="IBP9" s="175"/>
      <c r="IBQ9" s="175"/>
      <c r="IBR9" s="175"/>
      <c r="IBS9" s="175"/>
      <c r="IBT9" s="175"/>
      <c r="IBU9" s="175"/>
      <c r="IBV9" s="175"/>
      <c r="IBW9" s="175"/>
      <c r="IBX9" s="175"/>
      <c r="IBY9" s="175"/>
      <c r="IBZ9" s="175"/>
      <c r="ICA9" s="175"/>
      <c r="ICB9" s="175"/>
      <c r="ICC9" s="175"/>
      <c r="ICD9" s="175"/>
      <c r="ICE9" s="175"/>
      <c r="ICF9" s="175"/>
      <c r="ICG9" s="175"/>
      <c r="ICH9" s="175"/>
      <c r="ICI9" s="175"/>
      <c r="ICJ9" s="175"/>
      <c r="ICK9" s="175"/>
      <c r="ICL9" s="175"/>
      <c r="ICM9" s="175"/>
      <c r="ICN9" s="175"/>
      <c r="ICO9" s="175"/>
      <c r="ICP9" s="175"/>
      <c r="ICQ9" s="175"/>
      <c r="ICR9" s="175"/>
      <c r="ICS9" s="175"/>
      <c r="ICT9" s="175"/>
      <c r="ICU9" s="175"/>
      <c r="ICV9" s="175"/>
      <c r="ICW9" s="175"/>
      <c r="ICX9" s="175"/>
      <c r="ICY9" s="175"/>
      <c r="ICZ9" s="175"/>
      <c r="IDA9" s="175"/>
      <c r="IDB9" s="175"/>
      <c r="IDC9" s="175"/>
      <c r="IDD9" s="175"/>
      <c r="IDE9" s="175"/>
      <c r="IDF9" s="175"/>
      <c r="IDG9" s="175"/>
      <c r="IDH9" s="175"/>
      <c r="IDI9" s="175"/>
      <c r="IDJ9" s="175"/>
      <c r="IDK9" s="175"/>
      <c r="IDL9" s="175"/>
      <c r="IDM9" s="175"/>
      <c r="IDN9" s="175"/>
      <c r="IDO9" s="175"/>
      <c r="IDP9" s="175"/>
      <c r="IDQ9" s="175"/>
      <c r="IDR9" s="175"/>
      <c r="IDS9" s="175"/>
      <c r="IDT9" s="175"/>
      <c r="IDU9" s="175"/>
      <c r="IDV9" s="175"/>
      <c r="IDW9" s="175"/>
      <c r="IDX9" s="175"/>
      <c r="IDY9" s="175"/>
      <c r="IDZ9" s="175"/>
      <c r="IEA9" s="175"/>
      <c r="IEB9" s="175"/>
      <c r="IEC9" s="175"/>
      <c r="IED9" s="175"/>
      <c r="IEE9" s="175"/>
      <c r="IEF9" s="175"/>
      <c r="IEG9" s="175"/>
      <c r="IEH9" s="175"/>
      <c r="IEI9" s="175"/>
      <c r="IEJ9" s="175"/>
      <c r="IEK9" s="175"/>
      <c r="IEL9" s="175"/>
      <c r="IEM9" s="175"/>
      <c r="IEN9" s="175"/>
      <c r="IEO9" s="175"/>
      <c r="IEP9" s="175"/>
      <c r="IEQ9" s="175"/>
      <c r="IER9" s="175"/>
      <c r="IES9" s="175"/>
      <c r="IET9" s="175"/>
      <c r="IEU9" s="175"/>
      <c r="IEV9" s="175"/>
      <c r="IEW9" s="175"/>
      <c r="IEX9" s="175"/>
      <c r="IEY9" s="175"/>
      <c r="IEZ9" s="175"/>
      <c r="IFA9" s="175"/>
      <c r="IFB9" s="175"/>
      <c r="IFC9" s="175"/>
      <c r="IFD9" s="175"/>
      <c r="IFE9" s="175"/>
      <c r="IFF9" s="175"/>
      <c r="IFG9" s="175"/>
      <c r="IFH9" s="175"/>
      <c r="IFI9" s="175"/>
      <c r="IFJ9" s="175"/>
      <c r="IFK9" s="175"/>
      <c r="IFL9" s="175"/>
      <c r="IFM9" s="175"/>
      <c r="IFN9" s="175"/>
      <c r="IFO9" s="175"/>
      <c r="IFP9" s="175"/>
      <c r="IFQ9" s="175"/>
      <c r="IFR9" s="175"/>
      <c r="IFS9" s="175"/>
      <c r="IFT9" s="175"/>
      <c r="IFU9" s="175"/>
      <c r="IFV9" s="175"/>
      <c r="IFW9" s="175"/>
      <c r="IFX9" s="175"/>
      <c r="IFY9" s="175"/>
      <c r="IFZ9" s="175"/>
      <c r="IGA9" s="175"/>
      <c r="IGB9" s="175"/>
      <c r="IGC9" s="175"/>
      <c r="IGD9" s="175"/>
      <c r="IGE9" s="175"/>
      <c r="IGF9" s="175"/>
      <c r="IGG9" s="175"/>
      <c r="IGH9" s="175"/>
      <c r="IGI9" s="175"/>
      <c r="IGJ9" s="175"/>
      <c r="IGK9" s="175"/>
      <c r="IGL9" s="175"/>
      <c r="IGM9" s="175"/>
      <c r="IGN9" s="175"/>
      <c r="IGO9" s="175"/>
      <c r="IGP9" s="175"/>
      <c r="IGQ9" s="175"/>
      <c r="IGR9" s="175"/>
      <c r="IGS9" s="175"/>
      <c r="IGT9" s="175"/>
      <c r="IGU9" s="175"/>
      <c r="IGV9" s="175"/>
      <c r="IGW9" s="175"/>
      <c r="IGX9" s="175"/>
      <c r="IGY9" s="175"/>
      <c r="IGZ9" s="175"/>
      <c r="IHA9" s="175"/>
      <c r="IHB9" s="175"/>
      <c r="IHC9" s="175"/>
      <c r="IHD9" s="175"/>
      <c r="IHE9" s="175"/>
      <c r="IHF9" s="175"/>
      <c r="IHG9" s="175"/>
      <c r="IHH9" s="175"/>
      <c r="IHI9" s="175"/>
      <c r="IHJ9" s="175"/>
      <c r="IHK9" s="175"/>
      <c r="IHL9" s="175"/>
      <c r="IHM9" s="175"/>
      <c r="IHN9" s="175"/>
      <c r="IHO9" s="175"/>
      <c r="IHP9" s="175"/>
      <c r="IHQ9" s="175"/>
      <c r="IHR9" s="175"/>
      <c r="IHS9" s="175"/>
      <c r="IHT9" s="175"/>
      <c r="IHU9" s="175"/>
      <c r="IHV9" s="175"/>
      <c r="IHW9" s="175"/>
      <c r="IHX9" s="175"/>
      <c r="IHY9" s="175"/>
      <c r="IHZ9" s="175"/>
      <c r="IIA9" s="175"/>
      <c r="IIB9" s="175"/>
      <c r="IIC9" s="175"/>
      <c r="IID9" s="175"/>
      <c r="IIE9" s="175"/>
      <c r="IIF9" s="175"/>
      <c r="IIG9" s="175"/>
      <c r="IIH9" s="175"/>
      <c r="III9" s="175"/>
      <c r="IIJ9" s="175"/>
      <c r="IIK9" s="175"/>
      <c r="IIL9" s="175"/>
      <c r="IIM9" s="175"/>
      <c r="IIN9" s="175"/>
      <c r="IIO9" s="175"/>
      <c r="IIP9" s="175"/>
      <c r="IIQ9" s="175"/>
      <c r="IIR9" s="175"/>
      <c r="IIS9" s="175"/>
      <c r="IIT9" s="175"/>
      <c r="IIU9" s="175"/>
      <c r="IIV9" s="175"/>
      <c r="IIW9" s="175"/>
      <c r="IIX9" s="175"/>
      <c r="IIY9" s="175"/>
      <c r="IIZ9" s="175"/>
      <c r="IJA9" s="175"/>
      <c r="IJB9" s="175"/>
      <c r="IJC9" s="175"/>
      <c r="IJD9" s="175"/>
      <c r="IJE9" s="175"/>
      <c r="IJF9" s="175"/>
      <c r="IJG9" s="175"/>
      <c r="IJH9" s="175"/>
      <c r="IJI9" s="175"/>
      <c r="IJJ9" s="175"/>
      <c r="IJK9" s="175"/>
      <c r="IJL9" s="175"/>
      <c r="IJM9" s="175"/>
      <c r="IJN9" s="175"/>
      <c r="IJO9" s="175"/>
      <c r="IJP9" s="175"/>
      <c r="IJQ9" s="175"/>
      <c r="IJR9" s="175"/>
      <c r="IJS9" s="175"/>
      <c r="IJT9" s="175"/>
      <c r="IJU9" s="175"/>
      <c r="IJV9" s="175"/>
      <c r="IJW9" s="175"/>
      <c r="IJX9" s="175"/>
      <c r="IJY9" s="175"/>
      <c r="IJZ9" s="175"/>
      <c r="IKA9" s="175"/>
      <c r="IKB9" s="175"/>
      <c r="IKC9" s="175"/>
      <c r="IKD9" s="175"/>
      <c r="IKE9" s="175"/>
      <c r="IKF9" s="175"/>
      <c r="IKG9" s="175"/>
      <c r="IKH9" s="175"/>
      <c r="IKI9" s="175"/>
      <c r="IKJ9" s="175"/>
      <c r="IKK9" s="175"/>
      <c r="IKL9" s="175"/>
      <c r="IKM9" s="175"/>
      <c r="IKN9" s="175"/>
      <c r="IKO9" s="175"/>
      <c r="IKP9" s="175"/>
      <c r="IKQ9" s="175"/>
      <c r="IKR9" s="175"/>
      <c r="IKS9" s="175"/>
      <c r="IKT9" s="175"/>
      <c r="IKU9" s="175"/>
      <c r="IKV9" s="175"/>
      <c r="IKW9" s="175"/>
      <c r="IKX9" s="175"/>
      <c r="IKY9" s="175"/>
      <c r="IKZ9" s="175"/>
      <c r="ILA9" s="175"/>
      <c r="ILB9" s="175"/>
      <c r="ILC9" s="175"/>
      <c r="ILD9" s="175"/>
      <c r="ILE9" s="175"/>
      <c r="ILF9" s="175"/>
      <c r="ILG9" s="175"/>
      <c r="ILH9" s="175"/>
      <c r="ILI9" s="175"/>
      <c r="ILJ9" s="175"/>
      <c r="ILK9" s="175"/>
      <c r="ILL9" s="175"/>
      <c r="ILM9" s="175"/>
      <c r="ILN9" s="175"/>
      <c r="ILO9" s="175"/>
      <c r="ILP9" s="175"/>
      <c r="ILQ9" s="175"/>
      <c r="ILR9" s="175"/>
      <c r="ILS9" s="175"/>
      <c r="ILT9" s="175"/>
      <c r="ILU9" s="175"/>
      <c r="ILV9" s="175"/>
      <c r="ILW9" s="175"/>
      <c r="ILX9" s="175"/>
      <c r="ILY9" s="175"/>
      <c r="ILZ9" s="175"/>
      <c r="IMA9" s="175"/>
      <c r="IMB9" s="175"/>
      <c r="IMC9" s="175"/>
      <c r="IMD9" s="175"/>
      <c r="IME9" s="175"/>
      <c r="IMF9" s="175"/>
      <c r="IMG9" s="175"/>
      <c r="IMH9" s="175"/>
      <c r="IMI9" s="175"/>
      <c r="IMJ9" s="175"/>
      <c r="IMK9" s="175"/>
      <c r="IML9" s="175"/>
      <c r="IMM9" s="175"/>
      <c r="IMN9" s="175"/>
      <c r="IMO9" s="175"/>
      <c r="IMP9" s="175"/>
      <c r="IMQ9" s="175"/>
      <c r="IMR9" s="175"/>
      <c r="IMS9" s="175"/>
      <c r="IMT9" s="175"/>
      <c r="IMU9" s="175"/>
      <c r="IMV9" s="175"/>
      <c r="IMW9" s="175"/>
      <c r="IMX9" s="175"/>
      <c r="IMY9" s="175"/>
      <c r="IMZ9" s="175"/>
      <c r="INA9" s="175"/>
      <c r="INB9" s="175"/>
      <c r="INC9" s="175"/>
      <c r="IND9" s="175"/>
      <c r="INE9" s="175"/>
      <c r="INF9" s="175"/>
      <c r="ING9" s="175"/>
      <c r="INH9" s="175"/>
      <c r="INI9" s="175"/>
      <c r="INJ9" s="175"/>
      <c r="INK9" s="175"/>
      <c r="INL9" s="175"/>
      <c r="INM9" s="175"/>
      <c r="INN9" s="175"/>
      <c r="INO9" s="175"/>
      <c r="INP9" s="175"/>
      <c r="INQ9" s="175"/>
      <c r="INR9" s="175"/>
      <c r="INS9" s="175"/>
      <c r="INT9" s="175"/>
      <c r="INU9" s="175"/>
      <c r="INV9" s="175"/>
      <c r="INW9" s="175"/>
      <c r="INX9" s="175"/>
      <c r="INY9" s="175"/>
      <c r="INZ9" s="175"/>
      <c r="IOA9" s="175"/>
      <c r="IOB9" s="175"/>
      <c r="IOC9" s="175"/>
      <c r="IOD9" s="175"/>
      <c r="IOE9" s="175"/>
      <c r="IOF9" s="175"/>
      <c r="IOG9" s="175"/>
      <c r="IOH9" s="175"/>
      <c r="IOI9" s="175"/>
      <c r="IOJ9" s="175"/>
      <c r="IOK9" s="175"/>
      <c r="IOL9" s="175"/>
      <c r="IOM9" s="175"/>
      <c r="ION9" s="175"/>
      <c r="IOO9" s="175"/>
      <c r="IOP9" s="175"/>
      <c r="IOQ9" s="175"/>
      <c r="IOR9" s="175"/>
      <c r="IOS9" s="175"/>
      <c r="IOT9" s="175"/>
      <c r="IOU9" s="175"/>
      <c r="IOV9" s="175"/>
      <c r="IOW9" s="175"/>
      <c r="IOX9" s="175"/>
      <c r="IOY9" s="175"/>
      <c r="IOZ9" s="175"/>
      <c r="IPA9" s="175"/>
      <c r="IPB9" s="175"/>
      <c r="IPC9" s="175"/>
      <c r="IPD9" s="175"/>
      <c r="IPE9" s="175"/>
      <c r="IPF9" s="175"/>
      <c r="IPG9" s="175"/>
      <c r="IPH9" s="175"/>
      <c r="IPI9" s="175"/>
      <c r="IPJ9" s="175"/>
      <c r="IPK9" s="175"/>
      <c r="IPL9" s="175"/>
      <c r="IPM9" s="175"/>
      <c r="IPN9" s="175"/>
      <c r="IPO9" s="175"/>
      <c r="IPP9" s="175"/>
      <c r="IPQ9" s="175"/>
      <c r="IPR9" s="175"/>
      <c r="IPS9" s="175"/>
      <c r="IPT9" s="175"/>
      <c r="IPU9" s="175"/>
      <c r="IPV9" s="175"/>
      <c r="IPW9" s="175"/>
      <c r="IPX9" s="175"/>
      <c r="IPY9" s="175"/>
      <c r="IPZ9" s="175"/>
      <c r="IQA9" s="175"/>
      <c r="IQB9" s="175"/>
      <c r="IQC9" s="175"/>
      <c r="IQD9" s="175"/>
      <c r="IQE9" s="175"/>
      <c r="IQF9" s="175"/>
      <c r="IQG9" s="175"/>
      <c r="IQH9" s="175"/>
      <c r="IQI9" s="175"/>
      <c r="IQJ9" s="175"/>
      <c r="IQK9" s="175"/>
      <c r="IQL9" s="175"/>
      <c r="IQM9" s="175"/>
      <c r="IQN9" s="175"/>
      <c r="IQO9" s="175"/>
      <c r="IQP9" s="175"/>
      <c r="IQQ9" s="175"/>
      <c r="IQR9" s="175"/>
      <c r="IQS9" s="175"/>
      <c r="IQT9" s="175"/>
      <c r="IQU9" s="175"/>
      <c r="IQV9" s="175"/>
      <c r="IQW9" s="175"/>
      <c r="IQX9" s="175"/>
      <c r="IQY9" s="175"/>
      <c r="IQZ9" s="175"/>
      <c r="IRA9" s="175"/>
      <c r="IRB9" s="175"/>
      <c r="IRC9" s="175"/>
      <c r="IRD9" s="175"/>
      <c r="IRE9" s="175"/>
      <c r="IRF9" s="175"/>
      <c r="IRG9" s="175"/>
      <c r="IRH9" s="175"/>
      <c r="IRI9" s="175"/>
      <c r="IRJ9" s="175"/>
      <c r="IRK9" s="175"/>
      <c r="IRL9" s="175"/>
      <c r="IRM9" s="175"/>
      <c r="IRN9" s="175"/>
      <c r="IRO9" s="175"/>
      <c r="IRP9" s="175"/>
      <c r="IRQ9" s="175"/>
      <c r="IRR9" s="175"/>
      <c r="IRS9" s="175"/>
      <c r="IRT9" s="175"/>
      <c r="IRU9" s="175"/>
      <c r="IRV9" s="175"/>
      <c r="IRW9" s="175"/>
      <c r="IRX9" s="175"/>
      <c r="IRY9" s="175"/>
      <c r="IRZ9" s="175"/>
      <c r="ISA9" s="175"/>
      <c r="ISB9" s="175"/>
      <c r="ISC9" s="175"/>
      <c r="ISD9" s="175"/>
      <c r="ISE9" s="175"/>
      <c r="ISF9" s="175"/>
      <c r="ISG9" s="175"/>
      <c r="ISH9" s="175"/>
      <c r="ISI9" s="175"/>
      <c r="ISJ9" s="175"/>
      <c r="ISK9" s="175"/>
      <c r="ISL9" s="175"/>
      <c r="ISM9" s="175"/>
      <c r="ISN9" s="175"/>
      <c r="ISO9" s="175"/>
      <c r="ISP9" s="175"/>
      <c r="ISQ9" s="175"/>
      <c r="ISR9" s="175"/>
      <c r="ISS9" s="175"/>
      <c r="IST9" s="175"/>
      <c r="ISU9" s="175"/>
      <c r="ISV9" s="175"/>
      <c r="ISW9" s="175"/>
      <c r="ISX9" s="175"/>
      <c r="ISY9" s="175"/>
      <c r="ISZ9" s="175"/>
      <c r="ITA9" s="175"/>
      <c r="ITB9" s="175"/>
      <c r="ITC9" s="175"/>
      <c r="ITD9" s="175"/>
      <c r="ITE9" s="175"/>
      <c r="ITF9" s="175"/>
      <c r="ITG9" s="175"/>
      <c r="ITH9" s="175"/>
      <c r="ITI9" s="175"/>
      <c r="ITJ9" s="175"/>
      <c r="ITK9" s="175"/>
      <c r="ITL9" s="175"/>
      <c r="ITM9" s="175"/>
      <c r="ITN9" s="175"/>
      <c r="ITO9" s="175"/>
      <c r="ITP9" s="175"/>
      <c r="ITQ9" s="175"/>
      <c r="ITR9" s="175"/>
      <c r="ITS9" s="175"/>
      <c r="ITT9" s="175"/>
      <c r="ITU9" s="175"/>
      <c r="ITV9" s="175"/>
      <c r="ITW9" s="175"/>
      <c r="ITX9" s="175"/>
      <c r="ITY9" s="175"/>
      <c r="ITZ9" s="175"/>
      <c r="IUA9" s="175"/>
      <c r="IUB9" s="175"/>
      <c r="IUC9" s="175"/>
      <c r="IUD9" s="175"/>
      <c r="IUE9" s="175"/>
      <c r="IUF9" s="175"/>
      <c r="IUG9" s="175"/>
      <c r="IUH9" s="175"/>
      <c r="IUI9" s="175"/>
      <c r="IUJ9" s="175"/>
      <c r="IUK9" s="175"/>
      <c r="IUL9" s="175"/>
      <c r="IUM9" s="175"/>
      <c r="IUN9" s="175"/>
      <c r="IUO9" s="175"/>
      <c r="IUP9" s="175"/>
      <c r="IUQ9" s="175"/>
      <c r="IUR9" s="175"/>
      <c r="IUS9" s="175"/>
      <c r="IUT9" s="175"/>
      <c r="IUU9" s="175"/>
      <c r="IUV9" s="175"/>
      <c r="IUW9" s="175"/>
      <c r="IUX9" s="175"/>
      <c r="IUY9" s="175"/>
      <c r="IUZ9" s="175"/>
      <c r="IVA9" s="175"/>
      <c r="IVB9" s="175"/>
      <c r="IVC9" s="175"/>
      <c r="IVD9" s="175"/>
      <c r="IVE9" s="175"/>
      <c r="IVF9" s="175"/>
      <c r="IVG9" s="175"/>
      <c r="IVH9" s="175"/>
      <c r="IVI9" s="175"/>
      <c r="IVJ9" s="175"/>
      <c r="IVK9" s="175"/>
      <c r="IVL9" s="175"/>
      <c r="IVM9" s="175"/>
      <c r="IVN9" s="175"/>
      <c r="IVO9" s="175"/>
      <c r="IVP9" s="175"/>
      <c r="IVQ9" s="175"/>
      <c r="IVR9" s="175"/>
      <c r="IVS9" s="175"/>
      <c r="IVT9" s="175"/>
      <c r="IVU9" s="175"/>
      <c r="IVV9" s="175"/>
      <c r="IVW9" s="175"/>
      <c r="IVX9" s="175"/>
      <c r="IVY9" s="175"/>
      <c r="IVZ9" s="175"/>
      <c r="IWA9" s="175"/>
      <c r="IWB9" s="175"/>
      <c r="IWC9" s="175"/>
      <c r="IWD9" s="175"/>
      <c r="IWE9" s="175"/>
      <c r="IWF9" s="175"/>
      <c r="IWG9" s="175"/>
      <c r="IWH9" s="175"/>
      <c r="IWI9" s="175"/>
      <c r="IWJ9" s="175"/>
      <c r="IWK9" s="175"/>
      <c r="IWL9" s="175"/>
      <c r="IWM9" s="175"/>
      <c r="IWN9" s="175"/>
      <c r="IWO9" s="175"/>
      <c r="IWP9" s="175"/>
      <c r="IWQ9" s="175"/>
      <c r="IWR9" s="175"/>
      <c r="IWS9" s="175"/>
      <c r="IWT9" s="175"/>
      <c r="IWU9" s="175"/>
      <c r="IWV9" s="175"/>
      <c r="IWW9" s="175"/>
      <c r="IWX9" s="175"/>
      <c r="IWY9" s="175"/>
      <c r="IWZ9" s="175"/>
      <c r="IXA9" s="175"/>
      <c r="IXB9" s="175"/>
      <c r="IXC9" s="175"/>
      <c r="IXD9" s="175"/>
      <c r="IXE9" s="175"/>
      <c r="IXF9" s="175"/>
      <c r="IXG9" s="175"/>
      <c r="IXH9" s="175"/>
      <c r="IXI9" s="175"/>
      <c r="IXJ9" s="175"/>
      <c r="IXK9" s="175"/>
      <c r="IXL9" s="175"/>
      <c r="IXM9" s="175"/>
      <c r="IXN9" s="175"/>
      <c r="IXO9" s="175"/>
      <c r="IXP9" s="175"/>
      <c r="IXQ9" s="175"/>
      <c r="IXR9" s="175"/>
      <c r="IXS9" s="175"/>
      <c r="IXT9" s="175"/>
      <c r="IXU9" s="175"/>
      <c r="IXV9" s="175"/>
      <c r="IXW9" s="175"/>
      <c r="IXX9" s="175"/>
      <c r="IXY9" s="175"/>
      <c r="IXZ9" s="175"/>
      <c r="IYA9" s="175"/>
      <c r="IYB9" s="175"/>
      <c r="IYC9" s="175"/>
      <c r="IYD9" s="175"/>
      <c r="IYE9" s="175"/>
      <c r="IYF9" s="175"/>
      <c r="IYG9" s="175"/>
      <c r="IYH9" s="175"/>
      <c r="IYI9" s="175"/>
      <c r="IYJ9" s="175"/>
      <c r="IYK9" s="175"/>
      <c r="IYL9" s="175"/>
      <c r="IYM9" s="175"/>
      <c r="IYN9" s="175"/>
      <c r="IYO9" s="175"/>
      <c r="IYP9" s="175"/>
      <c r="IYQ9" s="175"/>
      <c r="IYR9" s="175"/>
      <c r="IYS9" s="175"/>
      <c r="IYT9" s="175"/>
      <c r="IYU9" s="175"/>
      <c r="IYV9" s="175"/>
      <c r="IYW9" s="175"/>
      <c r="IYX9" s="175"/>
      <c r="IYY9" s="175"/>
      <c r="IYZ9" s="175"/>
      <c r="IZA9" s="175"/>
      <c r="IZB9" s="175"/>
      <c r="IZC9" s="175"/>
      <c r="IZD9" s="175"/>
      <c r="IZE9" s="175"/>
      <c r="IZF9" s="175"/>
      <c r="IZG9" s="175"/>
      <c r="IZH9" s="175"/>
      <c r="IZI9" s="175"/>
      <c r="IZJ9" s="175"/>
      <c r="IZK9" s="175"/>
      <c r="IZL9" s="175"/>
      <c r="IZM9" s="175"/>
      <c r="IZN9" s="175"/>
      <c r="IZO9" s="175"/>
      <c r="IZP9" s="175"/>
      <c r="IZQ9" s="175"/>
      <c r="IZR9" s="175"/>
      <c r="IZS9" s="175"/>
      <c r="IZT9" s="175"/>
      <c r="IZU9" s="175"/>
      <c r="IZV9" s="175"/>
      <c r="IZW9" s="175"/>
      <c r="IZX9" s="175"/>
      <c r="IZY9" s="175"/>
      <c r="IZZ9" s="175"/>
      <c r="JAA9" s="175"/>
      <c r="JAB9" s="175"/>
      <c r="JAC9" s="175"/>
      <c r="JAD9" s="175"/>
      <c r="JAE9" s="175"/>
      <c r="JAF9" s="175"/>
      <c r="JAG9" s="175"/>
      <c r="JAH9" s="175"/>
      <c r="JAI9" s="175"/>
      <c r="JAJ9" s="175"/>
      <c r="JAK9" s="175"/>
      <c r="JAL9" s="175"/>
      <c r="JAM9" s="175"/>
      <c r="JAN9" s="175"/>
      <c r="JAO9" s="175"/>
      <c r="JAP9" s="175"/>
      <c r="JAQ9" s="175"/>
      <c r="JAR9" s="175"/>
      <c r="JAS9" s="175"/>
      <c r="JAT9" s="175"/>
      <c r="JAU9" s="175"/>
      <c r="JAV9" s="175"/>
      <c r="JAW9" s="175"/>
      <c r="JAX9" s="175"/>
      <c r="JAY9" s="175"/>
      <c r="JAZ9" s="175"/>
      <c r="JBA9" s="175"/>
      <c r="JBB9" s="175"/>
      <c r="JBC9" s="175"/>
      <c r="JBD9" s="175"/>
      <c r="JBE9" s="175"/>
      <c r="JBF9" s="175"/>
      <c r="JBG9" s="175"/>
      <c r="JBH9" s="175"/>
      <c r="JBI9" s="175"/>
      <c r="JBJ9" s="175"/>
      <c r="JBK9" s="175"/>
      <c r="JBL9" s="175"/>
      <c r="JBM9" s="175"/>
      <c r="JBN9" s="175"/>
      <c r="JBO9" s="175"/>
      <c r="JBP9" s="175"/>
      <c r="JBQ9" s="175"/>
      <c r="JBR9" s="175"/>
      <c r="JBS9" s="175"/>
      <c r="JBT9" s="175"/>
      <c r="JBU9" s="175"/>
      <c r="JBV9" s="175"/>
      <c r="JBW9" s="175"/>
      <c r="JBX9" s="175"/>
      <c r="JBY9" s="175"/>
      <c r="JBZ9" s="175"/>
      <c r="JCA9" s="175"/>
      <c r="JCB9" s="175"/>
      <c r="JCC9" s="175"/>
      <c r="JCD9" s="175"/>
      <c r="JCE9" s="175"/>
      <c r="JCF9" s="175"/>
      <c r="JCG9" s="175"/>
      <c r="JCH9" s="175"/>
      <c r="JCI9" s="175"/>
      <c r="JCJ9" s="175"/>
      <c r="JCK9" s="175"/>
      <c r="JCL9" s="175"/>
      <c r="JCM9" s="175"/>
      <c r="JCN9" s="175"/>
      <c r="JCO9" s="175"/>
      <c r="JCP9" s="175"/>
      <c r="JCQ9" s="175"/>
      <c r="JCR9" s="175"/>
      <c r="JCS9" s="175"/>
      <c r="JCT9" s="175"/>
      <c r="JCU9" s="175"/>
      <c r="JCV9" s="175"/>
      <c r="JCW9" s="175"/>
      <c r="JCX9" s="175"/>
      <c r="JCY9" s="175"/>
      <c r="JCZ9" s="175"/>
      <c r="JDA9" s="175"/>
      <c r="JDB9" s="175"/>
      <c r="JDC9" s="175"/>
      <c r="JDD9" s="175"/>
      <c r="JDE9" s="175"/>
      <c r="JDF9" s="175"/>
      <c r="JDG9" s="175"/>
      <c r="JDH9" s="175"/>
      <c r="JDI9" s="175"/>
      <c r="JDJ9" s="175"/>
      <c r="JDK9" s="175"/>
      <c r="JDL9" s="175"/>
      <c r="JDM9" s="175"/>
      <c r="JDN9" s="175"/>
      <c r="JDO9" s="175"/>
      <c r="JDP9" s="175"/>
      <c r="JDQ9" s="175"/>
      <c r="JDR9" s="175"/>
      <c r="JDS9" s="175"/>
      <c r="JDT9" s="175"/>
      <c r="JDU9" s="175"/>
      <c r="JDV9" s="175"/>
      <c r="JDW9" s="175"/>
      <c r="JDX9" s="175"/>
      <c r="JDY9" s="175"/>
      <c r="JDZ9" s="175"/>
      <c r="JEA9" s="175"/>
      <c r="JEB9" s="175"/>
      <c r="JEC9" s="175"/>
      <c r="JED9" s="175"/>
      <c r="JEE9" s="175"/>
      <c r="JEF9" s="175"/>
      <c r="JEG9" s="175"/>
      <c r="JEH9" s="175"/>
      <c r="JEI9" s="175"/>
      <c r="JEJ9" s="175"/>
      <c r="JEK9" s="175"/>
      <c r="JEL9" s="175"/>
      <c r="JEM9" s="175"/>
      <c r="JEN9" s="175"/>
      <c r="JEO9" s="175"/>
      <c r="JEP9" s="175"/>
      <c r="JEQ9" s="175"/>
      <c r="JER9" s="175"/>
      <c r="JES9" s="175"/>
      <c r="JET9" s="175"/>
      <c r="JEU9" s="175"/>
      <c r="JEV9" s="175"/>
      <c r="JEW9" s="175"/>
      <c r="JEX9" s="175"/>
      <c r="JEY9" s="175"/>
      <c r="JEZ9" s="175"/>
      <c r="JFA9" s="175"/>
      <c r="JFB9" s="175"/>
      <c r="JFC9" s="175"/>
      <c r="JFD9" s="175"/>
      <c r="JFE9" s="175"/>
      <c r="JFF9" s="175"/>
      <c r="JFG9" s="175"/>
      <c r="JFH9" s="175"/>
      <c r="JFI9" s="175"/>
      <c r="JFJ9" s="175"/>
      <c r="JFK9" s="175"/>
      <c r="JFL9" s="175"/>
      <c r="JFM9" s="175"/>
      <c r="JFN9" s="175"/>
      <c r="JFO9" s="175"/>
      <c r="JFP9" s="175"/>
      <c r="JFQ9" s="175"/>
      <c r="JFR9" s="175"/>
      <c r="JFS9" s="175"/>
      <c r="JFT9" s="175"/>
      <c r="JFU9" s="175"/>
      <c r="JFV9" s="175"/>
      <c r="JFW9" s="175"/>
      <c r="JFX9" s="175"/>
      <c r="JFY9" s="175"/>
      <c r="JFZ9" s="175"/>
      <c r="JGA9" s="175"/>
      <c r="JGB9" s="175"/>
      <c r="JGC9" s="175"/>
      <c r="JGD9" s="175"/>
      <c r="JGE9" s="175"/>
      <c r="JGF9" s="175"/>
      <c r="JGG9" s="175"/>
      <c r="JGH9" s="175"/>
      <c r="JGI9" s="175"/>
      <c r="JGJ9" s="175"/>
      <c r="JGK9" s="175"/>
      <c r="JGL9" s="175"/>
      <c r="JGM9" s="175"/>
      <c r="JGN9" s="175"/>
      <c r="JGO9" s="175"/>
      <c r="JGP9" s="175"/>
      <c r="JGQ9" s="175"/>
      <c r="JGR9" s="175"/>
      <c r="JGS9" s="175"/>
      <c r="JGT9" s="175"/>
      <c r="JGU9" s="175"/>
      <c r="JGV9" s="175"/>
      <c r="JGW9" s="175"/>
      <c r="JGX9" s="175"/>
      <c r="JGY9" s="175"/>
      <c r="JGZ9" s="175"/>
      <c r="JHA9" s="175"/>
      <c r="JHB9" s="175"/>
      <c r="JHC9" s="175"/>
      <c r="JHD9" s="175"/>
      <c r="JHE9" s="175"/>
      <c r="JHF9" s="175"/>
      <c r="JHG9" s="175"/>
      <c r="JHH9" s="175"/>
      <c r="JHI9" s="175"/>
      <c r="JHJ9" s="175"/>
      <c r="JHK9" s="175"/>
      <c r="JHL9" s="175"/>
      <c r="JHM9" s="175"/>
      <c r="JHN9" s="175"/>
      <c r="JHO9" s="175"/>
      <c r="JHP9" s="175"/>
      <c r="JHQ9" s="175"/>
      <c r="JHR9" s="175"/>
      <c r="JHS9" s="175"/>
      <c r="JHT9" s="175"/>
      <c r="JHU9" s="175"/>
      <c r="JHV9" s="175"/>
      <c r="JHW9" s="175"/>
      <c r="JHX9" s="175"/>
      <c r="JHY9" s="175"/>
      <c r="JHZ9" s="175"/>
      <c r="JIA9" s="175"/>
      <c r="JIB9" s="175"/>
      <c r="JIC9" s="175"/>
      <c r="JID9" s="175"/>
      <c r="JIE9" s="175"/>
      <c r="JIF9" s="175"/>
      <c r="JIG9" s="175"/>
      <c r="JIH9" s="175"/>
      <c r="JII9" s="175"/>
      <c r="JIJ9" s="175"/>
      <c r="JIK9" s="175"/>
      <c r="JIL9" s="175"/>
      <c r="JIM9" s="175"/>
      <c r="JIN9" s="175"/>
      <c r="JIO9" s="175"/>
      <c r="JIP9" s="175"/>
      <c r="JIQ9" s="175"/>
      <c r="JIR9" s="175"/>
      <c r="JIS9" s="175"/>
      <c r="JIT9" s="175"/>
      <c r="JIU9" s="175"/>
      <c r="JIV9" s="175"/>
      <c r="JIW9" s="175"/>
      <c r="JIX9" s="175"/>
      <c r="JIY9" s="175"/>
      <c r="JIZ9" s="175"/>
      <c r="JJA9" s="175"/>
      <c r="JJB9" s="175"/>
      <c r="JJC9" s="175"/>
      <c r="JJD9" s="175"/>
      <c r="JJE9" s="175"/>
      <c r="JJF9" s="175"/>
      <c r="JJG9" s="175"/>
      <c r="JJH9" s="175"/>
      <c r="JJI9" s="175"/>
      <c r="JJJ9" s="175"/>
      <c r="JJK9" s="175"/>
      <c r="JJL9" s="175"/>
      <c r="JJM9" s="175"/>
      <c r="JJN9" s="175"/>
      <c r="JJO9" s="175"/>
      <c r="JJP9" s="175"/>
      <c r="JJQ9" s="175"/>
      <c r="JJR9" s="175"/>
      <c r="JJS9" s="175"/>
      <c r="JJT9" s="175"/>
      <c r="JJU9" s="175"/>
      <c r="JJV9" s="175"/>
      <c r="JJW9" s="175"/>
      <c r="JJX9" s="175"/>
      <c r="JJY9" s="175"/>
      <c r="JJZ9" s="175"/>
      <c r="JKA9" s="175"/>
      <c r="JKB9" s="175"/>
      <c r="JKC9" s="175"/>
      <c r="JKD9" s="175"/>
      <c r="JKE9" s="175"/>
      <c r="JKF9" s="175"/>
      <c r="JKG9" s="175"/>
      <c r="JKH9" s="175"/>
      <c r="JKI9" s="175"/>
      <c r="JKJ9" s="175"/>
      <c r="JKK9" s="175"/>
      <c r="JKL9" s="175"/>
      <c r="JKM9" s="175"/>
      <c r="JKN9" s="175"/>
      <c r="JKO9" s="175"/>
      <c r="JKP9" s="175"/>
      <c r="JKQ9" s="175"/>
      <c r="JKR9" s="175"/>
      <c r="JKS9" s="175"/>
      <c r="JKT9" s="175"/>
      <c r="JKU9" s="175"/>
      <c r="JKV9" s="175"/>
      <c r="JKW9" s="175"/>
      <c r="JKX9" s="175"/>
      <c r="JKY9" s="175"/>
      <c r="JKZ9" s="175"/>
      <c r="JLA9" s="175"/>
      <c r="JLB9" s="175"/>
      <c r="JLC9" s="175"/>
      <c r="JLD9" s="175"/>
      <c r="JLE9" s="175"/>
      <c r="JLF9" s="175"/>
      <c r="JLG9" s="175"/>
      <c r="JLH9" s="175"/>
      <c r="JLI9" s="175"/>
      <c r="JLJ9" s="175"/>
      <c r="JLK9" s="175"/>
      <c r="JLL9" s="175"/>
      <c r="JLM9" s="175"/>
      <c r="JLN9" s="175"/>
      <c r="JLO9" s="175"/>
      <c r="JLP9" s="175"/>
      <c r="JLQ9" s="175"/>
      <c r="JLR9" s="175"/>
      <c r="JLS9" s="175"/>
      <c r="JLT9" s="175"/>
      <c r="JLU9" s="175"/>
      <c r="JLV9" s="175"/>
      <c r="JLW9" s="175"/>
      <c r="JLX9" s="175"/>
      <c r="JLY9" s="175"/>
      <c r="JLZ9" s="175"/>
      <c r="JMA9" s="175"/>
      <c r="JMB9" s="175"/>
      <c r="JMC9" s="175"/>
      <c r="JMD9" s="175"/>
      <c r="JME9" s="175"/>
      <c r="JMF9" s="175"/>
      <c r="JMG9" s="175"/>
      <c r="JMH9" s="175"/>
      <c r="JMI9" s="175"/>
      <c r="JMJ9" s="175"/>
      <c r="JMK9" s="175"/>
      <c r="JML9" s="175"/>
      <c r="JMM9" s="175"/>
      <c r="JMN9" s="175"/>
      <c r="JMO9" s="175"/>
      <c r="JMP9" s="175"/>
      <c r="JMQ9" s="175"/>
      <c r="JMR9" s="175"/>
      <c r="JMS9" s="175"/>
      <c r="JMT9" s="175"/>
      <c r="JMU9" s="175"/>
      <c r="JMV9" s="175"/>
      <c r="JMW9" s="175"/>
      <c r="JMX9" s="175"/>
      <c r="JMY9" s="175"/>
      <c r="JMZ9" s="175"/>
      <c r="JNA9" s="175"/>
      <c r="JNB9" s="175"/>
      <c r="JNC9" s="175"/>
      <c r="JND9" s="175"/>
      <c r="JNE9" s="175"/>
      <c r="JNF9" s="175"/>
      <c r="JNG9" s="175"/>
      <c r="JNH9" s="175"/>
      <c r="JNI9" s="175"/>
      <c r="JNJ9" s="175"/>
      <c r="JNK9" s="175"/>
      <c r="JNL9" s="175"/>
      <c r="JNM9" s="175"/>
      <c r="JNN9" s="175"/>
      <c r="JNO9" s="175"/>
      <c r="JNP9" s="175"/>
      <c r="JNQ9" s="175"/>
      <c r="JNR9" s="175"/>
      <c r="JNS9" s="175"/>
      <c r="JNT9" s="175"/>
      <c r="JNU9" s="175"/>
      <c r="JNV9" s="175"/>
      <c r="JNW9" s="175"/>
      <c r="JNX9" s="175"/>
      <c r="JNY9" s="175"/>
      <c r="JNZ9" s="175"/>
      <c r="JOA9" s="175"/>
      <c r="JOB9" s="175"/>
      <c r="JOC9" s="175"/>
      <c r="JOD9" s="175"/>
      <c r="JOE9" s="175"/>
      <c r="JOF9" s="175"/>
      <c r="JOG9" s="175"/>
      <c r="JOH9" s="175"/>
      <c r="JOI9" s="175"/>
      <c r="JOJ9" s="175"/>
      <c r="JOK9" s="175"/>
      <c r="JOL9" s="175"/>
      <c r="JOM9" s="175"/>
      <c r="JON9" s="175"/>
      <c r="JOO9" s="175"/>
      <c r="JOP9" s="175"/>
      <c r="JOQ9" s="175"/>
      <c r="JOR9" s="175"/>
      <c r="JOS9" s="175"/>
      <c r="JOT9" s="175"/>
      <c r="JOU9" s="175"/>
      <c r="JOV9" s="175"/>
      <c r="JOW9" s="175"/>
      <c r="JOX9" s="175"/>
      <c r="JOY9" s="175"/>
      <c r="JOZ9" s="175"/>
      <c r="JPA9" s="175"/>
      <c r="JPB9" s="175"/>
      <c r="JPC9" s="175"/>
      <c r="JPD9" s="175"/>
      <c r="JPE9" s="175"/>
      <c r="JPF9" s="175"/>
      <c r="JPG9" s="175"/>
      <c r="JPH9" s="175"/>
      <c r="JPI9" s="175"/>
      <c r="JPJ9" s="175"/>
      <c r="JPK9" s="175"/>
      <c r="JPL9" s="175"/>
      <c r="JPM9" s="175"/>
      <c r="JPN9" s="175"/>
      <c r="JPO9" s="175"/>
      <c r="JPP9" s="175"/>
      <c r="JPQ9" s="175"/>
      <c r="JPR9" s="175"/>
      <c r="JPS9" s="175"/>
      <c r="JPT9" s="175"/>
      <c r="JPU9" s="175"/>
      <c r="JPV9" s="175"/>
      <c r="JPW9" s="175"/>
      <c r="JPX9" s="175"/>
      <c r="JPY9" s="175"/>
      <c r="JPZ9" s="175"/>
      <c r="JQA9" s="175"/>
      <c r="JQB9" s="175"/>
      <c r="JQC9" s="175"/>
      <c r="JQD9" s="175"/>
      <c r="JQE9" s="175"/>
      <c r="JQF9" s="175"/>
      <c r="JQG9" s="175"/>
      <c r="JQH9" s="175"/>
      <c r="JQI9" s="175"/>
      <c r="JQJ9" s="175"/>
      <c r="JQK9" s="175"/>
      <c r="JQL9" s="175"/>
      <c r="JQM9" s="175"/>
      <c r="JQN9" s="175"/>
      <c r="JQO9" s="175"/>
      <c r="JQP9" s="175"/>
      <c r="JQQ9" s="175"/>
      <c r="JQR9" s="175"/>
      <c r="JQS9" s="175"/>
      <c r="JQT9" s="175"/>
      <c r="JQU9" s="175"/>
      <c r="JQV9" s="175"/>
      <c r="JQW9" s="175"/>
      <c r="JQX9" s="175"/>
      <c r="JQY9" s="175"/>
      <c r="JQZ9" s="175"/>
      <c r="JRA9" s="175"/>
      <c r="JRB9" s="175"/>
      <c r="JRC9" s="175"/>
      <c r="JRD9" s="175"/>
      <c r="JRE9" s="175"/>
      <c r="JRF9" s="175"/>
      <c r="JRG9" s="175"/>
      <c r="JRH9" s="175"/>
      <c r="JRI9" s="175"/>
      <c r="JRJ9" s="175"/>
      <c r="JRK9" s="175"/>
      <c r="JRL9" s="175"/>
      <c r="JRM9" s="175"/>
      <c r="JRN9" s="175"/>
      <c r="JRO9" s="175"/>
      <c r="JRP9" s="175"/>
      <c r="JRQ9" s="175"/>
      <c r="JRR9" s="175"/>
      <c r="JRS9" s="175"/>
      <c r="JRT9" s="175"/>
      <c r="JRU9" s="175"/>
      <c r="JRV9" s="175"/>
      <c r="JRW9" s="175"/>
      <c r="JRX9" s="175"/>
      <c r="JRY9" s="175"/>
      <c r="JRZ9" s="175"/>
      <c r="JSA9" s="175"/>
      <c r="JSB9" s="175"/>
      <c r="JSC9" s="175"/>
      <c r="JSD9" s="175"/>
      <c r="JSE9" s="175"/>
      <c r="JSF9" s="175"/>
      <c r="JSG9" s="175"/>
      <c r="JSH9" s="175"/>
      <c r="JSI9" s="175"/>
      <c r="JSJ9" s="175"/>
      <c r="JSK9" s="175"/>
      <c r="JSL9" s="175"/>
      <c r="JSM9" s="175"/>
      <c r="JSN9" s="175"/>
      <c r="JSO9" s="175"/>
      <c r="JSP9" s="175"/>
      <c r="JSQ9" s="175"/>
      <c r="JSR9" s="175"/>
      <c r="JSS9" s="175"/>
      <c r="JST9" s="175"/>
      <c r="JSU9" s="175"/>
      <c r="JSV9" s="175"/>
      <c r="JSW9" s="175"/>
      <c r="JSX9" s="175"/>
      <c r="JSY9" s="175"/>
      <c r="JSZ9" s="175"/>
      <c r="JTA9" s="175"/>
      <c r="JTB9" s="175"/>
      <c r="JTC9" s="175"/>
      <c r="JTD9" s="175"/>
      <c r="JTE9" s="175"/>
      <c r="JTF9" s="175"/>
      <c r="JTG9" s="175"/>
      <c r="JTH9" s="175"/>
      <c r="JTI9" s="175"/>
      <c r="JTJ9" s="175"/>
      <c r="JTK9" s="175"/>
      <c r="JTL9" s="175"/>
      <c r="JTM9" s="175"/>
      <c r="JTN9" s="175"/>
      <c r="JTO9" s="175"/>
      <c r="JTP9" s="175"/>
      <c r="JTQ9" s="175"/>
      <c r="JTR9" s="175"/>
      <c r="JTS9" s="175"/>
      <c r="JTT9" s="175"/>
      <c r="JTU9" s="175"/>
      <c r="JTV9" s="175"/>
      <c r="JTW9" s="175"/>
      <c r="JTX9" s="175"/>
      <c r="JTY9" s="175"/>
      <c r="JTZ9" s="175"/>
      <c r="JUA9" s="175"/>
      <c r="JUB9" s="175"/>
      <c r="JUC9" s="175"/>
      <c r="JUD9" s="175"/>
      <c r="JUE9" s="175"/>
      <c r="JUF9" s="175"/>
      <c r="JUG9" s="175"/>
      <c r="JUH9" s="175"/>
      <c r="JUI9" s="175"/>
      <c r="JUJ9" s="175"/>
      <c r="JUK9" s="175"/>
      <c r="JUL9" s="175"/>
      <c r="JUM9" s="175"/>
      <c r="JUN9" s="175"/>
      <c r="JUO9" s="175"/>
      <c r="JUP9" s="175"/>
      <c r="JUQ9" s="175"/>
      <c r="JUR9" s="175"/>
      <c r="JUS9" s="175"/>
      <c r="JUT9" s="175"/>
      <c r="JUU9" s="175"/>
      <c r="JUV9" s="175"/>
      <c r="JUW9" s="175"/>
      <c r="JUX9" s="175"/>
      <c r="JUY9" s="175"/>
      <c r="JUZ9" s="175"/>
      <c r="JVA9" s="175"/>
      <c r="JVB9" s="175"/>
      <c r="JVC9" s="175"/>
      <c r="JVD9" s="175"/>
      <c r="JVE9" s="175"/>
      <c r="JVF9" s="175"/>
      <c r="JVG9" s="175"/>
      <c r="JVH9" s="175"/>
      <c r="JVI9" s="175"/>
      <c r="JVJ9" s="175"/>
      <c r="JVK9" s="175"/>
      <c r="JVL9" s="175"/>
      <c r="JVM9" s="175"/>
      <c r="JVN9" s="175"/>
      <c r="JVO9" s="175"/>
      <c r="JVP9" s="175"/>
      <c r="JVQ9" s="175"/>
      <c r="JVR9" s="175"/>
      <c r="JVS9" s="175"/>
      <c r="JVT9" s="175"/>
      <c r="JVU9" s="175"/>
      <c r="JVV9" s="175"/>
      <c r="JVW9" s="175"/>
      <c r="JVX9" s="175"/>
      <c r="JVY9" s="175"/>
      <c r="JVZ9" s="175"/>
      <c r="JWA9" s="175"/>
      <c r="JWB9" s="175"/>
      <c r="JWC9" s="175"/>
      <c r="JWD9" s="175"/>
      <c r="JWE9" s="175"/>
      <c r="JWF9" s="175"/>
      <c r="JWG9" s="175"/>
      <c r="JWH9" s="175"/>
      <c r="JWI9" s="175"/>
      <c r="JWJ9" s="175"/>
      <c r="JWK9" s="175"/>
      <c r="JWL9" s="175"/>
      <c r="JWM9" s="175"/>
      <c r="JWN9" s="175"/>
      <c r="JWO9" s="175"/>
      <c r="JWP9" s="175"/>
      <c r="JWQ9" s="175"/>
      <c r="JWR9" s="175"/>
      <c r="JWS9" s="175"/>
      <c r="JWT9" s="175"/>
      <c r="JWU9" s="175"/>
      <c r="JWV9" s="175"/>
      <c r="JWW9" s="175"/>
      <c r="JWX9" s="175"/>
      <c r="JWY9" s="175"/>
      <c r="JWZ9" s="175"/>
      <c r="JXA9" s="175"/>
      <c r="JXB9" s="175"/>
      <c r="JXC9" s="175"/>
      <c r="JXD9" s="175"/>
      <c r="JXE9" s="175"/>
      <c r="JXF9" s="175"/>
      <c r="JXG9" s="175"/>
      <c r="JXH9" s="175"/>
      <c r="JXI9" s="175"/>
      <c r="JXJ9" s="175"/>
      <c r="JXK9" s="175"/>
      <c r="JXL9" s="175"/>
      <c r="JXM9" s="175"/>
      <c r="JXN9" s="175"/>
      <c r="JXO9" s="175"/>
      <c r="JXP9" s="175"/>
      <c r="JXQ9" s="175"/>
      <c r="JXR9" s="175"/>
      <c r="JXS9" s="175"/>
      <c r="JXT9" s="175"/>
      <c r="JXU9" s="175"/>
      <c r="JXV9" s="175"/>
      <c r="JXW9" s="175"/>
      <c r="JXX9" s="175"/>
      <c r="JXY9" s="175"/>
      <c r="JXZ9" s="175"/>
      <c r="JYA9" s="175"/>
      <c r="JYB9" s="175"/>
      <c r="JYC9" s="175"/>
      <c r="JYD9" s="175"/>
      <c r="JYE9" s="175"/>
      <c r="JYF9" s="175"/>
      <c r="JYG9" s="175"/>
      <c r="JYH9" s="175"/>
      <c r="JYI9" s="175"/>
      <c r="JYJ9" s="175"/>
      <c r="JYK9" s="175"/>
      <c r="JYL9" s="175"/>
      <c r="JYM9" s="175"/>
      <c r="JYN9" s="175"/>
      <c r="JYO9" s="175"/>
      <c r="JYP9" s="175"/>
      <c r="JYQ9" s="175"/>
      <c r="JYR9" s="175"/>
      <c r="JYS9" s="175"/>
      <c r="JYT9" s="175"/>
      <c r="JYU9" s="175"/>
      <c r="JYV9" s="175"/>
      <c r="JYW9" s="175"/>
      <c r="JYX9" s="175"/>
      <c r="JYY9" s="175"/>
      <c r="JYZ9" s="175"/>
      <c r="JZA9" s="175"/>
      <c r="JZB9" s="175"/>
      <c r="JZC9" s="175"/>
      <c r="JZD9" s="175"/>
      <c r="JZE9" s="175"/>
      <c r="JZF9" s="175"/>
      <c r="JZG9" s="175"/>
      <c r="JZH9" s="175"/>
      <c r="JZI9" s="175"/>
      <c r="JZJ9" s="175"/>
      <c r="JZK9" s="175"/>
      <c r="JZL9" s="175"/>
      <c r="JZM9" s="175"/>
      <c r="JZN9" s="175"/>
      <c r="JZO9" s="175"/>
      <c r="JZP9" s="175"/>
      <c r="JZQ9" s="175"/>
      <c r="JZR9" s="175"/>
      <c r="JZS9" s="175"/>
      <c r="JZT9" s="175"/>
      <c r="JZU9" s="175"/>
      <c r="JZV9" s="175"/>
      <c r="JZW9" s="175"/>
      <c r="JZX9" s="175"/>
      <c r="JZY9" s="175"/>
      <c r="JZZ9" s="175"/>
      <c r="KAA9" s="175"/>
      <c r="KAB9" s="175"/>
      <c r="KAC9" s="175"/>
      <c r="KAD9" s="175"/>
      <c r="KAE9" s="175"/>
      <c r="KAF9" s="175"/>
      <c r="KAG9" s="175"/>
      <c r="KAH9" s="175"/>
      <c r="KAI9" s="175"/>
      <c r="KAJ9" s="175"/>
      <c r="KAK9" s="175"/>
      <c r="KAL9" s="175"/>
      <c r="KAM9" s="175"/>
      <c r="KAN9" s="175"/>
      <c r="KAO9" s="175"/>
      <c r="KAP9" s="175"/>
      <c r="KAQ9" s="175"/>
      <c r="KAR9" s="175"/>
      <c r="KAS9" s="175"/>
      <c r="KAT9" s="175"/>
      <c r="KAU9" s="175"/>
      <c r="KAV9" s="175"/>
      <c r="KAW9" s="175"/>
      <c r="KAX9" s="175"/>
      <c r="KAY9" s="175"/>
      <c r="KAZ9" s="175"/>
      <c r="KBA9" s="175"/>
      <c r="KBB9" s="175"/>
      <c r="KBC9" s="175"/>
      <c r="KBD9" s="175"/>
      <c r="KBE9" s="175"/>
      <c r="KBF9" s="175"/>
      <c r="KBG9" s="175"/>
      <c r="KBH9" s="175"/>
      <c r="KBI9" s="175"/>
      <c r="KBJ9" s="175"/>
      <c r="KBK9" s="175"/>
      <c r="KBL9" s="175"/>
      <c r="KBM9" s="175"/>
      <c r="KBN9" s="175"/>
      <c r="KBO9" s="175"/>
      <c r="KBP9" s="175"/>
      <c r="KBQ9" s="175"/>
      <c r="KBR9" s="175"/>
      <c r="KBS9" s="175"/>
      <c r="KBT9" s="175"/>
      <c r="KBU9" s="175"/>
      <c r="KBV9" s="175"/>
      <c r="KBW9" s="175"/>
      <c r="KBX9" s="175"/>
      <c r="KBY9" s="175"/>
      <c r="KBZ9" s="175"/>
      <c r="KCA9" s="175"/>
      <c r="KCB9" s="175"/>
      <c r="KCC9" s="175"/>
      <c r="KCD9" s="175"/>
      <c r="KCE9" s="175"/>
      <c r="KCF9" s="175"/>
      <c r="KCG9" s="175"/>
      <c r="KCH9" s="175"/>
      <c r="KCI9" s="175"/>
      <c r="KCJ9" s="175"/>
      <c r="KCK9" s="175"/>
      <c r="KCL9" s="175"/>
      <c r="KCM9" s="175"/>
      <c r="KCN9" s="175"/>
      <c r="KCO9" s="175"/>
      <c r="KCP9" s="175"/>
      <c r="KCQ9" s="175"/>
      <c r="KCR9" s="175"/>
      <c r="KCS9" s="175"/>
      <c r="KCT9" s="175"/>
      <c r="KCU9" s="175"/>
      <c r="KCV9" s="175"/>
      <c r="KCW9" s="175"/>
      <c r="KCX9" s="175"/>
      <c r="KCY9" s="175"/>
      <c r="KCZ9" s="175"/>
      <c r="KDA9" s="175"/>
      <c r="KDB9" s="175"/>
      <c r="KDC9" s="175"/>
      <c r="KDD9" s="175"/>
      <c r="KDE9" s="175"/>
      <c r="KDF9" s="175"/>
      <c r="KDG9" s="175"/>
      <c r="KDH9" s="175"/>
      <c r="KDI9" s="175"/>
      <c r="KDJ9" s="175"/>
      <c r="KDK9" s="175"/>
      <c r="KDL9" s="175"/>
      <c r="KDM9" s="175"/>
      <c r="KDN9" s="175"/>
      <c r="KDO9" s="175"/>
      <c r="KDP9" s="175"/>
      <c r="KDQ9" s="175"/>
      <c r="KDR9" s="175"/>
      <c r="KDS9" s="175"/>
      <c r="KDT9" s="175"/>
      <c r="KDU9" s="175"/>
      <c r="KDV9" s="175"/>
      <c r="KDW9" s="175"/>
      <c r="KDX9" s="175"/>
      <c r="KDY9" s="175"/>
      <c r="KDZ9" s="175"/>
      <c r="KEA9" s="175"/>
      <c r="KEB9" s="175"/>
      <c r="KEC9" s="175"/>
      <c r="KED9" s="175"/>
      <c r="KEE9" s="175"/>
      <c r="KEF9" s="175"/>
      <c r="KEG9" s="175"/>
      <c r="KEH9" s="175"/>
      <c r="KEI9" s="175"/>
      <c r="KEJ9" s="175"/>
      <c r="KEK9" s="175"/>
      <c r="KEL9" s="175"/>
      <c r="KEM9" s="175"/>
      <c r="KEN9" s="175"/>
      <c r="KEO9" s="175"/>
      <c r="KEP9" s="175"/>
      <c r="KEQ9" s="175"/>
      <c r="KER9" s="175"/>
      <c r="KES9" s="175"/>
      <c r="KET9" s="175"/>
      <c r="KEU9" s="175"/>
      <c r="KEV9" s="175"/>
      <c r="KEW9" s="175"/>
      <c r="KEX9" s="175"/>
      <c r="KEY9" s="175"/>
      <c r="KEZ9" s="175"/>
      <c r="KFA9" s="175"/>
      <c r="KFB9" s="175"/>
      <c r="KFC9" s="175"/>
      <c r="KFD9" s="175"/>
      <c r="KFE9" s="175"/>
      <c r="KFF9" s="175"/>
      <c r="KFG9" s="175"/>
      <c r="KFH9" s="175"/>
      <c r="KFI9" s="175"/>
      <c r="KFJ9" s="175"/>
      <c r="KFK9" s="175"/>
      <c r="KFL9" s="175"/>
      <c r="KFM9" s="175"/>
      <c r="KFN9" s="175"/>
      <c r="KFO9" s="175"/>
      <c r="KFP9" s="175"/>
      <c r="KFQ9" s="175"/>
      <c r="KFR9" s="175"/>
      <c r="KFS9" s="175"/>
      <c r="KFT9" s="175"/>
      <c r="KFU9" s="175"/>
      <c r="KFV9" s="175"/>
      <c r="KFW9" s="175"/>
      <c r="KFX9" s="175"/>
      <c r="KFY9" s="175"/>
      <c r="KFZ9" s="175"/>
      <c r="KGA9" s="175"/>
      <c r="KGB9" s="175"/>
      <c r="KGC9" s="175"/>
      <c r="KGD9" s="175"/>
      <c r="KGE9" s="175"/>
      <c r="KGF9" s="175"/>
      <c r="KGG9" s="175"/>
      <c r="KGH9" s="175"/>
      <c r="KGI9" s="175"/>
      <c r="KGJ9" s="175"/>
      <c r="KGK9" s="175"/>
      <c r="KGL9" s="175"/>
      <c r="KGM9" s="175"/>
      <c r="KGN9" s="175"/>
      <c r="KGO9" s="175"/>
      <c r="KGP9" s="175"/>
      <c r="KGQ9" s="175"/>
      <c r="KGR9" s="175"/>
      <c r="KGS9" s="175"/>
      <c r="KGT9" s="175"/>
      <c r="KGU9" s="175"/>
      <c r="KGV9" s="175"/>
      <c r="KGW9" s="175"/>
      <c r="KGX9" s="175"/>
      <c r="KGY9" s="175"/>
      <c r="KGZ9" s="175"/>
      <c r="KHA9" s="175"/>
      <c r="KHB9" s="175"/>
      <c r="KHC9" s="175"/>
      <c r="KHD9" s="175"/>
      <c r="KHE9" s="175"/>
      <c r="KHF9" s="175"/>
      <c r="KHG9" s="175"/>
      <c r="KHH9" s="175"/>
      <c r="KHI9" s="175"/>
      <c r="KHJ9" s="175"/>
      <c r="KHK9" s="175"/>
      <c r="KHL9" s="175"/>
      <c r="KHM9" s="175"/>
      <c r="KHN9" s="175"/>
      <c r="KHO9" s="175"/>
      <c r="KHP9" s="175"/>
      <c r="KHQ9" s="175"/>
      <c r="KHR9" s="175"/>
      <c r="KHS9" s="175"/>
      <c r="KHT9" s="175"/>
      <c r="KHU9" s="175"/>
      <c r="KHV9" s="175"/>
      <c r="KHW9" s="175"/>
      <c r="KHX9" s="175"/>
      <c r="KHY9" s="175"/>
      <c r="KHZ9" s="175"/>
      <c r="KIA9" s="175"/>
      <c r="KIB9" s="175"/>
      <c r="KIC9" s="175"/>
      <c r="KID9" s="175"/>
      <c r="KIE9" s="175"/>
      <c r="KIF9" s="175"/>
      <c r="KIG9" s="175"/>
      <c r="KIH9" s="175"/>
      <c r="KII9" s="175"/>
      <c r="KIJ9" s="175"/>
      <c r="KIK9" s="175"/>
      <c r="KIL9" s="175"/>
      <c r="KIM9" s="175"/>
      <c r="KIN9" s="175"/>
      <c r="KIO9" s="175"/>
      <c r="KIP9" s="175"/>
      <c r="KIQ9" s="175"/>
      <c r="KIR9" s="175"/>
      <c r="KIS9" s="175"/>
      <c r="KIT9" s="175"/>
      <c r="KIU9" s="175"/>
      <c r="KIV9" s="175"/>
      <c r="KIW9" s="175"/>
      <c r="KIX9" s="175"/>
      <c r="KIY9" s="175"/>
      <c r="KIZ9" s="175"/>
      <c r="KJA9" s="175"/>
      <c r="KJB9" s="175"/>
      <c r="KJC9" s="175"/>
      <c r="KJD9" s="175"/>
      <c r="KJE9" s="175"/>
      <c r="KJF9" s="175"/>
      <c r="KJG9" s="175"/>
      <c r="KJH9" s="175"/>
      <c r="KJI9" s="175"/>
      <c r="KJJ9" s="175"/>
      <c r="KJK9" s="175"/>
      <c r="KJL9" s="175"/>
      <c r="KJM9" s="175"/>
      <c r="KJN9" s="175"/>
      <c r="KJO9" s="175"/>
      <c r="KJP9" s="175"/>
      <c r="KJQ9" s="175"/>
      <c r="KJR9" s="175"/>
      <c r="KJS9" s="175"/>
      <c r="KJT9" s="175"/>
      <c r="KJU9" s="175"/>
      <c r="KJV9" s="175"/>
      <c r="KJW9" s="175"/>
      <c r="KJX9" s="175"/>
      <c r="KJY9" s="175"/>
      <c r="KJZ9" s="175"/>
      <c r="KKA9" s="175"/>
      <c r="KKB9" s="175"/>
      <c r="KKC9" s="175"/>
      <c r="KKD9" s="175"/>
      <c r="KKE9" s="175"/>
      <c r="KKF9" s="175"/>
      <c r="KKG9" s="175"/>
      <c r="KKH9" s="175"/>
      <c r="KKI9" s="175"/>
      <c r="KKJ9" s="175"/>
      <c r="KKK9" s="175"/>
      <c r="KKL9" s="175"/>
      <c r="KKM9" s="175"/>
      <c r="KKN9" s="175"/>
      <c r="KKO9" s="175"/>
      <c r="KKP9" s="175"/>
      <c r="KKQ9" s="175"/>
      <c r="KKR9" s="175"/>
      <c r="KKS9" s="175"/>
      <c r="KKT9" s="175"/>
      <c r="KKU9" s="175"/>
      <c r="KKV9" s="175"/>
      <c r="KKW9" s="175"/>
      <c r="KKX9" s="175"/>
      <c r="KKY9" s="175"/>
      <c r="KKZ9" s="175"/>
      <c r="KLA9" s="175"/>
      <c r="KLB9" s="175"/>
      <c r="KLC9" s="175"/>
      <c r="KLD9" s="175"/>
      <c r="KLE9" s="175"/>
      <c r="KLF9" s="175"/>
      <c r="KLG9" s="175"/>
      <c r="KLH9" s="175"/>
      <c r="KLI9" s="175"/>
      <c r="KLJ9" s="175"/>
      <c r="KLK9" s="175"/>
      <c r="KLL9" s="175"/>
      <c r="KLM9" s="175"/>
      <c r="KLN9" s="175"/>
      <c r="KLO9" s="175"/>
      <c r="KLP9" s="175"/>
      <c r="KLQ9" s="175"/>
      <c r="KLR9" s="175"/>
      <c r="KLS9" s="175"/>
      <c r="KLT9" s="175"/>
      <c r="KLU9" s="175"/>
      <c r="KLV9" s="175"/>
      <c r="KLW9" s="175"/>
      <c r="KLX9" s="175"/>
      <c r="KLY9" s="175"/>
      <c r="KLZ9" s="175"/>
      <c r="KMA9" s="175"/>
      <c r="KMB9" s="175"/>
      <c r="KMC9" s="175"/>
      <c r="KMD9" s="175"/>
      <c r="KME9" s="175"/>
      <c r="KMF9" s="175"/>
      <c r="KMG9" s="175"/>
      <c r="KMH9" s="175"/>
      <c r="KMI9" s="175"/>
      <c r="KMJ9" s="175"/>
      <c r="KMK9" s="175"/>
      <c r="KML9" s="175"/>
      <c r="KMM9" s="175"/>
      <c r="KMN9" s="175"/>
      <c r="KMO9" s="175"/>
      <c r="KMP9" s="175"/>
      <c r="KMQ9" s="175"/>
      <c r="KMR9" s="175"/>
      <c r="KMS9" s="175"/>
      <c r="KMT9" s="175"/>
      <c r="KMU9" s="175"/>
      <c r="KMV9" s="175"/>
      <c r="KMW9" s="175"/>
      <c r="KMX9" s="175"/>
      <c r="KMY9" s="175"/>
      <c r="KMZ9" s="175"/>
      <c r="KNA9" s="175"/>
      <c r="KNB9" s="175"/>
      <c r="KNC9" s="175"/>
      <c r="KND9" s="175"/>
      <c r="KNE9" s="175"/>
      <c r="KNF9" s="175"/>
      <c r="KNG9" s="175"/>
      <c r="KNH9" s="175"/>
      <c r="KNI9" s="175"/>
      <c r="KNJ9" s="175"/>
      <c r="KNK9" s="175"/>
      <c r="KNL9" s="175"/>
      <c r="KNM9" s="175"/>
      <c r="KNN9" s="175"/>
      <c r="KNO9" s="175"/>
      <c r="KNP9" s="175"/>
      <c r="KNQ9" s="175"/>
      <c r="KNR9" s="175"/>
      <c r="KNS9" s="175"/>
      <c r="KNT9" s="175"/>
      <c r="KNU9" s="175"/>
      <c r="KNV9" s="175"/>
      <c r="KNW9" s="175"/>
      <c r="KNX9" s="175"/>
      <c r="KNY9" s="175"/>
      <c r="KNZ9" s="175"/>
      <c r="KOA9" s="175"/>
      <c r="KOB9" s="175"/>
      <c r="KOC9" s="175"/>
      <c r="KOD9" s="175"/>
      <c r="KOE9" s="175"/>
      <c r="KOF9" s="175"/>
      <c r="KOG9" s="175"/>
      <c r="KOH9" s="175"/>
      <c r="KOI9" s="175"/>
      <c r="KOJ9" s="175"/>
      <c r="KOK9" s="175"/>
      <c r="KOL9" s="175"/>
      <c r="KOM9" s="175"/>
      <c r="KON9" s="175"/>
      <c r="KOO9" s="175"/>
      <c r="KOP9" s="175"/>
      <c r="KOQ9" s="175"/>
      <c r="KOR9" s="175"/>
      <c r="KOS9" s="175"/>
      <c r="KOT9" s="175"/>
      <c r="KOU9" s="175"/>
      <c r="KOV9" s="175"/>
      <c r="KOW9" s="175"/>
      <c r="KOX9" s="175"/>
      <c r="KOY9" s="175"/>
      <c r="KOZ9" s="175"/>
      <c r="KPA9" s="175"/>
      <c r="KPB9" s="175"/>
      <c r="KPC9" s="175"/>
      <c r="KPD9" s="175"/>
      <c r="KPE9" s="175"/>
      <c r="KPF9" s="175"/>
      <c r="KPG9" s="175"/>
      <c r="KPH9" s="175"/>
      <c r="KPI9" s="175"/>
      <c r="KPJ9" s="175"/>
      <c r="KPK9" s="175"/>
      <c r="KPL9" s="175"/>
      <c r="KPM9" s="175"/>
      <c r="KPN9" s="175"/>
      <c r="KPO9" s="175"/>
      <c r="KPP9" s="175"/>
      <c r="KPQ9" s="175"/>
      <c r="KPR9" s="175"/>
      <c r="KPS9" s="175"/>
      <c r="KPT9" s="175"/>
      <c r="KPU9" s="175"/>
      <c r="KPV9" s="175"/>
      <c r="KPW9" s="175"/>
      <c r="KPX9" s="175"/>
      <c r="KPY9" s="175"/>
      <c r="KPZ9" s="175"/>
      <c r="KQA9" s="175"/>
      <c r="KQB9" s="175"/>
      <c r="KQC9" s="175"/>
      <c r="KQD9" s="175"/>
      <c r="KQE9" s="175"/>
      <c r="KQF9" s="175"/>
      <c r="KQG9" s="175"/>
      <c r="KQH9" s="175"/>
      <c r="KQI9" s="175"/>
      <c r="KQJ9" s="175"/>
      <c r="KQK9" s="175"/>
      <c r="KQL9" s="175"/>
      <c r="KQM9" s="175"/>
      <c r="KQN9" s="175"/>
      <c r="KQO9" s="175"/>
      <c r="KQP9" s="175"/>
      <c r="KQQ9" s="175"/>
      <c r="KQR9" s="175"/>
      <c r="KQS9" s="175"/>
      <c r="KQT9" s="175"/>
      <c r="KQU9" s="175"/>
      <c r="KQV9" s="175"/>
      <c r="KQW9" s="175"/>
      <c r="KQX9" s="175"/>
      <c r="KQY9" s="175"/>
      <c r="KQZ9" s="175"/>
      <c r="KRA9" s="175"/>
      <c r="KRB9" s="175"/>
      <c r="KRC9" s="175"/>
      <c r="KRD9" s="175"/>
      <c r="KRE9" s="175"/>
      <c r="KRF9" s="175"/>
      <c r="KRG9" s="175"/>
      <c r="KRH9" s="175"/>
      <c r="KRI9" s="175"/>
      <c r="KRJ9" s="175"/>
      <c r="KRK9" s="175"/>
      <c r="KRL9" s="175"/>
      <c r="KRM9" s="175"/>
      <c r="KRN9" s="175"/>
      <c r="KRO9" s="175"/>
      <c r="KRP9" s="175"/>
      <c r="KRQ9" s="175"/>
      <c r="KRR9" s="175"/>
      <c r="KRS9" s="175"/>
      <c r="KRT9" s="175"/>
      <c r="KRU9" s="175"/>
      <c r="KRV9" s="175"/>
      <c r="KRW9" s="175"/>
      <c r="KRX9" s="175"/>
      <c r="KRY9" s="175"/>
      <c r="KRZ9" s="175"/>
      <c r="KSA9" s="175"/>
      <c r="KSB9" s="175"/>
      <c r="KSC9" s="175"/>
      <c r="KSD9" s="175"/>
      <c r="KSE9" s="175"/>
      <c r="KSF9" s="175"/>
      <c r="KSG9" s="175"/>
      <c r="KSH9" s="175"/>
      <c r="KSI9" s="175"/>
      <c r="KSJ9" s="175"/>
      <c r="KSK9" s="175"/>
      <c r="KSL9" s="175"/>
      <c r="KSM9" s="175"/>
      <c r="KSN9" s="175"/>
      <c r="KSO9" s="175"/>
      <c r="KSP9" s="175"/>
      <c r="KSQ9" s="175"/>
      <c r="KSR9" s="175"/>
      <c r="KSS9" s="175"/>
      <c r="KST9" s="175"/>
      <c r="KSU9" s="175"/>
      <c r="KSV9" s="175"/>
      <c r="KSW9" s="175"/>
      <c r="KSX9" s="175"/>
      <c r="KSY9" s="175"/>
      <c r="KSZ9" s="175"/>
      <c r="KTA9" s="175"/>
      <c r="KTB9" s="175"/>
      <c r="KTC9" s="175"/>
      <c r="KTD9" s="175"/>
      <c r="KTE9" s="175"/>
      <c r="KTF9" s="175"/>
      <c r="KTG9" s="175"/>
      <c r="KTH9" s="175"/>
      <c r="KTI9" s="175"/>
      <c r="KTJ9" s="175"/>
      <c r="KTK9" s="175"/>
      <c r="KTL9" s="175"/>
      <c r="KTM9" s="175"/>
      <c r="KTN9" s="175"/>
      <c r="KTO9" s="175"/>
      <c r="KTP9" s="175"/>
      <c r="KTQ9" s="175"/>
      <c r="KTR9" s="175"/>
      <c r="KTS9" s="175"/>
      <c r="KTT9" s="175"/>
      <c r="KTU9" s="175"/>
      <c r="KTV9" s="175"/>
      <c r="KTW9" s="175"/>
      <c r="KTX9" s="175"/>
      <c r="KTY9" s="175"/>
      <c r="KTZ9" s="175"/>
      <c r="KUA9" s="175"/>
      <c r="KUB9" s="175"/>
      <c r="KUC9" s="175"/>
      <c r="KUD9" s="175"/>
      <c r="KUE9" s="175"/>
      <c r="KUF9" s="175"/>
      <c r="KUG9" s="175"/>
      <c r="KUH9" s="175"/>
      <c r="KUI9" s="175"/>
      <c r="KUJ9" s="175"/>
      <c r="KUK9" s="175"/>
      <c r="KUL9" s="175"/>
      <c r="KUM9" s="175"/>
      <c r="KUN9" s="175"/>
      <c r="KUO9" s="175"/>
      <c r="KUP9" s="175"/>
      <c r="KUQ9" s="175"/>
      <c r="KUR9" s="175"/>
      <c r="KUS9" s="175"/>
      <c r="KUT9" s="175"/>
      <c r="KUU9" s="175"/>
      <c r="KUV9" s="175"/>
      <c r="KUW9" s="175"/>
      <c r="KUX9" s="175"/>
      <c r="KUY9" s="175"/>
      <c r="KUZ9" s="175"/>
      <c r="KVA9" s="175"/>
      <c r="KVB9" s="175"/>
      <c r="KVC9" s="175"/>
      <c r="KVD9" s="175"/>
      <c r="KVE9" s="175"/>
      <c r="KVF9" s="175"/>
      <c r="KVG9" s="175"/>
      <c r="KVH9" s="175"/>
      <c r="KVI9" s="175"/>
      <c r="KVJ9" s="175"/>
      <c r="KVK9" s="175"/>
      <c r="KVL9" s="175"/>
      <c r="KVM9" s="175"/>
      <c r="KVN9" s="175"/>
      <c r="KVO9" s="175"/>
      <c r="KVP9" s="175"/>
      <c r="KVQ9" s="175"/>
      <c r="KVR9" s="175"/>
      <c r="KVS9" s="175"/>
      <c r="KVT9" s="175"/>
      <c r="KVU9" s="175"/>
      <c r="KVV9" s="175"/>
      <c r="KVW9" s="175"/>
      <c r="KVX9" s="175"/>
      <c r="KVY9" s="175"/>
      <c r="KVZ9" s="175"/>
      <c r="KWA9" s="175"/>
      <c r="KWB9" s="175"/>
      <c r="KWC9" s="175"/>
      <c r="KWD9" s="175"/>
      <c r="KWE9" s="175"/>
      <c r="KWF9" s="175"/>
      <c r="KWG9" s="175"/>
      <c r="KWH9" s="175"/>
      <c r="KWI9" s="175"/>
      <c r="KWJ9" s="175"/>
      <c r="KWK9" s="175"/>
      <c r="KWL9" s="175"/>
      <c r="KWM9" s="175"/>
      <c r="KWN9" s="175"/>
      <c r="KWO9" s="175"/>
      <c r="KWP9" s="175"/>
      <c r="KWQ9" s="175"/>
      <c r="KWR9" s="175"/>
      <c r="KWS9" s="175"/>
      <c r="KWT9" s="175"/>
      <c r="KWU9" s="175"/>
      <c r="KWV9" s="175"/>
      <c r="KWW9" s="175"/>
      <c r="KWX9" s="175"/>
      <c r="KWY9" s="175"/>
      <c r="KWZ9" s="175"/>
      <c r="KXA9" s="175"/>
      <c r="KXB9" s="175"/>
      <c r="KXC9" s="175"/>
      <c r="KXD9" s="175"/>
      <c r="KXE9" s="175"/>
      <c r="KXF9" s="175"/>
      <c r="KXG9" s="175"/>
      <c r="KXH9" s="175"/>
      <c r="KXI9" s="175"/>
      <c r="KXJ9" s="175"/>
      <c r="KXK9" s="175"/>
      <c r="KXL9" s="175"/>
      <c r="KXM9" s="175"/>
      <c r="KXN9" s="175"/>
      <c r="KXO9" s="175"/>
      <c r="KXP9" s="175"/>
      <c r="KXQ9" s="175"/>
      <c r="KXR9" s="175"/>
      <c r="KXS9" s="175"/>
      <c r="KXT9" s="175"/>
      <c r="KXU9" s="175"/>
      <c r="KXV9" s="175"/>
      <c r="KXW9" s="175"/>
      <c r="KXX9" s="175"/>
      <c r="KXY9" s="175"/>
      <c r="KXZ9" s="175"/>
      <c r="KYA9" s="175"/>
      <c r="KYB9" s="175"/>
      <c r="KYC9" s="175"/>
      <c r="KYD9" s="175"/>
      <c r="KYE9" s="175"/>
      <c r="KYF9" s="175"/>
      <c r="KYG9" s="175"/>
      <c r="KYH9" s="175"/>
      <c r="KYI9" s="175"/>
      <c r="KYJ9" s="175"/>
      <c r="KYK9" s="175"/>
      <c r="KYL9" s="175"/>
      <c r="KYM9" s="175"/>
      <c r="KYN9" s="175"/>
      <c r="KYO9" s="175"/>
      <c r="KYP9" s="175"/>
      <c r="KYQ9" s="175"/>
      <c r="KYR9" s="175"/>
      <c r="KYS9" s="175"/>
      <c r="KYT9" s="175"/>
      <c r="KYU9" s="175"/>
      <c r="KYV9" s="175"/>
      <c r="KYW9" s="175"/>
      <c r="KYX9" s="175"/>
      <c r="KYY9" s="175"/>
      <c r="KYZ9" s="175"/>
      <c r="KZA9" s="175"/>
      <c r="KZB9" s="175"/>
      <c r="KZC9" s="175"/>
      <c r="KZD9" s="175"/>
      <c r="KZE9" s="175"/>
      <c r="KZF9" s="175"/>
      <c r="KZG9" s="175"/>
      <c r="KZH9" s="175"/>
      <c r="KZI9" s="175"/>
      <c r="KZJ9" s="175"/>
      <c r="KZK9" s="175"/>
      <c r="KZL9" s="175"/>
      <c r="KZM9" s="175"/>
      <c r="KZN9" s="175"/>
      <c r="KZO9" s="175"/>
      <c r="KZP9" s="175"/>
      <c r="KZQ9" s="175"/>
      <c r="KZR9" s="175"/>
      <c r="KZS9" s="175"/>
      <c r="KZT9" s="175"/>
      <c r="KZU9" s="175"/>
      <c r="KZV9" s="175"/>
      <c r="KZW9" s="175"/>
      <c r="KZX9" s="175"/>
      <c r="KZY9" s="175"/>
      <c r="KZZ9" s="175"/>
      <c r="LAA9" s="175"/>
      <c r="LAB9" s="175"/>
      <c r="LAC9" s="175"/>
      <c r="LAD9" s="175"/>
      <c r="LAE9" s="175"/>
      <c r="LAF9" s="175"/>
      <c r="LAG9" s="175"/>
      <c r="LAH9" s="175"/>
      <c r="LAI9" s="175"/>
      <c r="LAJ9" s="175"/>
      <c r="LAK9" s="175"/>
      <c r="LAL9" s="175"/>
      <c r="LAM9" s="175"/>
      <c r="LAN9" s="175"/>
      <c r="LAO9" s="175"/>
      <c r="LAP9" s="175"/>
      <c r="LAQ9" s="175"/>
      <c r="LAR9" s="175"/>
      <c r="LAS9" s="175"/>
      <c r="LAT9" s="175"/>
      <c r="LAU9" s="175"/>
      <c r="LAV9" s="175"/>
      <c r="LAW9" s="175"/>
      <c r="LAX9" s="175"/>
      <c r="LAY9" s="175"/>
      <c r="LAZ9" s="175"/>
      <c r="LBA9" s="175"/>
      <c r="LBB9" s="175"/>
      <c r="LBC9" s="175"/>
      <c r="LBD9" s="175"/>
      <c r="LBE9" s="175"/>
      <c r="LBF9" s="175"/>
      <c r="LBG9" s="175"/>
      <c r="LBH9" s="175"/>
      <c r="LBI9" s="175"/>
      <c r="LBJ9" s="175"/>
      <c r="LBK9" s="175"/>
      <c r="LBL9" s="175"/>
      <c r="LBM9" s="175"/>
      <c r="LBN9" s="175"/>
      <c r="LBO9" s="175"/>
      <c r="LBP9" s="175"/>
      <c r="LBQ9" s="175"/>
      <c r="LBR9" s="175"/>
      <c r="LBS9" s="175"/>
      <c r="LBT9" s="175"/>
      <c r="LBU9" s="175"/>
      <c r="LBV9" s="175"/>
      <c r="LBW9" s="175"/>
      <c r="LBX9" s="175"/>
      <c r="LBY9" s="175"/>
      <c r="LBZ9" s="175"/>
      <c r="LCA9" s="175"/>
      <c r="LCB9" s="175"/>
      <c r="LCC9" s="175"/>
      <c r="LCD9" s="175"/>
      <c r="LCE9" s="175"/>
      <c r="LCF9" s="175"/>
      <c r="LCG9" s="175"/>
      <c r="LCH9" s="175"/>
      <c r="LCI9" s="175"/>
      <c r="LCJ9" s="175"/>
      <c r="LCK9" s="175"/>
      <c r="LCL9" s="175"/>
      <c r="LCM9" s="175"/>
      <c r="LCN9" s="175"/>
      <c r="LCO9" s="175"/>
      <c r="LCP9" s="175"/>
      <c r="LCQ9" s="175"/>
      <c r="LCR9" s="175"/>
      <c r="LCS9" s="175"/>
      <c r="LCT9" s="175"/>
      <c r="LCU9" s="175"/>
      <c r="LCV9" s="175"/>
      <c r="LCW9" s="175"/>
      <c r="LCX9" s="175"/>
      <c r="LCY9" s="175"/>
      <c r="LCZ9" s="175"/>
      <c r="LDA9" s="175"/>
      <c r="LDB9" s="175"/>
      <c r="LDC9" s="175"/>
      <c r="LDD9" s="175"/>
      <c r="LDE9" s="175"/>
      <c r="LDF9" s="175"/>
      <c r="LDG9" s="175"/>
      <c r="LDH9" s="175"/>
      <c r="LDI9" s="175"/>
      <c r="LDJ9" s="175"/>
      <c r="LDK9" s="175"/>
      <c r="LDL9" s="175"/>
      <c r="LDM9" s="175"/>
      <c r="LDN9" s="175"/>
      <c r="LDO9" s="175"/>
      <c r="LDP9" s="175"/>
      <c r="LDQ9" s="175"/>
      <c r="LDR9" s="175"/>
      <c r="LDS9" s="175"/>
      <c r="LDT9" s="175"/>
      <c r="LDU9" s="175"/>
      <c r="LDV9" s="175"/>
      <c r="LDW9" s="175"/>
      <c r="LDX9" s="175"/>
      <c r="LDY9" s="175"/>
      <c r="LDZ9" s="175"/>
      <c r="LEA9" s="175"/>
      <c r="LEB9" s="175"/>
      <c r="LEC9" s="175"/>
      <c r="LED9" s="175"/>
      <c r="LEE9" s="175"/>
      <c r="LEF9" s="175"/>
      <c r="LEG9" s="175"/>
      <c r="LEH9" s="175"/>
      <c r="LEI9" s="175"/>
      <c r="LEJ9" s="175"/>
      <c r="LEK9" s="175"/>
      <c r="LEL9" s="175"/>
      <c r="LEM9" s="175"/>
      <c r="LEN9" s="175"/>
      <c r="LEO9" s="175"/>
      <c r="LEP9" s="175"/>
      <c r="LEQ9" s="175"/>
      <c r="LER9" s="175"/>
      <c r="LES9" s="175"/>
      <c r="LET9" s="175"/>
      <c r="LEU9" s="175"/>
      <c r="LEV9" s="175"/>
      <c r="LEW9" s="175"/>
      <c r="LEX9" s="175"/>
      <c r="LEY9" s="175"/>
      <c r="LEZ9" s="175"/>
      <c r="LFA9" s="175"/>
      <c r="LFB9" s="175"/>
      <c r="LFC9" s="175"/>
      <c r="LFD9" s="175"/>
      <c r="LFE9" s="175"/>
      <c r="LFF9" s="175"/>
      <c r="LFG9" s="175"/>
      <c r="LFH9" s="175"/>
      <c r="LFI9" s="175"/>
      <c r="LFJ9" s="175"/>
      <c r="LFK9" s="175"/>
      <c r="LFL9" s="175"/>
      <c r="LFM9" s="175"/>
      <c r="LFN9" s="175"/>
      <c r="LFO9" s="175"/>
      <c r="LFP9" s="175"/>
      <c r="LFQ9" s="175"/>
      <c r="LFR9" s="175"/>
      <c r="LFS9" s="175"/>
      <c r="LFT9" s="175"/>
      <c r="LFU9" s="175"/>
      <c r="LFV9" s="175"/>
      <c r="LFW9" s="175"/>
      <c r="LFX9" s="175"/>
      <c r="LFY9" s="175"/>
      <c r="LFZ9" s="175"/>
      <c r="LGA9" s="175"/>
      <c r="LGB9" s="175"/>
      <c r="LGC9" s="175"/>
      <c r="LGD9" s="175"/>
      <c r="LGE9" s="175"/>
      <c r="LGF9" s="175"/>
      <c r="LGG9" s="175"/>
      <c r="LGH9" s="175"/>
      <c r="LGI9" s="175"/>
      <c r="LGJ9" s="175"/>
      <c r="LGK9" s="175"/>
      <c r="LGL9" s="175"/>
      <c r="LGM9" s="175"/>
      <c r="LGN9" s="175"/>
      <c r="LGO9" s="175"/>
      <c r="LGP9" s="175"/>
      <c r="LGQ9" s="175"/>
      <c r="LGR9" s="175"/>
      <c r="LGS9" s="175"/>
      <c r="LGT9" s="175"/>
      <c r="LGU9" s="175"/>
      <c r="LGV9" s="175"/>
      <c r="LGW9" s="175"/>
      <c r="LGX9" s="175"/>
      <c r="LGY9" s="175"/>
      <c r="LGZ9" s="175"/>
      <c r="LHA9" s="175"/>
      <c r="LHB9" s="175"/>
      <c r="LHC9" s="175"/>
      <c r="LHD9" s="175"/>
      <c r="LHE9" s="175"/>
      <c r="LHF9" s="175"/>
      <c r="LHG9" s="175"/>
      <c r="LHH9" s="175"/>
      <c r="LHI9" s="175"/>
      <c r="LHJ9" s="175"/>
      <c r="LHK9" s="175"/>
      <c r="LHL9" s="175"/>
      <c r="LHM9" s="175"/>
      <c r="LHN9" s="175"/>
      <c r="LHO9" s="175"/>
      <c r="LHP9" s="175"/>
      <c r="LHQ9" s="175"/>
      <c r="LHR9" s="175"/>
      <c r="LHS9" s="175"/>
      <c r="LHT9" s="175"/>
      <c r="LHU9" s="175"/>
      <c r="LHV9" s="175"/>
      <c r="LHW9" s="175"/>
      <c r="LHX9" s="175"/>
      <c r="LHY9" s="175"/>
      <c r="LHZ9" s="175"/>
      <c r="LIA9" s="175"/>
      <c r="LIB9" s="175"/>
      <c r="LIC9" s="175"/>
      <c r="LID9" s="175"/>
      <c r="LIE9" s="175"/>
      <c r="LIF9" s="175"/>
      <c r="LIG9" s="175"/>
      <c r="LIH9" s="175"/>
      <c r="LII9" s="175"/>
      <c r="LIJ9" s="175"/>
      <c r="LIK9" s="175"/>
      <c r="LIL9" s="175"/>
      <c r="LIM9" s="175"/>
      <c r="LIN9" s="175"/>
      <c r="LIO9" s="175"/>
      <c r="LIP9" s="175"/>
      <c r="LIQ9" s="175"/>
      <c r="LIR9" s="175"/>
      <c r="LIS9" s="175"/>
      <c r="LIT9" s="175"/>
      <c r="LIU9" s="175"/>
      <c r="LIV9" s="175"/>
      <c r="LIW9" s="175"/>
      <c r="LIX9" s="175"/>
      <c r="LIY9" s="175"/>
      <c r="LIZ9" s="175"/>
      <c r="LJA9" s="175"/>
      <c r="LJB9" s="175"/>
      <c r="LJC9" s="175"/>
      <c r="LJD9" s="175"/>
      <c r="LJE9" s="175"/>
      <c r="LJF9" s="175"/>
      <c r="LJG9" s="175"/>
      <c r="LJH9" s="175"/>
      <c r="LJI9" s="175"/>
      <c r="LJJ9" s="175"/>
      <c r="LJK9" s="175"/>
      <c r="LJL9" s="175"/>
      <c r="LJM9" s="175"/>
      <c r="LJN9" s="175"/>
      <c r="LJO9" s="175"/>
      <c r="LJP9" s="175"/>
      <c r="LJQ9" s="175"/>
      <c r="LJR9" s="175"/>
      <c r="LJS9" s="175"/>
      <c r="LJT9" s="175"/>
      <c r="LJU9" s="175"/>
      <c r="LJV9" s="175"/>
      <c r="LJW9" s="175"/>
      <c r="LJX9" s="175"/>
      <c r="LJY9" s="175"/>
      <c r="LJZ9" s="175"/>
      <c r="LKA9" s="175"/>
      <c r="LKB9" s="175"/>
      <c r="LKC9" s="175"/>
      <c r="LKD9" s="175"/>
      <c r="LKE9" s="175"/>
      <c r="LKF9" s="175"/>
      <c r="LKG9" s="175"/>
      <c r="LKH9" s="175"/>
      <c r="LKI9" s="175"/>
      <c r="LKJ9" s="175"/>
      <c r="LKK9" s="175"/>
      <c r="LKL9" s="175"/>
      <c r="LKM9" s="175"/>
      <c r="LKN9" s="175"/>
      <c r="LKO9" s="175"/>
      <c r="LKP9" s="175"/>
      <c r="LKQ9" s="175"/>
      <c r="LKR9" s="175"/>
      <c r="LKS9" s="175"/>
      <c r="LKT9" s="175"/>
      <c r="LKU9" s="175"/>
      <c r="LKV9" s="175"/>
      <c r="LKW9" s="175"/>
      <c r="LKX9" s="175"/>
      <c r="LKY9" s="175"/>
      <c r="LKZ9" s="175"/>
      <c r="LLA9" s="175"/>
      <c r="LLB9" s="175"/>
      <c r="LLC9" s="175"/>
      <c r="LLD9" s="175"/>
      <c r="LLE9" s="175"/>
      <c r="LLF9" s="175"/>
      <c r="LLG9" s="175"/>
      <c r="LLH9" s="175"/>
      <c r="LLI9" s="175"/>
      <c r="LLJ9" s="175"/>
      <c r="LLK9" s="175"/>
      <c r="LLL9" s="175"/>
      <c r="LLM9" s="175"/>
      <c r="LLN9" s="175"/>
      <c r="LLO9" s="175"/>
      <c r="LLP9" s="175"/>
      <c r="LLQ9" s="175"/>
      <c r="LLR9" s="175"/>
      <c r="LLS9" s="175"/>
      <c r="LLT9" s="175"/>
      <c r="LLU9" s="175"/>
      <c r="LLV9" s="175"/>
      <c r="LLW9" s="175"/>
      <c r="LLX9" s="175"/>
      <c r="LLY9" s="175"/>
      <c r="LLZ9" s="175"/>
      <c r="LMA9" s="175"/>
      <c r="LMB9" s="175"/>
      <c r="LMC9" s="175"/>
      <c r="LMD9" s="175"/>
      <c r="LME9" s="175"/>
      <c r="LMF9" s="175"/>
      <c r="LMG9" s="175"/>
      <c r="LMH9" s="175"/>
      <c r="LMI9" s="175"/>
      <c r="LMJ9" s="175"/>
      <c r="LMK9" s="175"/>
      <c r="LML9" s="175"/>
      <c r="LMM9" s="175"/>
      <c r="LMN9" s="175"/>
      <c r="LMO9" s="175"/>
      <c r="LMP9" s="175"/>
      <c r="LMQ9" s="175"/>
      <c r="LMR9" s="175"/>
      <c r="LMS9" s="175"/>
      <c r="LMT9" s="175"/>
      <c r="LMU9" s="175"/>
      <c r="LMV9" s="175"/>
      <c r="LMW9" s="175"/>
      <c r="LMX9" s="175"/>
      <c r="LMY9" s="175"/>
      <c r="LMZ9" s="175"/>
      <c r="LNA9" s="175"/>
      <c r="LNB9" s="175"/>
      <c r="LNC9" s="175"/>
      <c r="LND9" s="175"/>
      <c r="LNE9" s="175"/>
      <c r="LNF9" s="175"/>
      <c r="LNG9" s="175"/>
      <c r="LNH9" s="175"/>
      <c r="LNI9" s="175"/>
      <c r="LNJ9" s="175"/>
      <c r="LNK9" s="175"/>
      <c r="LNL9" s="175"/>
      <c r="LNM9" s="175"/>
      <c r="LNN9" s="175"/>
      <c r="LNO9" s="175"/>
      <c r="LNP9" s="175"/>
      <c r="LNQ9" s="175"/>
      <c r="LNR9" s="175"/>
      <c r="LNS9" s="175"/>
      <c r="LNT9" s="175"/>
      <c r="LNU9" s="175"/>
      <c r="LNV9" s="175"/>
      <c r="LNW9" s="175"/>
      <c r="LNX9" s="175"/>
      <c r="LNY9" s="175"/>
      <c r="LNZ9" s="175"/>
      <c r="LOA9" s="175"/>
      <c r="LOB9" s="175"/>
      <c r="LOC9" s="175"/>
      <c r="LOD9" s="175"/>
      <c r="LOE9" s="175"/>
      <c r="LOF9" s="175"/>
      <c r="LOG9" s="175"/>
      <c r="LOH9" s="175"/>
      <c r="LOI9" s="175"/>
      <c r="LOJ9" s="175"/>
      <c r="LOK9" s="175"/>
      <c r="LOL9" s="175"/>
      <c r="LOM9" s="175"/>
      <c r="LON9" s="175"/>
      <c r="LOO9" s="175"/>
      <c r="LOP9" s="175"/>
      <c r="LOQ9" s="175"/>
      <c r="LOR9" s="175"/>
      <c r="LOS9" s="175"/>
      <c r="LOT9" s="175"/>
      <c r="LOU9" s="175"/>
      <c r="LOV9" s="175"/>
      <c r="LOW9" s="175"/>
      <c r="LOX9" s="175"/>
      <c r="LOY9" s="175"/>
      <c r="LOZ9" s="175"/>
      <c r="LPA9" s="175"/>
      <c r="LPB9" s="175"/>
      <c r="LPC9" s="175"/>
      <c r="LPD9" s="175"/>
      <c r="LPE9" s="175"/>
      <c r="LPF9" s="175"/>
      <c r="LPG9" s="175"/>
      <c r="LPH9" s="175"/>
      <c r="LPI9" s="175"/>
      <c r="LPJ9" s="175"/>
      <c r="LPK9" s="175"/>
      <c r="LPL9" s="175"/>
      <c r="LPM9" s="175"/>
      <c r="LPN9" s="175"/>
      <c r="LPO9" s="175"/>
      <c r="LPP9" s="175"/>
      <c r="LPQ9" s="175"/>
      <c r="LPR9" s="175"/>
      <c r="LPS9" s="175"/>
      <c r="LPT9" s="175"/>
      <c r="LPU9" s="175"/>
      <c r="LPV9" s="175"/>
      <c r="LPW9" s="175"/>
      <c r="LPX9" s="175"/>
      <c r="LPY9" s="175"/>
      <c r="LPZ9" s="175"/>
      <c r="LQA9" s="175"/>
      <c r="LQB9" s="175"/>
      <c r="LQC9" s="175"/>
      <c r="LQD9" s="175"/>
      <c r="LQE9" s="175"/>
      <c r="LQF9" s="175"/>
      <c r="LQG9" s="175"/>
      <c r="LQH9" s="175"/>
      <c r="LQI9" s="175"/>
      <c r="LQJ9" s="175"/>
      <c r="LQK9" s="175"/>
      <c r="LQL9" s="175"/>
      <c r="LQM9" s="175"/>
      <c r="LQN9" s="175"/>
      <c r="LQO9" s="175"/>
      <c r="LQP9" s="175"/>
      <c r="LQQ9" s="175"/>
      <c r="LQR9" s="175"/>
      <c r="LQS9" s="175"/>
      <c r="LQT9" s="175"/>
      <c r="LQU9" s="175"/>
      <c r="LQV9" s="175"/>
      <c r="LQW9" s="175"/>
      <c r="LQX9" s="175"/>
      <c r="LQY9" s="175"/>
      <c r="LQZ9" s="175"/>
      <c r="LRA9" s="175"/>
      <c r="LRB9" s="175"/>
      <c r="LRC9" s="175"/>
      <c r="LRD9" s="175"/>
      <c r="LRE9" s="175"/>
      <c r="LRF9" s="175"/>
      <c r="LRG9" s="175"/>
      <c r="LRH9" s="175"/>
      <c r="LRI9" s="175"/>
      <c r="LRJ9" s="175"/>
      <c r="LRK9" s="175"/>
      <c r="LRL9" s="175"/>
      <c r="LRM9" s="175"/>
      <c r="LRN9" s="175"/>
      <c r="LRO9" s="175"/>
      <c r="LRP9" s="175"/>
      <c r="LRQ9" s="175"/>
      <c r="LRR9" s="175"/>
      <c r="LRS9" s="175"/>
      <c r="LRT9" s="175"/>
      <c r="LRU9" s="175"/>
      <c r="LRV9" s="175"/>
      <c r="LRW9" s="175"/>
      <c r="LRX9" s="175"/>
      <c r="LRY9" s="175"/>
      <c r="LRZ9" s="175"/>
      <c r="LSA9" s="175"/>
      <c r="LSB9" s="175"/>
      <c r="LSC9" s="175"/>
      <c r="LSD9" s="175"/>
      <c r="LSE9" s="175"/>
      <c r="LSF9" s="175"/>
      <c r="LSG9" s="175"/>
      <c r="LSH9" s="175"/>
      <c r="LSI9" s="175"/>
      <c r="LSJ9" s="175"/>
      <c r="LSK9" s="175"/>
      <c r="LSL9" s="175"/>
      <c r="LSM9" s="175"/>
      <c r="LSN9" s="175"/>
      <c r="LSO9" s="175"/>
      <c r="LSP9" s="175"/>
      <c r="LSQ9" s="175"/>
      <c r="LSR9" s="175"/>
      <c r="LSS9" s="175"/>
      <c r="LST9" s="175"/>
      <c r="LSU9" s="175"/>
      <c r="LSV9" s="175"/>
      <c r="LSW9" s="175"/>
      <c r="LSX9" s="175"/>
      <c r="LSY9" s="175"/>
      <c r="LSZ9" s="175"/>
      <c r="LTA9" s="175"/>
      <c r="LTB9" s="175"/>
      <c r="LTC9" s="175"/>
      <c r="LTD9" s="175"/>
      <c r="LTE9" s="175"/>
      <c r="LTF9" s="175"/>
      <c r="LTG9" s="175"/>
      <c r="LTH9" s="175"/>
      <c r="LTI9" s="175"/>
      <c r="LTJ9" s="175"/>
      <c r="LTK9" s="175"/>
      <c r="LTL9" s="175"/>
      <c r="LTM9" s="175"/>
      <c r="LTN9" s="175"/>
      <c r="LTO9" s="175"/>
      <c r="LTP9" s="175"/>
      <c r="LTQ9" s="175"/>
      <c r="LTR9" s="175"/>
      <c r="LTS9" s="175"/>
      <c r="LTT9" s="175"/>
      <c r="LTU9" s="175"/>
      <c r="LTV9" s="175"/>
      <c r="LTW9" s="175"/>
      <c r="LTX9" s="175"/>
      <c r="LTY9" s="175"/>
      <c r="LTZ9" s="175"/>
      <c r="LUA9" s="175"/>
      <c r="LUB9" s="175"/>
      <c r="LUC9" s="175"/>
      <c r="LUD9" s="175"/>
      <c r="LUE9" s="175"/>
      <c r="LUF9" s="175"/>
      <c r="LUG9" s="175"/>
      <c r="LUH9" s="175"/>
      <c r="LUI9" s="175"/>
      <c r="LUJ9" s="175"/>
      <c r="LUK9" s="175"/>
      <c r="LUL9" s="175"/>
      <c r="LUM9" s="175"/>
      <c r="LUN9" s="175"/>
      <c r="LUO9" s="175"/>
      <c r="LUP9" s="175"/>
      <c r="LUQ9" s="175"/>
      <c r="LUR9" s="175"/>
      <c r="LUS9" s="175"/>
      <c r="LUT9" s="175"/>
      <c r="LUU9" s="175"/>
      <c r="LUV9" s="175"/>
      <c r="LUW9" s="175"/>
      <c r="LUX9" s="175"/>
      <c r="LUY9" s="175"/>
      <c r="LUZ9" s="175"/>
      <c r="LVA9" s="175"/>
      <c r="LVB9" s="175"/>
      <c r="LVC9" s="175"/>
      <c r="LVD9" s="175"/>
      <c r="LVE9" s="175"/>
      <c r="LVF9" s="175"/>
      <c r="LVG9" s="175"/>
      <c r="LVH9" s="175"/>
      <c r="LVI9" s="175"/>
      <c r="LVJ9" s="175"/>
      <c r="LVK9" s="175"/>
      <c r="LVL9" s="175"/>
      <c r="LVM9" s="175"/>
      <c r="LVN9" s="175"/>
      <c r="LVO9" s="175"/>
      <c r="LVP9" s="175"/>
      <c r="LVQ9" s="175"/>
      <c r="LVR9" s="175"/>
      <c r="LVS9" s="175"/>
      <c r="LVT9" s="175"/>
      <c r="LVU9" s="175"/>
      <c r="LVV9" s="175"/>
      <c r="LVW9" s="175"/>
      <c r="LVX9" s="175"/>
      <c r="LVY9" s="175"/>
      <c r="LVZ9" s="175"/>
      <c r="LWA9" s="175"/>
      <c r="LWB9" s="175"/>
      <c r="LWC9" s="175"/>
      <c r="LWD9" s="175"/>
      <c r="LWE9" s="175"/>
      <c r="LWF9" s="175"/>
      <c r="LWG9" s="175"/>
      <c r="LWH9" s="175"/>
      <c r="LWI9" s="175"/>
      <c r="LWJ9" s="175"/>
      <c r="LWK9" s="175"/>
      <c r="LWL9" s="175"/>
      <c r="LWM9" s="175"/>
      <c r="LWN9" s="175"/>
      <c r="LWO9" s="175"/>
      <c r="LWP9" s="175"/>
      <c r="LWQ9" s="175"/>
      <c r="LWR9" s="175"/>
      <c r="LWS9" s="175"/>
      <c r="LWT9" s="175"/>
      <c r="LWU9" s="175"/>
      <c r="LWV9" s="175"/>
      <c r="LWW9" s="175"/>
      <c r="LWX9" s="175"/>
      <c r="LWY9" s="175"/>
      <c r="LWZ9" s="175"/>
      <c r="LXA9" s="175"/>
      <c r="LXB9" s="175"/>
      <c r="LXC9" s="175"/>
      <c r="LXD9" s="175"/>
      <c r="LXE9" s="175"/>
      <c r="LXF9" s="175"/>
      <c r="LXG9" s="175"/>
      <c r="LXH9" s="175"/>
      <c r="LXI9" s="175"/>
      <c r="LXJ9" s="175"/>
      <c r="LXK9" s="175"/>
      <c r="LXL9" s="175"/>
      <c r="LXM9" s="175"/>
      <c r="LXN9" s="175"/>
      <c r="LXO9" s="175"/>
      <c r="LXP9" s="175"/>
      <c r="LXQ9" s="175"/>
      <c r="LXR9" s="175"/>
      <c r="LXS9" s="175"/>
      <c r="LXT9" s="175"/>
      <c r="LXU9" s="175"/>
      <c r="LXV9" s="175"/>
      <c r="LXW9" s="175"/>
      <c r="LXX9" s="175"/>
      <c r="LXY9" s="175"/>
      <c r="LXZ9" s="175"/>
      <c r="LYA9" s="175"/>
      <c r="LYB9" s="175"/>
      <c r="LYC9" s="175"/>
      <c r="LYD9" s="175"/>
      <c r="LYE9" s="175"/>
      <c r="LYF9" s="175"/>
      <c r="LYG9" s="175"/>
      <c r="LYH9" s="175"/>
      <c r="LYI9" s="175"/>
      <c r="LYJ9" s="175"/>
      <c r="LYK9" s="175"/>
      <c r="LYL9" s="175"/>
      <c r="LYM9" s="175"/>
      <c r="LYN9" s="175"/>
      <c r="LYO9" s="175"/>
      <c r="LYP9" s="175"/>
      <c r="LYQ9" s="175"/>
      <c r="LYR9" s="175"/>
      <c r="LYS9" s="175"/>
      <c r="LYT9" s="175"/>
      <c r="LYU9" s="175"/>
      <c r="LYV9" s="175"/>
      <c r="LYW9" s="175"/>
      <c r="LYX9" s="175"/>
      <c r="LYY9" s="175"/>
      <c r="LYZ9" s="175"/>
      <c r="LZA9" s="175"/>
      <c r="LZB9" s="175"/>
      <c r="LZC9" s="175"/>
      <c r="LZD9" s="175"/>
      <c r="LZE9" s="175"/>
      <c r="LZF9" s="175"/>
      <c r="LZG9" s="175"/>
      <c r="LZH9" s="175"/>
      <c r="LZI9" s="175"/>
      <c r="LZJ9" s="175"/>
      <c r="LZK9" s="175"/>
      <c r="LZL9" s="175"/>
      <c r="LZM9" s="175"/>
      <c r="LZN9" s="175"/>
      <c r="LZO9" s="175"/>
      <c r="LZP9" s="175"/>
      <c r="LZQ9" s="175"/>
      <c r="LZR9" s="175"/>
      <c r="LZS9" s="175"/>
      <c r="LZT9" s="175"/>
      <c r="LZU9" s="175"/>
      <c r="LZV9" s="175"/>
      <c r="LZW9" s="175"/>
      <c r="LZX9" s="175"/>
      <c r="LZY9" s="175"/>
      <c r="LZZ9" s="175"/>
      <c r="MAA9" s="175"/>
      <c r="MAB9" s="175"/>
      <c r="MAC9" s="175"/>
      <c r="MAD9" s="175"/>
      <c r="MAE9" s="175"/>
      <c r="MAF9" s="175"/>
      <c r="MAG9" s="175"/>
      <c r="MAH9" s="175"/>
      <c r="MAI9" s="175"/>
      <c r="MAJ9" s="175"/>
      <c r="MAK9" s="175"/>
      <c r="MAL9" s="175"/>
      <c r="MAM9" s="175"/>
      <c r="MAN9" s="175"/>
      <c r="MAO9" s="175"/>
      <c r="MAP9" s="175"/>
      <c r="MAQ9" s="175"/>
      <c r="MAR9" s="175"/>
      <c r="MAS9" s="175"/>
      <c r="MAT9" s="175"/>
      <c r="MAU9" s="175"/>
      <c r="MAV9" s="175"/>
      <c r="MAW9" s="175"/>
      <c r="MAX9" s="175"/>
      <c r="MAY9" s="175"/>
      <c r="MAZ9" s="175"/>
      <c r="MBA9" s="175"/>
      <c r="MBB9" s="175"/>
      <c r="MBC9" s="175"/>
      <c r="MBD9" s="175"/>
      <c r="MBE9" s="175"/>
      <c r="MBF9" s="175"/>
      <c r="MBG9" s="175"/>
      <c r="MBH9" s="175"/>
      <c r="MBI9" s="175"/>
      <c r="MBJ9" s="175"/>
      <c r="MBK9" s="175"/>
      <c r="MBL9" s="175"/>
      <c r="MBM9" s="175"/>
      <c r="MBN9" s="175"/>
      <c r="MBO9" s="175"/>
      <c r="MBP9" s="175"/>
      <c r="MBQ9" s="175"/>
      <c r="MBR9" s="175"/>
      <c r="MBS9" s="175"/>
      <c r="MBT9" s="175"/>
      <c r="MBU9" s="175"/>
      <c r="MBV9" s="175"/>
      <c r="MBW9" s="175"/>
      <c r="MBX9" s="175"/>
      <c r="MBY9" s="175"/>
      <c r="MBZ9" s="175"/>
      <c r="MCA9" s="175"/>
      <c r="MCB9" s="175"/>
      <c r="MCC9" s="175"/>
      <c r="MCD9" s="175"/>
      <c r="MCE9" s="175"/>
      <c r="MCF9" s="175"/>
      <c r="MCG9" s="175"/>
      <c r="MCH9" s="175"/>
      <c r="MCI9" s="175"/>
      <c r="MCJ9" s="175"/>
      <c r="MCK9" s="175"/>
      <c r="MCL9" s="175"/>
      <c r="MCM9" s="175"/>
      <c r="MCN9" s="175"/>
      <c r="MCO9" s="175"/>
      <c r="MCP9" s="175"/>
      <c r="MCQ9" s="175"/>
      <c r="MCR9" s="175"/>
      <c r="MCS9" s="175"/>
      <c r="MCT9" s="175"/>
      <c r="MCU9" s="175"/>
      <c r="MCV9" s="175"/>
      <c r="MCW9" s="175"/>
      <c r="MCX9" s="175"/>
      <c r="MCY9" s="175"/>
      <c r="MCZ9" s="175"/>
      <c r="MDA9" s="175"/>
      <c r="MDB9" s="175"/>
      <c r="MDC9" s="175"/>
      <c r="MDD9" s="175"/>
      <c r="MDE9" s="175"/>
      <c r="MDF9" s="175"/>
      <c r="MDG9" s="175"/>
      <c r="MDH9" s="175"/>
      <c r="MDI9" s="175"/>
      <c r="MDJ9" s="175"/>
      <c r="MDK9" s="175"/>
      <c r="MDL9" s="175"/>
      <c r="MDM9" s="175"/>
      <c r="MDN9" s="175"/>
      <c r="MDO9" s="175"/>
      <c r="MDP9" s="175"/>
      <c r="MDQ9" s="175"/>
      <c r="MDR9" s="175"/>
      <c r="MDS9" s="175"/>
      <c r="MDT9" s="175"/>
      <c r="MDU9" s="175"/>
      <c r="MDV9" s="175"/>
      <c r="MDW9" s="175"/>
      <c r="MDX9" s="175"/>
      <c r="MDY9" s="175"/>
      <c r="MDZ9" s="175"/>
      <c r="MEA9" s="175"/>
      <c r="MEB9" s="175"/>
      <c r="MEC9" s="175"/>
      <c r="MED9" s="175"/>
      <c r="MEE9" s="175"/>
      <c r="MEF9" s="175"/>
      <c r="MEG9" s="175"/>
      <c r="MEH9" s="175"/>
      <c r="MEI9" s="175"/>
      <c r="MEJ9" s="175"/>
      <c r="MEK9" s="175"/>
      <c r="MEL9" s="175"/>
      <c r="MEM9" s="175"/>
      <c r="MEN9" s="175"/>
      <c r="MEO9" s="175"/>
      <c r="MEP9" s="175"/>
      <c r="MEQ9" s="175"/>
      <c r="MER9" s="175"/>
      <c r="MES9" s="175"/>
      <c r="MET9" s="175"/>
      <c r="MEU9" s="175"/>
      <c r="MEV9" s="175"/>
      <c r="MEW9" s="175"/>
      <c r="MEX9" s="175"/>
      <c r="MEY9" s="175"/>
      <c r="MEZ9" s="175"/>
      <c r="MFA9" s="175"/>
      <c r="MFB9" s="175"/>
      <c r="MFC9" s="175"/>
      <c r="MFD9" s="175"/>
      <c r="MFE9" s="175"/>
      <c r="MFF9" s="175"/>
      <c r="MFG9" s="175"/>
      <c r="MFH9" s="175"/>
      <c r="MFI9" s="175"/>
      <c r="MFJ9" s="175"/>
      <c r="MFK9" s="175"/>
      <c r="MFL9" s="175"/>
      <c r="MFM9" s="175"/>
      <c r="MFN9" s="175"/>
      <c r="MFO9" s="175"/>
      <c r="MFP9" s="175"/>
      <c r="MFQ9" s="175"/>
      <c r="MFR9" s="175"/>
      <c r="MFS9" s="175"/>
      <c r="MFT9" s="175"/>
      <c r="MFU9" s="175"/>
      <c r="MFV9" s="175"/>
      <c r="MFW9" s="175"/>
      <c r="MFX9" s="175"/>
      <c r="MFY9" s="175"/>
      <c r="MFZ9" s="175"/>
      <c r="MGA9" s="175"/>
      <c r="MGB9" s="175"/>
      <c r="MGC9" s="175"/>
      <c r="MGD9" s="175"/>
      <c r="MGE9" s="175"/>
      <c r="MGF9" s="175"/>
      <c r="MGG9" s="175"/>
      <c r="MGH9" s="175"/>
      <c r="MGI9" s="175"/>
      <c r="MGJ9" s="175"/>
      <c r="MGK9" s="175"/>
      <c r="MGL9" s="175"/>
      <c r="MGM9" s="175"/>
      <c r="MGN9" s="175"/>
      <c r="MGO9" s="175"/>
      <c r="MGP9" s="175"/>
      <c r="MGQ9" s="175"/>
      <c r="MGR9" s="175"/>
      <c r="MGS9" s="175"/>
      <c r="MGT9" s="175"/>
      <c r="MGU9" s="175"/>
      <c r="MGV9" s="175"/>
      <c r="MGW9" s="175"/>
      <c r="MGX9" s="175"/>
      <c r="MGY9" s="175"/>
      <c r="MGZ9" s="175"/>
      <c r="MHA9" s="175"/>
      <c r="MHB9" s="175"/>
      <c r="MHC9" s="175"/>
      <c r="MHD9" s="175"/>
      <c r="MHE9" s="175"/>
      <c r="MHF9" s="175"/>
      <c r="MHG9" s="175"/>
      <c r="MHH9" s="175"/>
      <c r="MHI9" s="175"/>
      <c r="MHJ9" s="175"/>
      <c r="MHK9" s="175"/>
      <c r="MHL9" s="175"/>
      <c r="MHM9" s="175"/>
      <c r="MHN9" s="175"/>
      <c r="MHO9" s="175"/>
      <c r="MHP9" s="175"/>
      <c r="MHQ9" s="175"/>
      <c r="MHR9" s="175"/>
      <c r="MHS9" s="175"/>
      <c r="MHT9" s="175"/>
      <c r="MHU9" s="175"/>
      <c r="MHV9" s="175"/>
      <c r="MHW9" s="175"/>
      <c r="MHX9" s="175"/>
      <c r="MHY9" s="175"/>
      <c r="MHZ9" s="175"/>
      <c r="MIA9" s="175"/>
      <c r="MIB9" s="175"/>
      <c r="MIC9" s="175"/>
      <c r="MID9" s="175"/>
      <c r="MIE9" s="175"/>
      <c r="MIF9" s="175"/>
      <c r="MIG9" s="175"/>
      <c r="MIH9" s="175"/>
      <c r="MII9" s="175"/>
      <c r="MIJ9" s="175"/>
      <c r="MIK9" s="175"/>
      <c r="MIL9" s="175"/>
      <c r="MIM9" s="175"/>
      <c r="MIN9" s="175"/>
      <c r="MIO9" s="175"/>
      <c r="MIP9" s="175"/>
      <c r="MIQ9" s="175"/>
      <c r="MIR9" s="175"/>
      <c r="MIS9" s="175"/>
      <c r="MIT9" s="175"/>
      <c r="MIU9" s="175"/>
      <c r="MIV9" s="175"/>
      <c r="MIW9" s="175"/>
      <c r="MIX9" s="175"/>
      <c r="MIY9" s="175"/>
      <c r="MIZ9" s="175"/>
      <c r="MJA9" s="175"/>
      <c r="MJB9" s="175"/>
      <c r="MJC9" s="175"/>
      <c r="MJD9" s="175"/>
      <c r="MJE9" s="175"/>
      <c r="MJF9" s="175"/>
      <c r="MJG9" s="175"/>
      <c r="MJH9" s="175"/>
      <c r="MJI9" s="175"/>
      <c r="MJJ9" s="175"/>
      <c r="MJK9" s="175"/>
      <c r="MJL9" s="175"/>
      <c r="MJM9" s="175"/>
      <c r="MJN9" s="175"/>
      <c r="MJO9" s="175"/>
      <c r="MJP9" s="175"/>
      <c r="MJQ9" s="175"/>
      <c r="MJR9" s="175"/>
      <c r="MJS9" s="175"/>
      <c r="MJT9" s="175"/>
      <c r="MJU9" s="175"/>
      <c r="MJV9" s="175"/>
      <c r="MJW9" s="175"/>
      <c r="MJX9" s="175"/>
      <c r="MJY9" s="175"/>
      <c r="MJZ9" s="175"/>
      <c r="MKA9" s="175"/>
      <c r="MKB9" s="175"/>
      <c r="MKC9" s="175"/>
      <c r="MKD9" s="175"/>
      <c r="MKE9" s="175"/>
      <c r="MKF9" s="175"/>
      <c r="MKG9" s="175"/>
      <c r="MKH9" s="175"/>
      <c r="MKI9" s="175"/>
      <c r="MKJ9" s="175"/>
      <c r="MKK9" s="175"/>
      <c r="MKL9" s="175"/>
      <c r="MKM9" s="175"/>
      <c r="MKN9" s="175"/>
      <c r="MKO9" s="175"/>
      <c r="MKP9" s="175"/>
      <c r="MKQ9" s="175"/>
      <c r="MKR9" s="175"/>
      <c r="MKS9" s="175"/>
      <c r="MKT9" s="175"/>
      <c r="MKU9" s="175"/>
      <c r="MKV9" s="175"/>
      <c r="MKW9" s="175"/>
      <c r="MKX9" s="175"/>
      <c r="MKY9" s="175"/>
      <c r="MKZ9" s="175"/>
      <c r="MLA9" s="175"/>
      <c r="MLB9" s="175"/>
      <c r="MLC9" s="175"/>
      <c r="MLD9" s="175"/>
      <c r="MLE9" s="175"/>
      <c r="MLF9" s="175"/>
      <c r="MLG9" s="175"/>
      <c r="MLH9" s="175"/>
      <c r="MLI9" s="175"/>
      <c r="MLJ9" s="175"/>
      <c r="MLK9" s="175"/>
      <c r="MLL9" s="175"/>
      <c r="MLM9" s="175"/>
      <c r="MLN9" s="175"/>
      <c r="MLO9" s="175"/>
      <c r="MLP9" s="175"/>
      <c r="MLQ9" s="175"/>
      <c r="MLR9" s="175"/>
      <c r="MLS9" s="175"/>
      <c r="MLT9" s="175"/>
      <c r="MLU9" s="175"/>
      <c r="MLV9" s="175"/>
      <c r="MLW9" s="175"/>
      <c r="MLX9" s="175"/>
      <c r="MLY9" s="175"/>
      <c r="MLZ9" s="175"/>
      <c r="MMA9" s="175"/>
      <c r="MMB9" s="175"/>
      <c r="MMC9" s="175"/>
      <c r="MMD9" s="175"/>
      <c r="MME9" s="175"/>
      <c r="MMF9" s="175"/>
      <c r="MMG9" s="175"/>
      <c r="MMH9" s="175"/>
      <c r="MMI9" s="175"/>
      <c r="MMJ9" s="175"/>
      <c r="MMK9" s="175"/>
      <c r="MML9" s="175"/>
      <c r="MMM9" s="175"/>
      <c r="MMN9" s="175"/>
      <c r="MMO9" s="175"/>
      <c r="MMP9" s="175"/>
      <c r="MMQ9" s="175"/>
      <c r="MMR9" s="175"/>
      <c r="MMS9" s="175"/>
      <c r="MMT9" s="175"/>
      <c r="MMU9" s="175"/>
      <c r="MMV9" s="175"/>
      <c r="MMW9" s="175"/>
      <c r="MMX9" s="175"/>
      <c r="MMY9" s="175"/>
      <c r="MMZ9" s="175"/>
      <c r="MNA9" s="175"/>
      <c r="MNB9" s="175"/>
      <c r="MNC9" s="175"/>
      <c r="MND9" s="175"/>
      <c r="MNE9" s="175"/>
      <c r="MNF9" s="175"/>
      <c r="MNG9" s="175"/>
      <c r="MNH9" s="175"/>
      <c r="MNI9" s="175"/>
      <c r="MNJ9" s="175"/>
      <c r="MNK9" s="175"/>
      <c r="MNL9" s="175"/>
      <c r="MNM9" s="175"/>
      <c r="MNN9" s="175"/>
      <c r="MNO9" s="175"/>
      <c r="MNP9" s="175"/>
      <c r="MNQ9" s="175"/>
      <c r="MNR9" s="175"/>
      <c r="MNS9" s="175"/>
      <c r="MNT9" s="175"/>
      <c r="MNU9" s="175"/>
      <c r="MNV9" s="175"/>
      <c r="MNW9" s="175"/>
      <c r="MNX9" s="175"/>
      <c r="MNY9" s="175"/>
      <c r="MNZ9" s="175"/>
      <c r="MOA9" s="175"/>
      <c r="MOB9" s="175"/>
      <c r="MOC9" s="175"/>
      <c r="MOD9" s="175"/>
      <c r="MOE9" s="175"/>
      <c r="MOF9" s="175"/>
      <c r="MOG9" s="175"/>
      <c r="MOH9" s="175"/>
      <c r="MOI9" s="175"/>
      <c r="MOJ9" s="175"/>
      <c r="MOK9" s="175"/>
      <c r="MOL9" s="175"/>
      <c r="MOM9" s="175"/>
      <c r="MON9" s="175"/>
      <c r="MOO9" s="175"/>
      <c r="MOP9" s="175"/>
      <c r="MOQ9" s="175"/>
      <c r="MOR9" s="175"/>
      <c r="MOS9" s="175"/>
      <c r="MOT9" s="175"/>
      <c r="MOU9" s="175"/>
      <c r="MOV9" s="175"/>
      <c r="MOW9" s="175"/>
      <c r="MOX9" s="175"/>
      <c r="MOY9" s="175"/>
      <c r="MOZ9" s="175"/>
      <c r="MPA9" s="175"/>
      <c r="MPB9" s="175"/>
      <c r="MPC9" s="175"/>
      <c r="MPD9" s="175"/>
      <c r="MPE9" s="175"/>
      <c r="MPF9" s="175"/>
      <c r="MPG9" s="175"/>
      <c r="MPH9" s="175"/>
      <c r="MPI9" s="175"/>
      <c r="MPJ9" s="175"/>
      <c r="MPK9" s="175"/>
      <c r="MPL9" s="175"/>
      <c r="MPM9" s="175"/>
      <c r="MPN9" s="175"/>
      <c r="MPO9" s="175"/>
      <c r="MPP9" s="175"/>
      <c r="MPQ9" s="175"/>
      <c r="MPR9" s="175"/>
      <c r="MPS9" s="175"/>
      <c r="MPT9" s="175"/>
      <c r="MPU9" s="175"/>
      <c r="MPV9" s="175"/>
      <c r="MPW9" s="175"/>
      <c r="MPX9" s="175"/>
      <c r="MPY9" s="175"/>
      <c r="MPZ9" s="175"/>
      <c r="MQA9" s="175"/>
      <c r="MQB9" s="175"/>
      <c r="MQC9" s="175"/>
      <c r="MQD9" s="175"/>
      <c r="MQE9" s="175"/>
      <c r="MQF9" s="175"/>
      <c r="MQG9" s="175"/>
      <c r="MQH9" s="175"/>
      <c r="MQI9" s="175"/>
      <c r="MQJ9" s="175"/>
      <c r="MQK9" s="175"/>
      <c r="MQL9" s="175"/>
      <c r="MQM9" s="175"/>
      <c r="MQN9" s="175"/>
      <c r="MQO9" s="175"/>
      <c r="MQP9" s="175"/>
      <c r="MQQ9" s="175"/>
      <c r="MQR9" s="175"/>
      <c r="MQS9" s="175"/>
      <c r="MQT9" s="175"/>
      <c r="MQU9" s="175"/>
      <c r="MQV9" s="175"/>
      <c r="MQW9" s="175"/>
      <c r="MQX9" s="175"/>
      <c r="MQY9" s="175"/>
      <c r="MQZ9" s="175"/>
      <c r="MRA9" s="175"/>
      <c r="MRB9" s="175"/>
      <c r="MRC9" s="175"/>
      <c r="MRD9" s="175"/>
      <c r="MRE9" s="175"/>
      <c r="MRF9" s="175"/>
      <c r="MRG9" s="175"/>
      <c r="MRH9" s="175"/>
      <c r="MRI9" s="175"/>
      <c r="MRJ9" s="175"/>
      <c r="MRK9" s="175"/>
      <c r="MRL9" s="175"/>
      <c r="MRM9" s="175"/>
      <c r="MRN9" s="175"/>
      <c r="MRO9" s="175"/>
      <c r="MRP9" s="175"/>
      <c r="MRQ9" s="175"/>
      <c r="MRR9" s="175"/>
      <c r="MRS9" s="175"/>
      <c r="MRT9" s="175"/>
      <c r="MRU9" s="175"/>
      <c r="MRV9" s="175"/>
      <c r="MRW9" s="175"/>
      <c r="MRX9" s="175"/>
      <c r="MRY9" s="175"/>
      <c r="MRZ9" s="175"/>
      <c r="MSA9" s="175"/>
      <c r="MSB9" s="175"/>
      <c r="MSC9" s="175"/>
      <c r="MSD9" s="175"/>
      <c r="MSE9" s="175"/>
      <c r="MSF9" s="175"/>
      <c r="MSG9" s="175"/>
      <c r="MSH9" s="175"/>
      <c r="MSI9" s="175"/>
      <c r="MSJ9" s="175"/>
      <c r="MSK9" s="175"/>
      <c r="MSL9" s="175"/>
      <c r="MSM9" s="175"/>
      <c r="MSN9" s="175"/>
      <c r="MSO9" s="175"/>
      <c r="MSP9" s="175"/>
      <c r="MSQ9" s="175"/>
      <c r="MSR9" s="175"/>
      <c r="MSS9" s="175"/>
      <c r="MST9" s="175"/>
      <c r="MSU9" s="175"/>
      <c r="MSV9" s="175"/>
      <c r="MSW9" s="175"/>
      <c r="MSX9" s="175"/>
      <c r="MSY9" s="175"/>
      <c r="MSZ9" s="175"/>
      <c r="MTA9" s="175"/>
      <c r="MTB9" s="175"/>
      <c r="MTC9" s="175"/>
      <c r="MTD9" s="175"/>
      <c r="MTE9" s="175"/>
      <c r="MTF9" s="175"/>
      <c r="MTG9" s="175"/>
      <c r="MTH9" s="175"/>
      <c r="MTI9" s="175"/>
      <c r="MTJ9" s="175"/>
      <c r="MTK9" s="175"/>
      <c r="MTL9" s="175"/>
      <c r="MTM9" s="175"/>
      <c r="MTN9" s="175"/>
      <c r="MTO9" s="175"/>
      <c r="MTP9" s="175"/>
      <c r="MTQ9" s="175"/>
      <c r="MTR9" s="175"/>
      <c r="MTS9" s="175"/>
      <c r="MTT9" s="175"/>
      <c r="MTU9" s="175"/>
      <c r="MTV9" s="175"/>
      <c r="MTW9" s="175"/>
      <c r="MTX9" s="175"/>
      <c r="MTY9" s="175"/>
      <c r="MTZ9" s="175"/>
      <c r="MUA9" s="175"/>
      <c r="MUB9" s="175"/>
      <c r="MUC9" s="175"/>
      <c r="MUD9" s="175"/>
      <c r="MUE9" s="175"/>
      <c r="MUF9" s="175"/>
      <c r="MUG9" s="175"/>
      <c r="MUH9" s="175"/>
      <c r="MUI9" s="175"/>
      <c r="MUJ9" s="175"/>
      <c r="MUK9" s="175"/>
      <c r="MUL9" s="175"/>
      <c r="MUM9" s="175"/>
      <c r="MUN9" s="175"/>
      <c r="MUO9" s="175"/>
      <c r="MUP9" s="175"/>
      <c r="MUQ9" s="175"/>
      <c r="MUR9" s="175"/>
      <c r="MUS9" s="175"/>
      <c r="MUT9" s="175"/>
      <c r="MUU9" s="175"/>
      <c r="MUV9" s="175"/>
      <c r="MUW9" s="175"/>
      <c r="MUX9" s="175"/>
      <c r="MUY9" s="175"/>
      <c r="MUZ9" s="175"/>
      <c r="MVA9" s="175"/>
      <c r="MVB9" s="175"/>
      <c r="MVC9" s="175"/>
      <c r="MVD9" s="175"/>
      <c r="MVE9" s="175"/>
      <c r="MVF9" s="175"/>
      <c r="MVG9" s="175"/>
      <c r="MVH9" s="175"/>
      <c r="MVI9" s="175"/>
      <c r="MVJ9" s="175"/>
      <c r="MVK9" s="175"/>
      <c r="MVL9" s="175"/>
      <c r="MVM9" s="175"/>
      <c r="MVN9" s="175"/>
      <c r="MVO9" s="175"/>
      <c r="MVP9" s="175"/>
      <c r="MVQ9" s="175"/>
      <c r="MVR9" s="175"/>
      <c r="MVS9" s="175"/>
      <c r="MVT9" s="175"/>
      <c r="MVU9" s="175"/>
      <c r="MVV9" s="175"/>
      <c r="MVW9" s="175"/>
      <c r="MVX9" s="175"/>
      <c r="MVY9" s="175"/>
      <c r="MVZ9" s="175"/>
      <c r="MWA9" s="175"/>
      <c r="MWB9" s="175"/>
      <c r="MWC9" s="175"/>
      <c r="MWD9" s="175"/>
      <c r="MWE9" s="175"/>
      <c r="MWF9" s="175"/>
      <c r="MWG9" s="175"/>
      <c r="MWH9" s="175"/>
      <c r="MWI9" s="175"/>
      <c r="MWJ9" s="175"/>
      <c r="MWK9" s="175"/>
      <c r="MWL9" s="175"/>
      <c r="MWM9" s="175"/>
      <c r="MWN9" s="175"/>
      <c r="MWO9" s="175"/>
      <c r="MWP9" s="175"/>
      <c r="MWQ9" s="175"/>
      <c r="MWR9" s="175"/>
      <c r="MWS9" s="175"/>
      <c r="MWT9" s="175"/>
      <c r="MWU9" s="175"/>
      <c r="MWV9" s="175"/>
      <c r="MWW9" s="175"/>
      <c r="MWX9" s="175"/>
      <c r="MWY9" s="175"/>
      <c r="MWZ9" s="175"/>
      <c r="MXA9" s="175"/>
      <c r="MXB9" s="175"/>
      <c r="MXC9" s="175"/>
      <c r="MXD9" s="175"/>
      <c r="MXE9" s="175"/>
      <c r="MXF9" s="175"/>
      <c r="MXG9" s="175"/>
      <c r="MXH9" s="175"/>
      <c r="MXI9" s="175"/>
      <c r="MXJ9" s="175"/>
      <c r="MXK9" s="175"/>
      <c r="MXL9" s="175"/>
      <c r="MXM9" s="175"/>
      <c r="MXN9" s="175"/>
      <c r="MXO9" s="175"/>
      <c r="MXP9" s="175"/>
      <c r="MXQ9" s="175"/>
      <c r="MXR9" s="175"/>
      <c r="MXS9" s="175"/>
      <c r="MXT9" s="175"/>
      <c r="MXU9" s="175"/>
      <c r="MXV9" s="175"/>
      <c r="MXW9" s="175"/>
      <c r="MXX9" s="175"/>
      <c r="MXY9" s="175"/>
      <c r="MXZ9" s="175"/>
      <c r="MYA9" s="175"/>
      <c r="MYB9" s="175"/>
      <c r="MYC9" s="175"/>
      <c r="MYD9" s="175"/>
      <c r="MYE9" s="175"/>
      <c r="MYF9" s="175"/>
      <c r="MYG9" s="175"/>
      <c r="MYH9" s="175"/>
      <c r="MYI9" s="175"/>
      <c r="MYJ9" s="175"/>
      <c r="MYK9" s="175"/>
      <c r="MYL9" s="175"/>
      <c r="MYM9" s="175"/>
      <c r="MYN9" s="175"/>
      <c r="MYO9" s="175"/>
      <c r="MYP9" s="175"/>
      <c r="MYQ9" s="175"/>
      <c r="MYR9" s="175"/>
      <c r="MYS9" s="175"/>
      <c r="MYT9" s="175"/>
      <c r="MYU9" s="175"/>
      <c r="MYV9" s="175"/>
      <c r="MYW9" s="175"/>
      <c r="MYX9" s="175"/>
      <c r="MYY9" s="175"/>
      <c r="MYZ9" s="175"/>
      <c r="MZA9" s="175"/>
      <c r="MZB9" s="175"/>
      <c r="MZC9" s="175"/>
      <c r="MZD9" s="175"/>
      <c r="MZE9" s="175"/>
      <c r="MZF9" s="175"/>
      <c r="MZG9" s="175"/>
      <c r="MZH9" s="175"/>
      <c r="MZI9" s="175"/>
      <c r="MZJ9" s="175"/>
      <c r="MZK9" s="175"/>
      <c r="MZL9" s="175"/>
      <c r="MZM9" s="175"/>
      <c r="MZN9" s="175"/>
      <c r="MZO9" s="175"/>
      <c r="MZP9" s="175"/>
      <c r="MZQ9" s="175"/>
      <c r="MZR9" s="175"/>
      <c r="MZS9" s="175"/>
      <c r="MZT9" s="175"/>
      <c r="MZU9" s="175"/>
      <c r="MZV9" s="175"/>
      <c r="MZW9" s="175"/>
      <c r="MZX9" s="175"/>
      <c r="MZY9" s="175"/>
      <c r="MZZ9" s="175"/>
      <c r="NAA9" s="175"/>
      <c r="NAB9" s="175"/>
      <c r="NAC9" s="175"/>
      <c r="NAD9" s="175"/>
      <c r="NAE9" s="175"/>
      <c r="NAF9" s="175"/>
      <c r="NAG9" s="175"/>
      <c r="NAH9" s="175"/>
      <c r="NAI9" s="175"/>
      <c r="NAJ9" s="175"/>
      <c r="NAK9" s="175"/>
      <c r="NAL9" s="175"/>
      <c r="NAM9" s="175"/>
      <c r="NAN9" s="175"/>
      <c r="NAO9" s="175"/>
      <c r="NAP9" s="175"/>
      <c r="NAQ9" s="175"/>
      <c r="NAR9" s="175"/>
      <c r="NAS9" s="175"/>
      <c r="NAT9" s="175"/>
      <c r="NAU9" s="175"/>
      <c r="NAV9" s="175"/>
      <c r="NAW9" s="175"/>
      <c r="NAX9" s="175"/>
      <c r="NAY9" s="175"/>
      <c r="NAZ9" s="175"/>
      <c r="NBA9" s="175"/>
      <c r="NBB9" s="175"/>
      <c r="NBC9" s="175"/>
      <c r="NBD9" s="175"/>
      <c r="NBE9" s="175"/>
      <c r="NBF9" s="175"/>
      <c r="NBG9" s="175"/>
      <c r="NBH9" s="175"/>
      <c r="NBI9" s="175"/>
      <c r="NBJ9" s="175"/>
      <c r="NBK9" s="175"/>
      <c r="NBL9" s="175"/>
      <c r="NBM9" s="175"/>
      <c r="NBN9" s="175"/>
      <c r="NBO9" s="175"/>
      <c r="NBP9" s="175"/>
      <c r="NBQ9" s="175"/>
      <c r="NBR9" s="175"/>
      <c r="NBS9" s="175"/>
      <c r="NBT9" s="175"/>
      <c r="NBU9" s="175"/>
      <c r="NBV9" s="175"/>
      <c r="NBW9" s="175"/>
      <c r="NBX9" s="175"/>
      <c r="NBY9" s="175"/>
      <c r="NBZ9" s="175"/>
      <c r="NCA9" s="175"/>
      <c r="NCB9" s="175"/>
      <c r="NCC9" s="175"/>
      <c r="NCD9" s="175"/>
      <c r="NCE9" s="175"/>
      <c r="NCF9" s="175"/>
      <c r="NCG9" s="175"/>
      <c r="NCH9" s="175"/>
      <c r="NCI9" s="175"/>
      <c r="NCJ9" s="175"/>
      <c r="NCK9" s="175"/>
      <c r="NCL9" s="175"/>
      <c r="NCM9" s="175"/>
      <c r="NCN9" s="175"/>
      <c r="NCO9" s="175"/>
      <c r="NCP9" s="175"/>
      <c r="NCQ9" s="175"/>
      <c r="NCR9" s="175"/>
      <c r="NCS9" s="175"/>
      <c r="NCT9" s="175"/>
      <c r="NCU9" s="175"/>
      <c r="NCV9" s="175"/>
      <c r="NCW9" s="175"/>
      <c r="NCX9" s="175"/>
      <c r="NCY9" s="175"/>
      <c r="NCZ9" s="175"/>
      <c r="NDA9" s="175"/>
      <c r="NDB9" s="175"/>
      <c r="NDC9" s="175"/>
      <c r="NDD9" s="175"/>
      <c r="NDE9" s="175"/>
      <c r="NDF9" s="175"/>
      <c r="NDG9" s="175"/>
      <c r="NDH9" s="175"/>
      <c r="NDI9" s="175"/>
      <c r="NDJ9" s="175"/>
      <c r="NDK9" s="175"/>
      <c r="NDL9" s="175"/>
      <c r="NDM9" s="175"/>
      <c r="NDN9" s="175"/>
      <c r="NDO9" s="175"/>
      <c r="NDP9" s="175"/>
      <c r="NDQ9" s="175"/>
      <c r="NDR9" s="175"/>
      <c r="NDS9" s="175"/>
      <c r="NDT9" s="175"/>
      <c r="NDU9" s="175"/>
      <c r="NDV9" s="175"/>
      <c r="NDW9" s="175"/>
      <c r="NDX9" s="175"/>
      <c r="NDY9" s="175"/>
      <c r="NDZ9" s="175"/>
      <c r="NEA9" s="175"/>
      <c r="NEB9" s="175"/>
      <c r="NEC9" s="175"/>
      <c r="NED9" s="175"/>
      <c r="NEE9" s="175"/>
      <c r="NEF9" s="175"/>
      <c r="NEG9" s="175"/>
      <c r="NEH9" s="175"/>
      <c r="NEI9" s="175"/>
      <c r="NEJ9" s="175"/>
      <c r="NEK9" s="175"/>
      <c r="NEL9" s="175"/>
      <c r="NEM9" s="175"/>
      <c r="NEN9" s="175"/>
      <c r="NEO9" s="175"/>
      <c r="NEP9" s="175"/>
      <c r="NEQ9" s="175"/>
      <c r="NER9" s="175"/>
      <c r="NES9" s="175"/>
      <c r="NET9" s="175"/>
      <c r="NEU9" s="175"/>
      <c r="NEV9" s="175"/>
      <c r="NEW9" s="175"/>
      <c r="NEX9" s="175"/>
      <c r="NEY9" s="175"/>
      <c r="NEZ9" s="175"/>
      <c r="NFA9" s="175"/>
      <c r="NFB9" s="175"/>
      <c r="NFC9" s="175"/>
      <c r="NFD9" s="175"/>
      <c r="NFE9" s="175"/>
      <c r="NFF9" s="175"/>
      <c r="NFG9" s="175"/>
      <c r="NFH9" s="175"/>
      <c r="NFI9" s="175"/>
      <c r="NFJ9" s="175"/>
      <c r="NFK9" s="175"/>
      <c r="NFL9" s="175"/>
      <c r="NFM9" s="175"/>
      <c r="NFN9" s="175"/>
      <c r="NFO9" s="175"/>
      <c r="NFP9" s="175"/>
      <c r="NFQ9" s="175"/>
      <c r="NFR9" s="175"/>
      <c r="NFS9" s="175"/>
      <c r="NFT9" s="175"/>
      <c r="NFU9" s="175"/>
      <c r="NFV9" s="175"/>
      <c r="NFW9" s="175"/>
      <c r="NFX9" s="175"/>
      <c r="NFY9" s="175"/>
      <c r="NFZ9" s="175"/>
      <c r="NGA9" s="175"/>
      <c r="NGB9" s="175"/>
      <c r="NGC9" s="175"/>
      <c r="NGD9" s="175"/>
      <c r="NGE9" s="175"/>
      <c r="NGF9" s="175"/>
      <c r="NGG9" s="175"/>
      <c r="NGH9" s="175"/>
      <c r="NGI9" s="175"/>
      <c r="NGJ9" s="175"/>
      <c r="NGK9" s="175"/>
      <c r="NGL9" s="175"/>
      <c r="NGM9" s="175"/>
      <c r="NGN9" s="175"/>
      <c r="NGO9" s="175"/>
      <c r="NGP9" s="175"/>
      <c r="NGQ9" s="175"/>
      <c r="NGR9" s="175"/>
      <c r="NGS9" s="175"/>
      <c r="NGT9" s="175"/>
      <c r="NGU9" s="175"/>
      <c r="NGV9" s="175"/>
      <c r="NGW9" s="175"/>
      <c r="NGX9" s="175"/>
      <c r="NGY9" s="175"/>
      <c r="NGZ9" s="175"/>
      <c r="NHA9" s="175"/>
      <c r="NHB9" s="175"/>
      <c r="NHC9" s="175"/>
      <c r="NHD9" s="175"/>
      <c r="NHE9" s="175"/>
      <c r="NHF9" s="175"/>
      <c r="NHG9" s="175"/>
      <c r="NHH9" s="175"/>
      <c r="NHI9" s="175"/>
      <c r="NHJ9" s="175"/>
      <c r="NHK9" s="175"/>
      <c r="NHL9" s="175"/>
      <c r="NHM9" s="175"/>
      <c r="NHN9" s="175"/>
      <c r="NHO9" s="175"/>
      <c r="NHP9" s="175"/>
      <c r="NHQ9" s="175"/>
      <c r="NHR9" s="175"/>
      <c r="NHS9" s="175"/>
      <c r="NHT9" s="175"/>
      <c r="NHU9" s="175"/>
      <c r="NHV9" s="175"/>
      <c r="NHW9" s="175"/>
      <c r="NHX9" s="175"/>
      <c r="NHY9" s="175"/>
      <c r="NHZ9" s="175"/>
      <c r="NIA9" s="175"/>
      <c r="NIB9" s="175"/>
      <c r="NIC9" s="175"/>
      <c r="NID9" s="175"/>
      <c r="NIE9" s="175"/>
      <c r="NIF9" s="175"/>
      <c r="NIG9" s="175"/>
      <c r="NIH9" s="175"/>
      <c r="NII9" s="175"/>
      <c r="NIJ9" s="175"/>
      <c r="NIK9" s="175"/>
      <c r="NIL9" s="175"/>
      <c r="NIM9" s="175"/>
      <c r="NIN9" s="175"/>
      <c r="NIO9" s="175"/>
      <c r="NIP9" s="175"/>
      <c r="NIQ9" s="175"/>
      <c r="NIR9" s="175"/>
      <c r="NIS9" s="175"/>
      <c r="NIT9" s="175"/>
      <c r="NIU9" s="175"/>
      <c r="NIV9" s="175"/>
      <c r="NIW9" s="175"/>
      <c r="NIX9" s="175"/>
      <c r="NIY9" s="175"/>
      <c r="NIZ9" s="175"/>
      <c r="NJA9" s="175"/>
      <c r="NJB9" s="175"/>
      <c r="NJC9" s="175"/>
      <c r="NJD9" s="175"/>
      <c r="NJE9" s="175"/>
      <c r="NJF9" s="175"/>
      <c r="NJG9" s="175"/>
      <c r="NJH9" s="175"/>
      <c r="NJI9" s="175"/>
      <c r="NJJ9" s="175"/>
      <c r="NJK9" s="175"/>
      <c r="NJL9" s="175"/>
      <c r="NJM9" s="175"/>
      <c r="NJN9" s="175"/>
      <c r="NJO9" s="175"/>
      <c r="NJP9" s="175"/>
      <c r="NJQ9" s="175"/>
      <c r="NJR9" s="175"/>
      <c r="NJS9" s="175"/>
      <c r="NJT9" s="175"/>
      <c r="NJU9" s="175"/>
      <c r="NJV9" s="175"/>
      <c r="NJW9" s="175"/>
      <c r="NJX9" s="175"/>
      <c r="NJY9" s="175"/>
      <c r="NJZ9" s="175"/>
      <c r="NKA9" s="175"/>
      <c r="NKB9" s="175"/>
      <c r="NKC9" s="175"/>
      <c r="NKD9" s="175"/>
      <c r="NKE9" s="175"/>
      <c r="NKF9" s="175"/>
      <c r="NKG9" s="175"/>
      <c r="NKH9" s="175"/>
      <c r="NKI9" s="175"/>
      <c r="NKJ9" s="175"/>
      <c r="NKK9" s="175"/>
      <c r="NKL9" s="175"/>
      <c r="NKM9" s="175"/>
      <c r="NKN9" s="175"/>
      <c r="NKO9" s="175"/>
      <c r="NKP9" s="175"/>
      <c r="NKQ9" s="175"/>
      <c r="NKR9" s="175"/>
      <c r="NKS9" s="175"/>
      <c r="NKT9" s="175"/>
      <c r="NKU9" s="175"/>
      <c r="NKV9" s="175"/>
      <c r="NKW9" s="175"/>
      <c r="NKX9" s="175"/>
      <c r="NKY9" s="175"/>
      <c r="NKZ9" s="175"/>
      <c r="NLA9" s="175"/>
      <c r="NLB9" s="175"/>
      <c r="NLC9" s="175"/>
      <c r="NLD9" s="175"/>
      <c r="NLE9" s="175"/>
      <c r="NLF9" s="175"/>
      <c r="NLG9" s="175"/>
      <c r="NLH9" s="175"/>
      <c r="NLI9" s="175"/>
      <c r="NLJ9" s="175"/>
      <c r="NLK9" s="175"/>
      <c r="NLL9" s="175"/>
      <c r="NLM9" s="175"/>
      <c r="NLN9" s="175"/>
      <c r="NLO9" s="175"/>
      <c r="NLP9" s="175"/>
      <c r="NLQ9" s="175"/>
      <c r="NLR9" s="175"/>
      <c r="NLS9" s="175"/>
      <c r="NLT9" s="175"/>
      <c r="NLU9" s="175"/>
      <c r="NLV9" s="175"/>
      <c r="NLW9" s="175"/>
      <c r="NLX9" s="175"/>
      <c r="NLY9" s="175"/>
      <c r="NLZ9" s="175"/>
      <c r="NMA9" s="175"/>
      <c r="NMB9" s="175"/>
      <c r="NMC9" s="175"/>
      <c r="NMD9" s="175"/>
      <c r="NME9" s="175"/>
      <c r="NMF9" s="175"/>
      <c r="NMG9" s="175"/>
      <c r="NMH9" s="175"/>
      <c r="NMI9" s="175"/>
      <c r="NMJ9" s="175"/>
      <c r="NMK9" s="175"/>
      <c r="NML9" s="175"/>
      <c r="NMM9" s="175"/>
      <c r="NMN9" s="175"/>
      <c r="NMO9" s="175"/>
      <c r="NMP9" s="175"/>
      <c r="NMQ9" s="175"/>
      <c r="NMR9" s="175"/>
      <c r="NMS9" s="175"/>
      <c r="NMT9" s="175"/>
      <c r="NMU9" s="175"/>
      <c r="NMV9" s="175"/>
      <c r="NMW9" s="175"/>
      <c r="NMX9" s="175"/>
      <c r="NMY9" s="175"/>
      <c r="NMZ9" s="175"/>
      <c r="NNA9" s="175"/>
      <c r="NNB9" s="175"/>
      <c r="NNC9" s="175"/>
      <c r="NND9" s="175"/>
      <c r="NNE9" s="175"/>
      <c r="NNF9" s="175"/>
      <c r="NNG9" s="175"/>
      <c r="NNH9" s="175"/>
      <c r="NNI9" s="175"/>
      <c r="NNJ9" s="175"/>
      <c r="NNK9" s="175"/>
      <c r="NNL9" s="175"/>
      <c r="NNM9" s="175"/>
      <c r="NNN9" s="175"/>
      <c r="NNO9" s="175"/>
      <c r="NNP9" s="175"/>
      <c r="NNQ9" s="175"/>
      <c r="NNR9" s="175"/>
      <c r="NNS9" s="175"/>
      <c r="NNT9" s="175"/>
      <c r="NNU9" s="175"/>
      <c r="NNV9" s="175"/>
      <c r="NNW9" s="175"/>
      <c r="NNX9" s="175"/>
      <c r="NNY9" s="175"/>
      <c r="NNZ9" s="175"/>
      <c r="NOA9" s="175"/>
      <c r="NOB9" s="175"/>
      <c r="NOC9" s="175"/>
      <c r="NOD9" s="175"/>
      <c r="NOE9" s="175"/>
      <c r="NOF9" s="175"/>
      <c r="NOG9" s="175"/>
      <c r="NOH9" s="175"/>
      <c r="NOI9" s="175"/>
      <c r="NOJ9" s="175"/>
      <c r="NOK9" s="175"/>
      <c r="NOL9" s="175"/>
      <c r="NOM9" s="175"/>
      <c r="NON9" s="175"/>
      <c r="NOO9" s="175"/>
      <c r="NOP9" s="175"/>
      <c r="NOQ9" s="175"/>
      <c r="NOR9" s="175"/>
      <c r="NOS9" s="175"/>
      <c r="NOT9" s="175"/>
      <c r="NOU9" s="175"/>
      <c r="NOV9" s="175"/>
      <c r="NOW9" s="175"/>
      <c r="NOX9" s="175"/>
      <c r="NOY9" s="175"/>
      <c r="NOZ9" s="175"/>
      <c r="NPA9" s="175"/>
      <c r="NPB9" s="175"/>
      <c r="NPC9" s="175"/>
      <c r="NPD9" s="175"/>
      <c r="NPE9" s="175"/>
      <c r="NPF9" s="175"/>
      <c r="NPG9" s="175"/>
      <c r="NPH9" s="175"/>
      <c r="NPI9" s="175"/>
      <c r="NPJ9" s="175"/>
      <c r="NPK9" s="175"/>
      <c r="NPL9" s="175"/>
      <c r="NPM9" s="175"/>
      <c r="NPN9" s="175"/>
      <c r="NPO9" s="175"/>
      <c r="NPP9" s="175"/>
      <c r="NPQ9" s="175"/>
      <c r="NPR9" s="175"/>
      <c r="NPS9" s="175"/>
      <c r="NPT9" s="175"/>
      <c r="NPU9" s="175"/>
      <c r="NPV9" s="175"/>
      <c r="NPW9" s="175"/>
      <c r="NPX9" s="175"/>
      <c r="NPY9" s="175"/>
      <c r="NPZ9" s="175"/>
      <c r="NQA9" s="175"/>
      <c r="NQB9" s="175"/>
      <c r="NQC9" s="175"/>
      <c r="NQD9" s="175"/>
      <c r="NQE9" s="175"/>
      <c r="NQF9" s="175"/>
      <c r="NQG9" s="175"/>
      <c r="NQH9" s="175"/>
      <c r="NQI9" s="175"/>
      <c r="NQJ9" s="175"/>
      <c r="NQK9" s="175"/>
      <c r="NQL9" s="175"/>
      <c r="NQM9" s="175"/>
      <c r="NQN9" s="175"/>
      <c r="NQO9" s="175"/>
      <c r="NQP9" s="175"/>
      <c r="NQQ9" s="175"/>
      <c r="NQR9" s="175"/>
      <c r="NQS9" s="175"/>
      <c r="NQT9" s="175"/>
      <c r="NQU9" s="175"/>
      <c r="NQV9" s="175"/>
      <c r="NQW9" s="175"/>
      <c r="NQX9" s="175"/>
      <c r="NQY9" s="175"/>
      <c r="NQZ9" s="175"/>
      <c r="NRA9" s="175"/>
      <c r="NRB9" s="175"/>
      <c r="NRC9" s="175"/>
      <c r="NRD9" s="175"/>
      <c r="NRE9" s="175"/>
      <c r="NRF9" s="175"/>
      <c r="NRG9" s="175"/>
      <c r="NRH9" s="175"/>
      <c r="NRI9" s="175"/>
      <c r="NRJ9" s="175"/>
      <c r="NRK9" s="175"/>
      <c r="NRL9" s="175"/>
      <c r="NRM9" s="175"/>
      <c r="NRN9" s="175"/>
      <c r="NRO9" s="175"/>
      <c r="NRP9" s="175"/>
      <c r="NRQ9" s="175"/>
      <c r="NRR9" s="175"/>
      <c r="NRS9" s="175"/>
      <c r="NRT9" s="175"/>
      <c r="NRU9" s="175"/>
      <c r="NRV9" s="175"/>
      <c r="NRW9" s="175"/>
      <c r="NRX9" s="175"/>
      <c r="NRY9" s="175"/>
      <c r="NRZ9" s="175"/>
      <c r="NSA9" s="175"/>
      <c r="NSB9" s="175"/>
      <c r="NSC9" s="175"/>
      <c r="NSD9" s="175"/>
      <c r="NSE9" s="175"/>
      <c r="NSF9" s="175"/>
      <c r="NSG9" s="175"/>
      <c r="NSH9" s="175"/>
      <c r="NSI9" s="175"/>
      <c r="NSJ9" s="175"/>
      <c r="NSK9" s="175"/>
      <c r="NSL9" s="175"/>
      <c r="NSM9" s="175"/>
      <c r="NSN9" s="175"/>
      <c r="NSO9" s="175"/>
      <c r="NSP9" s="175"/>
      <c r="NSQ9" s="175"/>
      <c r="NSR9" s="175"/>
      <c r="NSS9" s="175"/>
      <c r="NST9" s="175"/>
      <c r="NSU9" s="175"/>
      <c r="NSV9" s="175"/>
      <c r="NSW9" s="175"/>
      <c r="NSX9" s="175"/>
      <c r="NSY9" s="175"/>
      <c r="NSZ9" s="175"/>
      <c r="NTA9" s="175"/>
      <c r="NTB9" s="175"/>
      <c r="NTC9" s="175"/>
      <c r="NTD9" s="175"/>
      <c r="NTE9" s="175"/>
      <c r="NTF9" s="175"/>
      <c r="NTG9" s="175"/>
      <c r="NTH9" s="175"/>
      <c r="NTI9" s="175"/>
      <c r="NTJ9" s="175"/>
      <c r="NTK9" s="175"/>
      <c r="NTL9" s="175"/>
      <c r="NTM9" s="175"/>
      <c r="NTN9" s="175"/>
      <c r="NTO9" s="175"/>
      <c r="NTP9" s="175"/>
      <c r="NTQ9" s="175"/>
      <c r="NTR9" s="175"/>
      <c r="NTS9" s="175"/>
      <c r="NTT9" s="175"/>
      <c r="NTU9" s="175"/>
      <c r="NTV9" s="175"/>
      <c r="NTW9" s="175"/>
      <c r="NTX9" s="175"/>
      <c r="NTY9" s="175"/>
      <c r="NTZ9" s="175"/>
      <c r="NUA9" s="175"/>
      <c r="NUB9" s="175"/>
      <c r="NUC9" s="175"/>
      <c r="NUD9" s="175"/>
      <c r="NUE9" s="175"/>
      <c r="NUF9" s="175"/>
      <c r="NUG9" s="175"/>
      <c r="NUH9" s="175"/>
      <c r="NUI9" s="175"/>
      <c r="NUJ9" s="175"/>
      <c r="NUK9" s="175"/>
      <c r="NUL9" s="175"/>
      <c r="NUM9" s="175"/>
      <c r="NUN9" s="175"/>
      <c r="NUO9" s="175"/>
      <c r="NUP9" s="175"/>
      <c r="NUQ9" s="175"/>
      <c r="NUR9" s="175"/>
      <c r="NUS9" s="175"/>
      <c r="NUT9" s="175"/>
      <c r="NUU9" s="175"/>
      <c r="NUV9" s="175"/>
      <c r="NUW9" s="175"/>
      <c r="NUX9" s="175"/>
      <c r="NUY9" s="175"/>
      <c r="NUZ9" s="175"/>
      <c r="NVA9" s="175"/>
      <c r="NVB9" s="175"/>
      <c r="NVC9" s="175"/>
      <c r="NVD9" s="175"/>
      <c r="NVE9" s="175"/>
      <c r="NVF9" s="175"/>
      <c r="NVG9" s="175"/>
      <c r="NVH9" s="175"/>
      <c r="NVI9" s="175"/>
      <c r="NVJ9" s="175"/>
      <c r="NVK9" s="175"/>
      <c r="NVL9" s="175"/>
      <c r="NVM9" s="175"/>
      <c r="NVN9" s="175"/>
      <c r="NVO9" s="175"/>
      <c r="NVP9" s="175"/>
      <c r="NVQ9" s="175"/>
      <c r="NVR9" s="175"/>
      <c r="NVS9" s="175"/>
      <c r="NVT9" s="175"/>
      <c r="NVU9" s="175"/>
      <c r="NVV9" s="175"/>
      <c r="NVW9" s="175"/>
      <c r="NVX9" s="175"/>
      <c r="NVY9" s="175"/>
      <c r="NVZ9" s="175"/>
      <c r="NWA9" s="175"/>
      <c r="NWB9" s="175"/>
      <c r="NWC9" s="175"/>
      <c r="NWD9" s="175"/>
      <c r="NWE9" s="175"/>
      <c r="NWF9" s="175"/>
      <c r="NWG9" s="175"/>
      <c r="NWH9" s="175"/>
      <c r="NWI9" s="175"/>
      <c r="NWJ9" s="175"/>
      <c r="NWK9" s="175"/>
      <c r="NWL9" s="175"/>
      <c r="NWM9" s="175"/>
      <c r="NWN9" s="175"/>
      <c r="NWO9" s="175"/>
      <c r="NWP9" s="175"/>
      <c r="NWQ9" s="175"/>
      <c r="NWR9" s="175"/>
      <c r="NWS9" s="175"/>
      <c r="NWT9" s="175"/>
      <c r="NWU9" s="175"/>
      <c r="NWV9" s="175"/>
      <c r="NWW9" s="175"/>
      <c r="NWX9" s="175"/>
      <c r="NWY9" s="175"/>
      <c r="NWZ9" s="175"/>
      <c r="NXA9" s="175"/>
      <c r="NXB9" s="175"/>
      <c r="NXC9" s="175"/>
      <c r="NXD9" s="175"/>
      <c r="NXE9" s="175"/>
      <c r="NXF9" s="175"/>
      <c r="NXG9" s="175"/>
      <c r="NXH9" s="175"/>
      <c r="NXI9" s="175"/>
      <c r="NXJ9" s="175"/>
      <c r="NXK9" s="175"/>
      <c r="NXL9" s="175"/>
      <c r="NXM9" s="175"/>
      <c r="NXN9" s="175"/>
      <c r="NXO9" s="175"/>
      <c r="NXP9" s="175"/>
      <c r="NXQ9" s="175"/>
      <c r="NXR9" s="175"/>
      <c r="NXS9" s="175"/>
      <c r="NXT9" s="175"/>
      <c r="NXU9" s="175"/>
      <c r="NXV9" s="175"/>
      <c r="NXW9" s="175"/>
      <c r="NXX9" s="175"/>
      <c r="NXY9" s="175"/>
      <c r="NXZ9" s="175"/>
      <c r="NYA9" s="175"/>
      <c r="NYB9" s="175"/>
      <c r="NYC9" s="175"/>
      <c r="NYD9" s="175"/>
      <c r="NYE9" s="175"/>
      <c r="NYF9" s="175"/>
      <c r="NYG9" s="175"/>
      <c r="NYH9" s="175"/>
      <c r="NYI9" s="175"/>
      <c r="NYJ9" s="175"/>
      <c r="NYK9" s="175"/>
      <c r="NYL9" s="175"/>
      <c r="NYM9" s="175"/>
      <c r="NYN9" s="175"/>
      <c r="NYO9" s="175"/>
      <c r="NYP9" s="175"/>
      <c r="NYQ9" s="175"/>
      <c r="NYR9" s="175"/>
      <c r="NYS9" s="175"/>
      <c r="NYT9" s="175"/>
      <c r="NYU9" s="175"/>
      <c r="NYV9" s="175"/>
      <c r="NYW9" s="175"/>
      <c r="NYX9" s="175"/>
      <c r="NYY9" s="175"/>
      <c r="NYZ9" s="175"/>
      <c r="NZA9" s="175"/>
      <c r="NZB9" s="175"/>
      <c r="NZC9" s="175"/>
      <c r="NZD9" s="175"/>
      <c r="NZE9" s="175"/>
      <c r="NZF9" s="175"/>
      <c r="NZG9" s="175"/>
      <c r="NZH9" s="175"/>
      <c r="NZI9" s="175"/>
      <c r="NZJ9" s="175"/>
      <c r="NZK9" s="175"/>
      <c r="NZL9" s="175"/>
      <c r="NZM9" s="175"/>
      <c r="NZN9" s="175"/>
      <c r="NZO9" s="175"/>
      <c r="NZP9" s="175"/>
      <c r="NZQ9" s="175"/>
      <c r="NZR9" s="175"/>
      <c r="NZS9" s="175"/>
      <c r="NZT9" s="175"/>
      <c r="NZU9" s="175"/>
      <c r="NZV9" s="175"/>
      <c r="NZW9" s="175"/>
      <c r="NZX9" s="175"/>
      <c r="NZY9" s="175"/>
      <c r="NZZ9" s="175"/>
      <c r="OAA9" s="175"/>
      <c r="OAB9" s="175"/>
      <c r="OAC9" s="175"/>
      <c r="OAD9" s="175"/>
      <c r="OAE9" s="175"/>
      <c r="OAF9" s="175"/>
      <c r="OAG9" s="175"/>
      <c r="OAH9" s="175"/>
      <c r="OAI9" s="175"/>
      <c r="OAJ9" s="175"/>
      <c r="OAK9" s="175"/>
      <c r="OAL9" s="175"/>
      <c r="OAM9" s="175"/>
      <c r="OAN9" s="175"/>
      <c r="OAO9" s="175"/>
      <c r="OAP9" s="175"/>
      <c r="OAQ9" s="175"/>
      <c r="OAR9" s="175"/>
      <c r="OAS9" s="175"/>
      <c r="OAT9" s="175"/>
      <c r="OAU9" s="175"/>
      <c r="OAV9" s="175"/>
      <c r="OAW9" s="175"/>
      <c r="OAX9" s="175"/>
      <c r="OAY9" s="175"/>
      <c r="OAZ9" s="175"/>
      <c r="OBA9" s="175"/>
      <c r="OBB9" s="175"/>
      <c r="OBC9" s="175"/>
      <c r="OBD9" s="175"/>
      <c r="OBE9" s="175"/>
      <c r="OBF9" s="175"/>
      <c r="OBG9" s="175"/>
      <c r="OBH9" s="175"/>
      <c r="OBI9" s="175"/>
      <c r="OBJ9" s="175"/>
      <c r="OBK9" s="175"/>
      <c r="OBL9" s="175"/>
      <c r="OBM9" s="175"/>
      <c r="OBN9" s="175"/>
      <c r="OBO9" s="175"/>
      <c r="OBP9" s="175"/>
      <c r="OBQ9" s="175"/>
      <c r="OBR9" s="175"/>
      <c r="OBS9" s="175"/>
      <c r="OBT9" s="175"/>
      <c r="OBU9" s="175"/>
      <c r="OBV9" s="175"/>
      <c r="OBW9" s="175"/>
      <c r="OBX9" s="175"/>
      <c r="OBY9" s="175"/>
      <c r="OBZ9" s="175"/>
      <c r="OCA9" s="175"/>
      <c r="OCB9" s="175"/>
      <c r="OCC9" s="175"/>
      <c r="OCD9" s="175"/>
      <c r="OCE9" s="175"/>
      <c r="OCF9" s="175"/>
      <c r="OCG9" s="175"/>
      <c r="OCH9" s="175"/>
      <c r="OCI9" s="175"/>
      <c r="OCJ9" s="175"/>
      <c r="OCK9" s="175"/>
      <c r="OCL9" s="175"/>
      <c r="OCM9" s="175"/>
      <c r="OCN9" s="175"/>
      <c r="OCO9" s="175"/>
      <c r="OCP9" s="175"/>
      <c r="OCQ9" s="175"/>
      <c r="OCR9" s="175"/>
      <c r="OCS9" s="175"/>
      <c r="OCT9" s="175"/>
      <c r="OCU9" s="175"/>
      <c r="OCV9" s="175"/>
      <c r="OCW9" s="175"/>
      <c r="OCX9" s="175"/>
      <c r="OCY9" s="175"/>
      <c r="OCZ9" s="175"/>
      <c r="ODA9" s="175"/>
      <c r="ODB9" s="175"/>
      <c r="ODC9" s="175"/>
      <c r="ODD9" s="175"/>
      <c r="ODE9" s="175"/>
      <c r="ODF9" s="175"/>
      <c r="ODG9" s="175"/>
      <c r="ODH9" s="175"/>
      <c r="ODI9" s="175"/>
      <c r="ODJ9" s="175"/>
      <c r="ODK9" s="175"/>
      <c r="ODL9" s="175"/>
      <c r="ODM9" s="175"/>
      <c r="ODN9" s="175"/>
      <c r="ODO9" s="175"/>
      <c r="ODP9" s="175"/>
      <c r="ODQ9" s="175"/>
      <c r="ODR9" s="175"/>
      <c r="ODS9" s="175"/>
      <c r="ODT9" s="175"/>
      <c r="ODU9" s="175"/>
      <c r="ODV9" s="175"/>
      <c r="ODW9" s="175"/>
      <c r="ODX9" s="175"/>
      <c r="ODY9" s="175"/>
      <c r="ODZ9" s="175"/>
      <c r="OEA9" s="175"/>
      <c r="OEB9" s="175"/>
      <c r="OEC9" s="175"/>
      <c r="OED9" s="175"/>
      <c r="OEE9" s="175"/>
      <c r="OEF9" s="175"/>
      <c r="OEG9" s="175"/>
      <c r="OEH9" s="175"/>
      <c r="OEI9" s="175"/>
      <c r="OEJ9" s="175"/>
      <c r="OEK9" s="175"/>
      <c r="OEL9" s="175"/>
      <c r="OEM9" s="175"/>
      <c r="OEN9" s="175"/>
      <c r="OEO9" s="175"/>
      <c r="OEP9" s="175"/>
      <c r="OEQ9" s="175"/>
      <c r="OER9" s="175"/>
      <c r="OES9" s="175"/>
      <c r="OET9" s="175"/>
      <c r="OEU9" s="175"/>
      <c r="OEV9" s="175"/>
      <c r="OEW9" s="175"/>
      <c r="OEX9" s="175"/>
      <c r="OEY9" s="175"/>
      <c r="OEZ9" s="175"/>
      <c r="OFA9" s="175"/>
      <c r="OFB9" s="175"/>
      <c r="OFC9" s="175"/>
      <c r="OFD9" s="175"/>
      <c r="OFE9" s="175"/>
      <c r="OFF9" s="175"/>
      <c r="OFG9" s="175"/>
      <c r="OFH9" s="175"/>
      <c r="OFI9" s="175"/>
      <c r="OFJ9" s="175"/>
      <c r="OFK9" s="175"/>
      <c r="OFL9" s="175"/>
      <c r="OFM9" s="175"/>
      <c r="OFN9" s="175"/>
      <c r="OFO9" s="175"/>
      <c r="OFP9" s="175"/>
      <c r="OFQ9" s="175"/>
      <c r="OFR9" s="175"/>
      <c r="OFS9" s="175"/>
      <c r="OFT9" s="175"/>
      <c r="OFU9" s="175"/>
      <c r="OFV9" s="175"/>
      <c r="OFW9" s="175"/>
      <c r="OFX9" s="175"/>
      <c r="OFY9" s="175"/>
      <c r="OFZ9" s="175"/>
      <c r="OGA9" s="175"/>
      <c r="OGB9" s="175"/>
      <c r="OGC9" s="175"/>
      <c r="OGD9" s="175"/>
      <c r="OGE9" s="175"/>
      <c r="OGF9" s="175"/>
      <c r="OGG9" s="175"/>
      <c r="OGH9" s="175"/>
      <c r="OGI9" s="175"/>
      <c r="OGJ9" s="175"/>
      <c r="OGK9" s="175"/>
      <c r="OGL9" s="175"/>
      <c r="OGM9" s="175"/>
      <c r="OGN9" s="175"/>
      <c r="OGO9" s="175"/>
      <c r="OGP9" s="175"/>
      <c r="OGQ9" s="175"/>
      <c r="OGR9" s="175"/>
      <c r="OGS9" s="175"/>
      <c r="OGT9" s="175"/>
      <c r="OGU9" s="175"/>
      <c r="OGV9" s="175"/>
      <c r="OGW9" s="175"/>
      <c r="OGX9" s="175"/>
      <c r="OGY9" s="175"/>
      <c r="OGZ9" s="175"/>
      <c r="OHA9" s="175"/>
      <c r="OHB9" s="175"/>
      <c r="OHC9" s="175"/>
      <c r="OHD9" s="175"/>
      <c r="OHE9" s="175"/>
      <c r="OHF9" s="175"/>
      <c r="OHG9" s="175"/>
      <c r="OHH9" s="175"/>
      <c r="OHI9" s="175"/>
      <c r="OHJ9" s="175"/>
      <c r="OHK9" s="175"/>
      <c r="OHL9" s="175"/>
      <c r="OHM9" s="175"/>
      <c r="OHN9" s="175"/>
      <c r="OHO9" s="175"/>
      <c r="OHP9" s="175"/>
      <c r="OHQ9" s="175"/>
      <c r="OHR9" s="175"/>
      <c r="OHS9" s="175"/>
      <c r="OHT9" s="175"/>
      <c r="OHU9" s="175"/>
      <c r="OHV9" s="175"/>
      <c r="OHW9" s="175"/>
      <c r="OHX9" s="175"/>
      <c r="OHY9" s="175"/>
      <c r="OHZ9" s="175"/>
      <c r="OIA9" s="175"/>
      <c r="OIB9" s="175"/>
      <c r="OIC9" s="175"/>
      <c r="OID9" s="175"/>
      <c r="OIE9" s="175"/>
      <c r="OIF9" s="175"/>
      <c r="OIG9" s="175"/>
      <c r="OIH9" s="175"/>
      <c r="OII9" s="175"/>
      <c r="OIJ9" s="175"/>
      <c r="OIK9" s="175"/>
      <c r="OIL9" s="175"/>
      <c r="OIM9" s="175"/>
      <c r="OIN9" s="175"/>
      <c r="OIO9" s="175"/>
      <c r="OIP9" s="175"/>
      <c r="OIQ9" s="175"/>
      <c r="OIR9" s="175"/>
      <c r="OIS9" s="175"/>
      <c r="OIT9" s="175"/>
      <c r="OIU9" s="175"/>
      <c r="OIV9" s="175"/>
      <c r="OIW9" s="175"/>
      <c r="OIX9" s="175"/>
      <c r="OIY9" s="175"/>
      <c r="OIZ9" s="175"/>
      <c r="OJA9" s="175"/>
      <c r="OJB9" s="175"/>
      <c r="OJC9" s="175"/>
      <c r="OJD9" s="175"/>
      <c r="OJE9" s="175"/>
      <c r="OJF9" s="175"/>
      <c r="OJG9" s="175"/>
      <c r="OJH9" s="175"/>
      <c r="OJI9" s="175"/>
      <c r="OJJ9" s="175"/>
      <c r="OJK9" s="175"/>
      <c r="OJL9" s="175"/>
      <c r="OJM9" s="175"/>
      <c r="OJN9" s="175"/>
      <c r="OJO9" s="175"/>
      <c r="OJP9" s="175"/>
      <c r="OJQ9" s="175"/>
      <c r="OJR9" s="175"/>
      <c r="OJS9" s="175"/>
      <c r="OJT9" s="175"/>
      <c r="OJU9" s="175"/>
      <c r="OJV9" s="175"/>
      <c r="OJW9" s="175"/>
      <c r="OJX9" s="175"/>
      <c r="OJY9" s="175"/>
      <c r="OJZ9" s="175"/>
      <c r="OKA9" s="175"/>
      <c r="OKB9" s="175"/>
      <c r="OKC9" s="175"/>
      <c r="OKD9" s="175"/>
      <c r="OKE9" s="175"/>
      <c r="OKF9" s="175"/>
      <c r="OKG9" s="175"/>
      <c r="OKH9" s="175"/>
      <c r="OKI9" s="175"/>
      <c r="OKJ9" s="175"/>
      <c r="OKK9" s="175"/>
      <c r="OKL9" s="175"/>
      <c r="OKM9" s="175"/>
      <c r="OKN9" s="175"/>
      <c r="OKO9" s="175"/>
      <c r="OKP9" s="175"/>
      <c r="OKQ9" s="175"/>
      <c r="OKR9" s="175"/>
      <c r="OKS9" s="175"/>
      <c r="OKT9" s="175"/>
      <c r="OKU9" s="175"/>
      <c r="OKV9" s="175"/>
      <c r="OKW9" s="175"/>
      <c r="OKX9" s="175"/>
      <c r="OKY9" s="175"/>
      <c r="OKZ9" s="175"/>
      <c r="OLA9" s="175"/>
      <c r="OLB9" s="175"/>
      <c r="OLC9" s="175"/>
      <c r="OLD9" s="175"/>
      <c r="OLE9" s="175"/>
      <c r="OLF9" s="175"/>
      <c r="OLG9" s="175"/>
      <c r="OLH9" s="175"/>
      <c r="OLI9" s="175"/>
      <c r="OLJ9" s="175"/>
      <c r="OLK9" s="175"/>
      <c r="OLL9" s="175"/>
      <c r="OLM9" s="175"/>
      <c r="OLN9" s="175"/>
      <c r="OLO9" s="175"/>
      <c r="OLP9" s="175"/>
      <c r="OLQ9" s="175"/>
      <c r="OLR9" s="175"/>
      <c r="OLS9" s="175"/>
      <c r="OLT9" s="175"/>
      <c r="OLU9" s="175"/>
      <c r="OLV9" s="175"/>
      <c r="OLW9" s="175"/>
      <c r="OLX9" s="175"/>
      <c r="OLY9" s="175"/>
      <c r="OLZ9" s="175"/>
      <c r="OMA9" s="175"/>
      <c r="OMB9" s="175"/>
      <c r="OMC9" s="175"/>
      <c r="OMD9" s="175"/>
      <c r="OME9" s="175"/>
      <c r="OMF9" s="175"/>
      <c r="OMG9" s="175"/>
      <c r="OMH9" s="175"/>
      <c r="OMI9" s="175"/>
      <c r="OMJ9" s="175"/>
      <c r="OMK9" s="175"/>
      <c r="OML9" s="175"/>
      <c r="OMM9" s="175"/>
      <c r="OMN9" s="175"/>
      <c r="OMO9" s="175"/>
      <c r="OMP9" s="175"/>
      <c r="OMQ9" s="175"/>
      <c r="OMR9" s="175"/>
      <c r="OMS9" s="175"/>
      <c r="OMT9" s="175"/>
      <c r="OMU9" s="175"/>
      <c r="OMV9" s="175"/>
      <c r="OMW9" s="175"/>
      <c r="OMX9" s="175"/>
      <c r="OMY9" s="175"/>
      <c r="OMZ9" s="175"/>
      <c r="ONA9" s="175"/>
      <c r="ONB9" s="175"/>
      <c r="ONC9" s="175"/>
      <c r="OND9" s="175"/>
      <c r="ONE9" s="175"/>
      <c r="ONF9" s="175"/>
      <c r="ONG9" s="175"/>
      <c r="ONH9" s="175"/>
      <c r="ONI9" s="175"/>
      <c r="ONJ9" s="175"/>
      <c r="ONK9" s="175"/>
      <c r="ONL9" s="175"/>
      <c r="ONM9" s="175"/>
      <c r="ONN9" s="175"/>
      <c r="ONO9" s="175"/>
      <c r="ONP9" s="175"/>
      <c r="ONQ9" s="175"/>
      <c r="ONR9" s="175"/>
      <c r="ONS9" s="175"/>
      <c r="ONT9" s="175"/>
      <c r="ONU9" s="175"/>
      <c r="ONV9" s="175"/>
      <c r="ONW9" s="175"/>
      <c r="ONX9" s="175"/>
      <c r="ONY9" s="175"/>
      <c r="ONZ9" s="175"/>
      <c r="OOA9" s="175"/>
      <c r="OOB9" s="175"/>
      <c r="OOC9" s="175"/>
      <c r="OOD9" s="175"/>
      <c r="OOE9" s="175"/>
      <c r="OOF9" s="175"/>
      <c r="OOG9" s="175"/>
      <c r="OOH9" s="175"/>
      <c r="OOI9" s="175"/>
      <c r="OOJ9" s="175"/>
      <c r="OOK9" s="175"/>
      <c r="OOL9" s="175"/>
      <c r="OOM9" s="175"/>
      <c r="OON9" s="175"/>
      <c r="OOO9" s="175"/>
      <c r="OOP9" s="175"/>
      <c r="OOQ9" s="175"/>
      <c r="OOR9" s="175"/>
      <c r="OOS9" s="175"/>
      <c r="OOT9" s="175"/>
      <c r="OOU9" s="175"/>
      <c r="OOV9" s="175"/>
      <c r="OOW9" s="175"/>
      <c r="OOX9" s="175"/>
      <c r="OOY9" s="175"/>
      <c r="OOZ9" s="175"/>
      <c r="OPA9" s="175"/>
      <c r="OPB9" s="175"/>
      <c r="OPC9" s="175"/>
      <c r="OPD9" s="175"/>
      <c r="OPE9" s="175"/>
      <c r="OPF9" s="175"/>
      <c r="OPG9" s="175"/>
      <c r="OPH9" s="175"/>
      <c r="OPI9" s="175"/>
      <c r="OPJ9" s="175"/>
      <c r="OPK9" s="175"/>
      <c r="OPL9" s="175"/>
      <c r="OPM9" s="175"/>
      <c r="OPN9" s="175"/>
      <c r="OPO9" s="175"/>
      <c r="OPP9" s="175"/>
      <c r="OPQ9" s="175"/>
      <c r="OPR9" s="175"/>
      <c r="OPS9" s="175"/>
      <c r="OPT9" s="175"/>
      <c r="OPU9" s="175"/>
      <c r="OPV9" s="175"/>
      <c r="OPW9" s="175"/>
      <c r="OPX9" s="175"/>
      <c r="OPY9" s="175"/>
      <c r="OPZ9" s="175"/>
      <c r="OQA9" s="175"/>
      <c r="OQB9" s="175"/>
      <c r="OQC9" s="175"/>
      <c r="OQD9" s="175"/>
      <c r="OQE9" s="175"/>
      <c r="OQF9" s="175"/>
      <c r="OQG9" s="175"/>
      <c r="OQH9" s="175"/>
      <c r="OQI9" s="175"/>
      <c r="OQJ9" s="175"/>
      <c r="OQK9" s="175"/>
      <c r="OQL9" s="175"/>
      <c r="OQM9" s="175"/>
      <c r="OQN9" s="175"/>
      <c r="OQO9" s="175"/>
      <c r="OQP9" s="175"/>
      <c r="OQQ9" s="175"/>
      <c r="OQR9" s="175"/>
      <c r="OQS9" s="175"/>
      <c r="OQT9" s="175"/>
      <c r="OQU9" s="175"/>
      <c r="OQV9" s="175"/>
      <c r="OQW9" s="175"/>
      <c r="OQX9" s="175"/>
      <c r="OQY9" s="175"/>
      <c r="OQZ9" s="175"/>
      <c r="ORA9" s="175"/>
      <c r="ORB9" s="175"/>
      <c r="ORC9" s="175"/>
      <c r="ORD9" s="175"/>
      <c r="ORE9" s="175"/>
      <c r="ORF9" s="175"/>
      <c r="ORG9" s="175"/>
      <c r="ORH9" s="175"/>
      <c r="ORI9" s="175"/>
      <c r="ORJ9" s="175"/>
      <c r="ORK9" s="175"/>
      <c r="ORL9" s="175"/>
      <c r="ORM9" s="175"/>
      <c r="ORN9" s="175"/>
      <c r="ORO9" s="175"/>
      <c r="ORP9" s="175"/>
      <c r="ORQ9" s="175"/>
      <c r="ORR9" s="175"/>
      <c r="ORS9" s="175"/>
      <c r="ORT9" s="175"/>
      <c r="ORU9" s="175"/>
      <c r="ORV9" s="175"/>
      <c r="ORW9" s="175"/>
      <c r="ORX9" s="175"/>
      <c r="ORY9" s="175"/>
      <c r="ORZ9" s="175"/>
      <c r="OSA9" s="175"/>
      <c r="OSB9" s="175"/>
      <c r="OSC9" s="175"/>
      <c r="OSD9" s="175"/>
      <c r="OSE9" s="175"/>
      <c r="OSF9" s="175"/>
      <c r="OSG9" s="175"/>
      <c r="OSH9" s="175"/>
      <c r="OSI9" s="175"/>
      <c r="OSJ9" s="175"/>
      <c r="OSK9" s="175"/>
      <c r="OSL9" s="175"/>
      <c r="OSM9" s="175"/>
      <c r="OSN9" s="175"/>
      <c r="OSO9" s="175"/>
      <c r="OSP9" s="175"/>
      <c r="OSQ9" s="175"/>
      <c r="OSR9" s="175"/>
      <c r="OSS9" s="175"/>
      <c r="OST9" s="175"/>
      <c r="OSU9" s="175"/>
      <c r="OSV9" s="175"/>
      <c r="OSW9" s="175"/>
      <c r="OSX9" s="175"/>
      <c r="OSY9" s="175"/>
      <c r="OSZ9" s="175"/>
      <c r="OTA9" s="175"/>
      <c r="OTB9" s="175"/>
      <c r="OTC9" s="175"/>
      <c r="OTD9" s="175"/>
      <c r="OTE9" s="175"/>
      <c r="OTF9" s="175"/>
      <c r="OTG9" s="175"/>
      <c r="OTH9" s="175"/>
      <c r="OTI9" s="175"/>
      <c r="OTJ9" s="175"/>
      <c r="OTK9" s="175"/>
      <c r="OTL9" s="175"/>
      <c r="OTM9" s="175"/>
      <c r="OTN9" s="175"/>
      <c r="OTO9" s="175"/>
      <c r="OTP9" s="175"/>
      <c r="OTQ9" s="175"/>
      <c r="OTR9" s="175"/>
      <c r="OTS9" s="175"/>
      <c r="OTT9" s="175"/>
      <c r="OTU9" s="175"/>
      <c r="OTV9" s="175"/>
      <c r="OTW9" s="175"/>
      <c r="OTX9" s="175"/>
      <c r="OTY9" s="175"/>
      <c r="OTZ9" s="175"/>
      <c r="OUA9" s="175"/>
      <c r="OUB9" s="175"/>
      <c r="OUC9" s="175"/>
      <c r="OUD9" s="175"/>
      <c r="OUE9" s="175"/>
      <c r="OUF9" s="175"/>
      <c r="OUG9" s="175"/>
      <c r="OUH9" s="175"/>
      <c r="OUI9" s="175"/>
      <c r="OUJ9" s="175"/>
      <c r="OUK9" s="175"/>
      <c r="OUL9" s="175"/>
      <c r="OUM9" s="175"/>
      <c r="OUN9" s="175"/>
      <c r="OUO9" s="175"/>
      <c r="OUP9" s="175"/>
      <c r="OUQ9" s="175"/>
      <c r="OUR9" s="175"/>
      <c r="OUS9" s="175"/>
      <c r="OUT9" s="175"/>
      <c r="OUU9" s="175"/>
      <c r="OUV9" s="175"/>
      <c r="OUW9" s="175"/>
      <c r="OUX9" s="175"/>
      <c r="OUY9" s="175"/>
      <c r="OUZ9" s="175"/>
      <c r="OVA9" s="175"/>
      <c r="OVB9" s="175"/>
      <c r="OVC9" s="175"/>
      <c r="OVD9" s="175"/>
      <c r="OVE9" s="175"/>
      <c r="OVF9" s="175"/>
      <c r="OVG9" s="175"/>
      <c r="OVH9" s="175"/>
      <c r="OVI9" s="175"/>
      <c r="OVJ9" s="175"/>
      <c r="OVK9" s="175"/>
      <c r="OVL9" s="175"/>
      <c r="OVM9" s="175"/>
      <c r="OVN9" s="175"/>
      <c r="OVO9" s="175"/>
      <c r="OVP9" s="175"/>
      <c r="OVQ9" s="175"/>
      <c r="OVR9" s="175"/>
      <c r="OVS9" s="175"/>
      <c r="OVT9" s="175"/>
      <c r="OVU9" s="175"/>
      <c r="OVV9" s="175"/>
      <c r="OVW9" s="175"/>
      <c r="OVX9" s="175"/>
      <c r="OVY9" s="175"/>
      <c r="OVZ9" s="175"/>
      <c r="OWA9" s="175"/>
      <c r="OWB9" s="175"/>
      <c r="OWC9" s="175"/>
      <c r="OWD9" s="175"/>
      <c r="OWE9" s="175"/>
      <c r="OWF9" s="175"/>
      <c r="OWG9" s="175"/>
      <c r="OWH9" s="175"/>
      <c r="OWI9" s="175"/>
      <c r="OWJ9" s="175"/>
      <c r="OWK9" s="175"/>
      <c r="OWL9" s="175"/>
      <c r="OWM9" s="175"/>
      <c r="OWN9" s="175"/>
      <c r="OWO9" s="175"/>
      <c r="OWP9" s="175"/>
      <c r="OWQ9" s="175"/>
      <c r="OWR9" s="175"/>
      <c r="OWS9" s="175"/>
      <c r="OWT9" s="175"/>
      <c r="OWU9" s="175"/>
      <c r="OWV9" s="175"/>
      <c r="OWW9" s="175"/>
      <c r="OWX9" s="175"/>
      <c r="OWY9" s="175"/>
      <c r="OWZ9" s="175"/>
      <c r="OXA9" s="175"/>
      <c r="OXB9" s="175"/>
      <c r="OXC9" s="175"/>
      <c r="OXD9" s="175"/>
      <c r="OXE9" s="175"/>
      <c r="OXF9" s="175"/>
      <c r="OXG9" s="175"/>
      <c r="OXH9" s="175"/>
      <c r="OXI9" s="175"/>
      <c r="OXJ9" s="175"/>
      <c r="OXK9" s="175"/>
      <c r="OXL9" s="175"/>
      <c r="OXM9" s="175"/>
      <c r="OXN9" s="175"/>
      <c r="OXO9" s="175"/>
      <c r="OXP9" s="175"/>
      <c r="OXQ9" s="175"/>
      <c r="OXR9" s="175"/>
      <c r="OXS9" s="175"/>
      <c r="OXT9" s="175"/>
      <c r="OXU9" s="175"/>
      <c r="OXV9" s="175"/>
      <c r="OXW9" s="175"/>
      <c r="OXX9" s="175"/>
      <c r="OXY9" s="175"/>
      <c r="OXZ9" s="175"/>
      <c r="OYA9" s="175"/>
      <c r="OYB9" s="175"/>
      <c r="OYC9" s="175"/>
      <c r="OYD9" s="175"/>
      <c r="OYE9" s="175"/>
      <c r="OYF9" s="175"/>
      <c r="OYG9" s="175"/>
      <c r="OYH9" s="175"/>
      <c r="OYI9" s="175"/>
      <c r="OYJ9" s="175"/>
      <c r="OYK9" s="175"/>
      <c r="OYL9" s="175"/>
      <c r="OYM9" s="175"/>
      <c r="OYN9" s="175"/>
      <c r="OYO9" s="175"/>
      <c r="OYP9" s="175"/>
      <c r="OYQ9" s="175"/>
      <c r="OYR9" s="175"/>
      <c r="OYS9" s="175"/>
      <c r="OYT9" s="175"/>
      <c r="OYU9" s="175"/>
      <c r="OYV9" s="175"/>
      <c r="OYW9" s="175"/>
      <c r="OYX9" s="175"/>
      <c r="OYY9" s="175"/>
      <c r="OYZ9" s="175"/>
      <c r="OZA9" s="175"/>
      <c r="OZB9" s="175"/>
      <c r="OZC9" s="175"/>
      <c r="OZD9" s="175"/>
      <c r="OZE9" s="175"/>
      <c r="OZF9" s="175"/>
      <c r="OZG9" s="175"/>
      <c r="OZH9" s="175"/>
      <c r="OZI9" s="175"/>
      <c r="OZJ9" s="175"/>
      <c r="OZK9" s="175"/>
      <c r="OZL9" s="175"/>
      <c r="OZM9" s="175"/>
      <c r="OZN9" s="175"/>
      <c r="OZO9" s="175"/>
      <c r="OZP9" s="175"/>
      <c r="OZQ9" s="175"/>
      <c r="OZR9" s="175"/>
      <c r="OZS9" s="175"/>
      <c r="OZT9" s="175"/>
      <c r="OZU9" s="175"/>
      <c r="OZV9" s="175"/>
      <c r="OZW9" s="175"/>
      <c r="OZX9" s="175"/>
      <c r="OZY9" s="175"/>
      <c r="OZZ9" s="175"/>
      <c r="PAA9" s="175"/>
      <c r="PAB9" s="175"/>
      <c r="PAC9" s="175"/>
      <c r="PAD9" s="175"/>
      <c r="PAE9" s="175"/>
      <c r="PAF9" s="175"/>
      <c r="PAG9" s="175"/>
      <c r="PAH9" s="175"/>
      <c r="PAI9" s="175"/>
      <c r="PAJ9" s="175"/>
      <c r="PAK9" s="175"/>
      <c r="PAL9" s="175"/>
      <c r="PAM9" s="175"/>
      <c r="PAN9" s="175"/>
      <c r="PAO9" s="175"/>
      <c r="PAP9" s="175"/>
      <c r="PAQ9" s="175"/>
      <c r="PAR9" s="175"/>
      <c r="PAS9" s="175"/>
      <c r="PAT9" s="175"/>
      <c r="PAU9" s="175"/>
      <c r="PAV9" s="175"/>
      <c r="PAW9" s="175"/>
      <c r="PAX9" s="175"/>
      <c r="PAY9" s="175"/>
      <c r="PAZ9" s="175"/>
      <c r="PBA9" s="175"/>
      <c r="PBB9" s="175"/>
      <c r="PBC9" s="175"/>
      <c r="PBD9" s="175"/>
      <c r="PBE9" s="175"/>
      <c r="PBF9" s="175"/>
      <c r="PBG9" s="175"/>
      <c r="PBH9" s="175"/>
      <c r="PBI9" s="175"/>
      <c r="PBJ9" s="175"/>
      <c r="PBK9" s="175"/>
      <c r="PBL9" s="175"/>
      <c r="PBM9" s="175"/>
      <c r="PBN9" s="175"/>
      <c r="PBO9" s="175"/>
      <c r="PBP9" s="175"/>
      <c r="PBQ9" s="175"/>
      <c r="PBR9" s="175"/>
      <c r="PBS9" s="175"/>
      <c r="PBT9" s="175"/>
      <c r="PBU9" s="175"/>
      <c r="PBV9" s="175"/>
      <c r="PBW9" s="175"/>
      <c r="PBX9" s="175"/>
      <c r="PBY9" s="175"/>
      <c r="PBZ9" s="175"/>
      <c r="PCA9" s="175"/>
      <c r="PCB9" s="175"/>
      <c r="PCC9" s="175"/>
      <c r="PCD9" s="175"/>
      <c r="PCE9" s="175"/>
      <c r="PCF9" s="175"/>
      <c r="PCG9" s="175"/>
      <c r="PCH9" s="175"/>
      <c r="PCI9" s="175"/>
      <c r="PCJ9" s="175"/>
      <c r="PCK9" s="175"/>
      <c r="PCL9" s="175"/>
      <c r="PCM9" s="175"/>
      <c r="PCN9" s="175"/>
      <c r="PCO9" s="175"/>
      <c r="PCP9" s="175"/>
      <c r="PCQ9" s="175"/>
      <c r="PCR9" s="175"/>
      <c r="PCS9" s="175"/>
      <c r="PCT9" s="175"/>
      <c r="PCU9" s="175"/>
      <c r="PCV9" s="175"/>
      <c r="PCW9" s="175"/>
      <c r="PCX9" s="175"/>
      <c r="PCY9" s="175"/>
      <c r="PCZ9" s="175"/>
      <c r="PDA9" s="175"/>
      <c r="PDB9" s="175"/>
      <c r="PDC9" s="175"/>
      <c r="PDD9" s="175"/>
      <c r="PDE9" s="175"/>
      <c r="PDF9" s="175"/>
      <c r="PDG9" s="175"/>
      <c r="PDH9" s="175"/>
      <c r="PDI9" s="175"/>
      <c r="PDJ9" s="175"/>
      <c r="PDK9" s="175"/>
      <c r="PDL9" s="175"/>
      <c r="PDM9" s="175"/>
      <c r="PDN9" s="175"/>
      <c r="PDO9" s="175"/>
      <c r="PDP9" s="175"/>
      <c r="PDQ9" s="175"/>
      <c r="PDR9" s="175"/>
      <c r="PDS9" s="175"/>
      <c r="PDT9" s="175"/>
      <c r="PDU9" s="175"/>
      <c r="PDV9" s="175"/>
      <c r="PDW9" s="175"/>
      <c r="PDX9" s="175"/>
      <c r="PDY9" s="175"/>
      <c r="PDZ9" s="175"/>
      <c r="PEA9" s="175"/>
      <c r="PEB9" s="175"/>
      <c r="PEC9" s="175"/>
      <c r="PED9" s="175"/>
      <c r="PEE9" s="175"/>
      <c r="PEF9" s="175"/>
      <c r="PEG9" s="175"/>
      <c r="PEH9" s="175"/>
      <c r="PEI9" s="175"/>
      <c r="PEJ9" s="175"/>
      <c r="PEK9" s="175"/>
      <c r="PEL9" s="175"/>
      <c r="PEM9" s="175"/>
      <c r="PEN9" s="175"/>
      <c r="PEO9" s="175"/>
      <c r="PEP9" s="175"/>
      <c r="PEQ9" s="175"/>
      <c r="PER9" s="175"/>
      <c r="PES9" s="175"/>
      <c r="PET9" s="175"/>
      <c r="PEU9" s="175"/>
      <c r="PEV9" s="175"/>
      <c r="PEW9" s="175"/>
      <c r="PEX9" s="175"/>
      <c r="PEY9" s="175"/>
      <c r="PEZ9" s="175"/>
      <c r="PFA9" s="175"/>
      <c r="PFB9" s="175"/>
      <c r="PFC9" s="175"/>
      <c r="PFD9" s="175"/>
      <c r="PFE9" s="175"/>
      <c r="PFF9" s="175"/>
      <c r="PFG9" s="175"/>
      <c r="PFH9" s="175"/>
      <c r="PFI9" s="175"/>
      <c r="PFJ9" s="175"/>
      <c r="PFK9" s="175"/>
      <c r="PFL9" s="175"/>
      <c r="PFM9" s="175"/>
      <c r="PFN9" s="175"/>
      <c r="PFO9" s="175"/>
      <c r="PFP9" s="175"/>
      <c r="PFQ9" s="175"/>
      <c r="PFR9" s="175"/>
      <c r="PFS9" s="175"/>
      <c r="PFT9" s="175"/>
      <c r="PFU9" s="175"/>
      <c r="PFV9" s="175"/>
      <c r="PFW9" s="175"/>
      <c r="PFX9" s="175"/>
      <c r="PFY9" s="175"/>
      <c r="PFZ9" s="175"/>
      <c r="PGA9" s="175"/>
      <c r="PGB9" s="175"/>
      <c r="PGC9" s="175"/>
      <c r="PGD9" s="175"/>
      <c r="PGE9" s="175"/>
      <c r="PGF9" s="175"/>
      <c r="PGG9" s="175"/>
      <c r="PGH9" s="175"/>
      <c r="PGI9" s="175"/>
      <c r="PGJ9" s="175"/>
      <c r="PGK9" s="175"/>
      <c r="PGL9" s="175"/>
      <c r="PGM9" s="175"/>
      <c r="PGN9" s="175"/>
      <c r="PGO9" s="175"/>
      <c r="PGP9" s="175"/>
      <c r="PGQ9" s="175"/>
      <c r="PGR9" s="175"/>
      <c r="PGS9" s="175"/>
      <c r="PGT9" s="175"/>
      <c r="PGU9" s="175"/>
      <c r="PGV9" s="175"/>
      <c r="PGW9" s="175"/>
      <c r="PGX9" s="175"/>
      <c r="PGY9" s="175"/>
      <c r="PGZ9" s="175"/>
      <c r="PHA9" s="175"/>
      <c r="PHB9" s="175"/>
      <c r="PHC9" s="175"/>
      <c r="PHD9" s="175"/>
      <c r="PHE9" s="175"/>
      <c r="PHF9" s="175"/>
      <c r="PHG9" s="175"/>
      <c r="PHH9" s="175"/>
      <c r="PHI9" s="175"/>
      <c r="PHJ9" s="175"/>
      <c r="PHK9" s="175"/>
      <c r="PHL9" s="175"/>
      <c r="PHM9" s="175"/>
      <c r="PHN9" s="175"/>
      <c r="PHO9" s="175"/>
      <c r="PHP9" s="175"/>
      <c r="PHQ9" s="175"/>
      <c r="PHR9" s="175"/>
      <c r="PHS9" s="175"/>
      <c r="PHT9" s="175"/>
      <c r="PHU9" s="175"/>
      <c r="PHV9" s="175"/>
      <c r="PHW9" s="175"/>
      <c r="PHX9" s="175"/>
      <c r="PHY9" s="175"/>
      <c r="PHZ9" s="175"/>
      <c r="PIA9" s="175"/>
      <c r="PIB9" s="175"/>
      <c r="PIC9" s="175"/>
      <c r="PID9" s="175"/>
      <c r="PIE9" s="175"/>
      <c r="PIF9" s="175"/>
      <c r="PIG9" s="175"/>
      <c r="PIH9" s="175"/>
      <c r="PII9" s="175"/>
      <c r="PIJ9" s="175"/>
      <c r="PIK9" s="175"/>
      <c r="PIL9" s="175"/>
      <c r="PIM9" s="175"/>
      <c r="PIN9" s="175"/>
      <c r="PIO9" s="175"/>
      <c r="PIP9" s="175"/>
      <c r="PIQ9" s="175"/>
      <c r="PIR9" s="175"/>
      <c r="PIS9" s="175"/>
      <c r="PIT9" s="175"/>
      <c r="PIU9" s="175"/>
      <c r="PIV9" s="175"/>
      <c r="PIW9" s="175"/>
      <c r="PIX9" s="175"/>
      <c r="PIY9" s="175"/>
      <c r="PIZ9" s="175"/>
      <c r="PJA9" s="175"/>
      <c r="PJB9" s="175"/>
      <c r="PJC9" s="175"/>
      <c r="PJD9" s="175"/>
      <c r="PJE9" s="175"/>
      <c r="PJF9" s="175"/>
      <c r="PJG9" s="175"/>
      <c r="PJH9" s="175"/>
      <c r="PJI9" s="175"/>
      <c r="PJJ9" s="175"/>
      <c r="PJK9" s="175"/>
      <c r="PJL9" s="175"/>
      <c r="PJM9" s="175"/>
      <c r="PJN9" s="175"/>
      <c r="PJO9" s="175"/>
      <c r="PJP9" s="175"/>
      <c r="PJQ9" s="175"/>
      <c r="PJR9" s="175"/>
      <c r="PJS9" s="175"/>
      <c r="PJT9" s="175"/>
      <c r="PJU9" s="175"/>
      <c r="PJV9" s="175"/>
      <c r="PJW9" s="175"/>
      <c r="PJX9" s="175"/>
      <c r="PJY9" s="175"/>
      <c r="PJZ9" s="175"/>
      <c r="PKA9" s="175"/>
      <c r="PKB9" s="175"/>
      <c r="PKC9" s="175"/>
      <c r="PKD9" s="175"/>
      <c r="PKE9" s="175"/>
      <c r="PKF9" s="175"/>
      <c r="PKG9" s="175"/>
      <c r="PKH9" s="175"/>
      <c r="PKI9" s="175"/>
      <c r="PKJ9" s="175"/>
      <c r="PKK9" s="175"/>
      <c r="PKL9" s="175"/>
      <c r="PKM9" s="175"/>
      <c r="PKN9" s="175"/>
      <c r="PKO9" s="175"/>
      <c r="PKP9" s="175"/>
      <c r="PKQ9" s="175"/>
      <c r="PKR9" s="175"/>
      <c r="PKS9" s="175"/>
      <c r="PKT9" s="175"/>
      <c r="PKU9" s="175"/>
      <c r="PKV9" s="175"/>
      <c r="PKW9" s="175"/>
      <c r="PKX9" s="175"/>
      <c r="PKY9" s="175"/>
      <c r="PKZ9" s="175"/>
      <c r="PLA9" s="175"/>
      <c r="PLB9" s="175"/>
      <c r="PLC9" s="175"/>
      <c r="PLD9" s="175"/>
      <c r="PLE9" s="175"/>
      <c r="PLF9" s="175"/>
      <c r="PLG9" s="175"/>
      <c r="PLH9" s="175"/>
      <c r="PLI9" s="175"/>
      <c r="PLJ9" s="175"/>
      <c r="PLK9" s="175"/>
      <c r="PLL9" s="175"/>
      <c r="PLM9" s="175"/>
      <c r="PLN9" s="175"/>
      <c r="PLO9" s="175"/>
      <c r="PLP9" s="175"/>
      <c r="PLQ9" s="175"/>
      <c r="PLR9" s="175"/>
      <c r="PLS9" s="175"/>
      <c r="PLT9" s="175"/>
      <c r="PLU9" s="175"/>
      <c r="PLV9" s="175"/>
      <c r="PLW9" s="175"/>
      <c r="PLX9" s="175"/>
      <c r="PLY9" s="175"/>
      <c r="PLZ9" s="175"/>
      <c r="PMA9" s="175"/>
      <c r="PMB9" s="175"/>
      <c r="PMC9" s="175"/>
      <c r="PMD9" s="175"/>
      <c r="PME9" s="175"/>
      <c r="PMF9" s="175"/>
      <c r="PMG9" s="175"/>
      <c r="PMH9" s="175"/>
      <c r="PMI9" s="175"/>
      <c r="PMJ9" s="175"/>
      <c r="PMK9" s="175"/>
      <c r="PML9" s="175"/>
      <c r="PMM9" s="175"/>
      <c r="PMN9" s="175"/>
      <c r="PMO9" s="175"/>
      <c r="PMP9" s="175"/>
      <c r="PMQ9" s="175"/>
      <c r="PMR9" s="175"/>
      <c r="PMS9" s="175"/>
      <c r="PMT9" s="175"/>
      <c r="PMU9" s="175"/>
      <c r="PMV9" s="175"/>
      <c r="PMW9" s="175"/>
      <c r="PMX9" s="175"/>
      <c r="PMY9" s="175"/>
      <c r="PMZ9" s="175"/>
      <c r="PNA9" s="175"/>
      <c r="PNB9" s="175"/>
      <c r="PNC9" s="175"/>
      <c r="PND9" s="175"/>
      <c r="PNE9" s="175"/>
      <c r="PNF9" s="175"/>
      <c r="PNG9" s="175"/>
      <c r="PNH9" s="175"/>
      <c r="PNI9" s="175"/>
      <c r="PNJ9" s="175"/>
      <c r="PNK9" s="175"/>
      <c r="PNL9" s="175"/>
      <c r="PNM9" s="175"/>
      <c r="PNN9" s="175"/>
      <c r="PNO9" s="175"/>
      <c r="PNP9" s="175"/>
      <c r="PNQ9" s="175"/>
      <c r="PNR9" s="175"/>
      <c r="PNS9" s="175"/>
      <c r="PNT9" s="175"/>
      <c r="PNU9" s="175"/>
      <c r="PNV9" s="175"/>
      <c r="PNW9" s="175"/>
      <c r="PNX9" s="175"/>
      <c r="PNY9" s="175"/>
      <c r="PNZ9" s="175"/>
      <c r="POA9" s="175"/>
      <c r="POB9" s="175"/>
      <c r="POC9" s="175"/>
      <c r="POD9" s="175"/>
      <c r="POE9" s="175"/>
      <c r="POF9" s="175"/>
      <c r="POG9" s="175"/>
      <c r="POH9" s="175"/>
      <c r="POI9" s="175"/>
      <c r="POJ9" s="175"/>
      <c r="POK9" s="175"/>
      <c r="POL9" s="175"/>
      <c r="POM9" s="175"/>
      <c r="PON9" s="175"/>
      <c r="POO9" s="175"/>
      <c r="POP9" s="175"/>
      <c r="POQ9" s="175"/>
      <c r="POR9" s="175"/>
      <c r="POS9" s="175"/>
      <c r="POT9" s="175"/>
      <c r="POU9" s="175"/>
      <c r="POV9" s="175"/>
      <c r="POW9" s="175"/>
      <c r="POX9" s="175"/>
      <c r="POY9" s="175"/>
      <c r="POZ9" s="175"/>
      <c r="PPA9" s="175"/>
      <c r="PPB9" s="175"/>
      <c r="PPC9" s="175"/>
      <c r="PPD9" s="175"/>
      <c r="PPE9" s="175"/>
      <c r="PPF9" s="175"/>
      <c r="PPG9" s="175"/>
      <c r="PPH9" s="175"/>
      <c r="PPI9" s="175"/>
      <c r="PPJ9" s="175"/>
      <c r="PPK9" s="175"/>
      <c r="PPL9" s="175"/>
      <c r="PPM9" s="175"/>
      <c r="PPN9" s="175"/>
      <c r="PPO9" s="175"/>
      <c r="PPP9" s="175"/>
      <c r="PPQ9" s="175"/>
      <c r="PPR9" s="175"/>
      <c r="PPS9" s="175"/>
      <c r="PPT9" s="175"/>
      <c r="PPU9" s="175"/>
      <c r="PPV9" s="175"/>
      <c r="PPW9" s="175"/>
      <c r="PPX9" s="175"/>
      <c r="PPY9" s="175"/>
      <c r="PPZ9" s="175"/>
      <c r="PQA9" s="175"/>
      <c r="PQB9" s="175"/>
      <c r="PQC9" s="175"/>
      <c r="PQD9" s="175"/>
      <c r="PQE9" s="175"/>
      <c r="PQF9" s="175"/>
      <c r="PQG9" s="175"/>
      <c r="PQH9" s="175"/>
      <c r="PQI9" s="175"/>
      <c r="PQJ9" s="175"/>
      <c r="PQK9" s="175"/>
      <c r="PQL9" s="175"/>
      <c r="PQM9" s="175"/>
      <c r="PQN9" s="175"/>
      <c r="PQO9" s="175"/>
      <c r="PQP9" s="175"/>
      <c r="PQQ9" s="175"/>
      <c r="PQR9" s="175"/>
      <c r="PQS9" s="175"/>
      <c r="PQT9" s="175"/>
      <c r="PQU9" s="175"/>
      <c r="PQV9" s="175"/>
      <c r="PQW9" s="175"/>
      <c r="PQX9" s="175"/>
      <c r="PQY9" s="175"/>
      <c r="PQZ9" s="175"/>
      <c r="PRA9" s="175"/>
      <c r="PRB9" s="175"/>
      <c r="PRC9" s="175"/>
      <c r="PRD9" s="175"/>
      <c r="PRE9" s="175"/>
      <c r="PRF9" s="175"/>
      <c r="PRG9" s="175"/>
      <c r="PRH9" s="175"/>
      <c r="PRI9" s="175"/>
      <c r="PRJ9" s="175"/>
      <c r="PRK9" s="175"/>
      <c r="PRL9" s="175"/>
      <c r="PRM9" s="175"/>
      <c r="PRN9" s="175"/>
      <c r="PRO9" s="175"/>
      <c r="PRP9" s="175"/>
      <c r="PRQ9" s="175"/>
      <c r="PRR9" s="175"/>
      <c r="PRS9" s="175"/>
      <c r="PRT9" s="175"/>
      <c r="PRU9" s="175"/>
      <c r="PRV9" s="175"/>
      <c r="PRW9" s="175"/>
      <c r="PRX9" s="175"/>
      <c r="PRY9" s="175"/>
      <c r="PRZ9" s="175"/>
      <c r="PSA9" s="175"/>
      <c r="PSB9" s="175"/>
      <c r="PSC9" s="175"/>
      <c r="PSD9" s="175"/>
      <c r="PSE9" s="175"/>
      <c r="PSF9" s="175"/>
      <c r="PSG9" s="175"/>
      <c r="PSH9" s="175"/>
      <c r="PSI9" s="175"/>
      <c r="PSJ9" s="175"/>
      <c r="PSK9" s="175"/>
      <c r="PSL9" s="175"/>
      <c r="PSM9" s="175"/>
      <c r="PSN9" s="175"/>
      <c r="PSO9" s="175"/>
      <c r="PSP9" s="175"/>
      <c r="PSQ9" s="175"/>
      <c r="PSR9" s="175"/>
      <c r="PSS9" s="175"/>
      <c r="PST9" s="175"/>
      <c r="PSU9" s="175"/>
      <c r="PSV9" s="175"/>
      <c r="PSW9" s="175"/>
      <c r="PSX9" s="175"/>
      <c r="PSY9" s="175"/>
      <c r="PSZ9" s="175"/>
      <c r="PTA9" s="175"/>
      <c r="PTB9" s="175"/>
      <c r="PTC9" s="175"/>
      <c r="PTD9" s="175"/>
      <c r="PTE9" s="175"/>
      <c r="PTF9" s="175"/>
      <c r="PTG9" s="175"/>
      <c r="PTH9" s="175"/>
      <c r="PTI9" s="175"/>
      <c r="PTJ9" s="175"/>
      <c r="PTK9" s="175"/>
      <c r="PTL9" s="175"/>
      <c r="PTM9" s="175"/>
      <c r="PTN9" s="175"/>
      <c r="PTO9" s="175"/>
      <c r="PTP9" s="175"/>
      <c r="PTQ9" s="175"/>
      <c r="PTR9" s="175"/>
      <c r="PTS9" s="175"/>
      <c r="PTT9" s="175"/>
      <c r="PTU9" s="175"/>
      <c r="PTV9" s="175"/>
      <c r="PTW9" s="175"/>
      <c r="PTX9" s="175"/>
      <c r="PTY9" s="175"/>
      <c r="PTZ9" s="175"/>
      <c r="PUA9" s="175"/>
      <c r="PUB9" s="175"/>
      <c r="PUC9" s="175"/>
      <c r="PUD9" s="175"/>
      <c r="PUE9" s="175"/>
      <c r="PUF9" s="175"/>
      <c r="PUG9" s="175"/>
      <c r="PUH9" s="175"/>
      <c r="PUI9" s="175"/>
      <c r="PUJ9" s="175"/>
      <c r="PUK9" s="175"/>
      <c r="PUL9" s="175"/>
      <c r="PUM9" s="175"/>
      <c r="PUN9" s="175"/>
      <c r="PUO9" s="175"/>
      <c r="PUP9" s="175"/>
      <c r="PUQ9" s="175"/>
      <c r="PUR9" s="175"/>
      <c r="PUS9" s="175"/>
      <c r="PUT9" s="175"/>
      <c r="PUU9" s="175"/>
      <c r="PUV9" s="175"/>
      <c r="PUW9" s="175"/>
      <c r="PUX9" s="175"/>
      <c r="PUY9" s="175"/>
      <c r="PUZ9" s="175"/>
      <c r="PVA9" s="175"/>
      <c r="PVB9" s="175"/>
      <c r="PVC9" s="175"/>
      <c r="PVD9" s="175"/>
      <c r="PVE9" s="175"/>
      <c r="PVF9" s="175"/>
      <c r="PVG9" s="175"/>
      <c r="PVH9" s="175"/>
      <c r="PVI9" s="175"/>
      <c r="PVJ9" s="175"/>
      <c r="PVK9" s="175"/>
      <c r="PVL9" s="175"/>
      <c r="PVM9" s="175"/>
      <c r="PVN9" s="175"/>
      <c r="PVO9" s="175"/>
      <c r="PVP9" s="175"/>
      <c r="PVQ9" s="175"/>
      <c r="PVR9" s="175"/>
      <c r="PVS9" s="175"/>
      <c r="PVT9" s="175"/>
      <c r="PVU9" s="175"/>
      <c r="PVV9" s="175"/>
      <c r="PVW9" s="175"/>
      <c r="PVX9" s="175"/>
      <c r="PVY9" s="175"/>
      <c r="PVZ9" s="175"/>
      <c r="PWA9" s="175"/>
      <c r="PWB9" s="175"/>
      <c r="PWC9" s="175"/>
      <c r="PWD9" s="175"/>
      <c r="PWE9" s="175"/>
      <c r="PWF9" s="175"/>
      <c r="PWG9" s="175"/>
      <c r="PWH9" s="175"/>
      <c r="PWI9" s="175"/>
      <c r="PWJ9" s="175"/>
      <c r="PWK9" s="175"/>
      <c r="PWL9" s="175"/>
      <c r="PWM9" s="175"/>
      <c r="PWN9" s="175"/>
      <c r="PWO9" s="175"/>
      <c r="PWP9" s="175"/>
      <c r="PWQ9" s="175"/>
      <c r="PWR9" s="175"/>
      <c r="PWS9" s="175"/>
      <c r="PWT9" s="175"/>
      <c r="PWU9" s="175"/>
      <c r="PWV9" s="175"/>
      <c r="PWW9" s="175"/>
      <c r="PWX9" s="175"/>
      <c r="PWY9" s="175"/>
      <c r="PWZ9" s="175"/>
      <c r="PXA9" s="175"/>
      <c r="PXB9" s="175"/>
      <c r="PXC9" s="175"/>
      <c r="PXD9" s="175"/>
      <c r="PXE9" s="175"/>
      <c r="PXF9" s="175"/>
      <c r="PXG9" s="175"/>
      <c r="PXH9" s="175"/>
      <c r="PXI9" s="175"/>
      <c r="PXJ9" s="175"/>
      <c r="PXK9" s="175"/>
      <c r="PXL9" s="175"/>
      <c r="PXM9" s="175"/>
      <c r="PXN9" s="175"/>
      <c r="PXO9" s="175"/>
      <c r="PXP9" s="175"/>
      <c r="PXQ9" s="175"/>
      <c r="PXR9" s="175"/>
      <c r="PXS9" s="175"/>
      <c r="PXT9" s="175"/>
      <c r="PXU9" s="175"/>
      <c r="PXV9" s="175"/>
      <c r="PXW9" s="175"/>
      <c r="PXX9" s="175"/>
      <c r="PXY9" s="175"/>
      <c r="PXZ9" s="175"/>
      <c r="PYA9" s="175"/>
      <c r="PYB9" s="175"/>
      <c r="PYC9" s="175"/>
      <c r="PYD9" s="175"/>
      <c r="PYE9" s="175"/>
      <c r="PYF9" s="175"/>
      <c r="PYG9" s="175"/>
      <c r="PYH9" s="175"/>
      <c r="PYI9" s="175"/>
      <c r="PYJ9" s="175"/>
      <c r="PYK9" s="175"/>
      <c r="PYL9" s="175"/>
      <c r="PYM9" s="175"/>
      <c r="PYN9" s="175"/>
      <c r="PYO9" s="175"/>
      <c r="PYP9" s="175"/>
      <c r="PYQ9" s="175"/>
      <c r="PYR9" s="175"/>
      <c r="PYS9" s="175"/>
      <c r="PYT9" s="175"/>
      <c r="PYU9" s="175"/>
      <c r="PYV9" s="175"/>
      <c r="PYW9" s="175"/>
      <c r="PYX9" s="175"/>
      <c r="PYY9" s="175"/>
      <c r="PYZ9" s="175"/>
      <c r="PZA9" s="175"/>
      <c r="PZB9" s="175"/>
      <c r="PZC9" s="175"/>
      <c r="PZD9" s="175"/>
      <c r="PZE9" s="175"/>
      <c r="PZF9" s="175"/>
      <c r="PZG9" s="175"/>
      <c r="PZH9" s="175"/>
      <c r="PZI9" s="175"/>
      <c r="PZJ9" s="175"/>
      <c r="PZK9" s="175"/>
      <c r="PZL9" s="175"/>
      <c r="PZM9" s="175"/>
      <c r="PZN9" s="175"/>
      <c r="PZO9" s="175"/>
      <c r="PZP9" s="175"/>
      <c r="PZQ9" s="175"/>
      <c r="PZR9" s="175"/>
      <c r="PZS9" s="175"/>
      <c r="PZT9" s="175"/>
      <c r="PZU9" s="175"/>
      <c r="PZV9" s="175"/>
      <c r="PZW9" s="175"/>
      <c r="PZX9" s="175"/>
      <c r="PZY9" s="175"/>
      <c r="PZZ9" s="175"/>
      <c r="QAA9" s="175"/>
      <c r="QAB9" s="175"/>
      <c r="QAC9" s="175"/>
      <c r="QAD9" s="175"/>
      <c r="QAE9" s="175"/>
      <c r="QAF9" s="175"/>
      <c r="QAG9" s="175"/>
      <c r="QAH9" s="175"/>
      <c r="QAI9" s="175"/>
      <c r="QAJ9" s="175"/>
      <c r="QAK9" s="175"/>
      <c r="QAL9" s="175"/>
      <c r="QAM9" s="175"/>
      <c r="QAN9" s="175"/>
      <c r="QAO9" s="175"/>
      <c r="QAP9" s="175"/>
      <c r="QAQ9" s="175"/>
      <c r="QAR9" s="175"/>
      <c r="QAS9" s="175"/>
      <c r="QAT9" s="175"/>
      <c r="QAU9" s="175"/>
      <c r="QAV9" s="175"/>
      <c r="QAW9" s="175"/>
      <c r="QAX9" s="175"/>
      <c r="QAY9" s="175"/>
      <c r="QAZ9" s="175"/>
      <c r="QBA9" s="175"/>
      <c r="QBB9" s="175"/>
      <c r="QBC9" s="175"/>
      <c r="QBD9" s="175"/>
      <c r="QBE9" s="175"/>
      <c r="QBF9" s="175"/>
      <c r="QBG9" s="175"/>
      <c r="QBH9" s="175"/>
      <c r="QBI9" s="175"/>
      <c r="QBJ9" s="175"/>
      <c r="QBK9" s="175"/>
      <c r="QBL9" s="175"/>
      <c r="QBM9" s="175"/>
      <c r="QBN9" s="175"/>
      <c r="QBO9" s="175"/>
      <c r="QBP9" s="175"/>
      <c r="QBQ9" s="175"/>
      <c r="QBR9" s="175"/>
      <c r="QBS9" s="175"/>
      <c r="QBT9" s="175"/>
      <c r="QBU9" s="175"/>
      <c r="QBV9" s="175"/>
      <c r="QBW9" s="175"/>
      <c r="QBX9" s="175"/>
      <c r="QBY9" s="175"/>
      <c r="QBZ9" s="175"/>
      <c r="QCA9" s="175"/>
      <c r="QCB9" s="175"/>
      <c r="QCC9" s="175"/>
      <c r="QCD9" s="175"/>
      <c r="QCE9" s="175"/>
      <c r="QCF9" s="175"/>
      <c r="QCG9" s="175"/>
      <c r="QCH9" s="175"/>
      <c r="QCI9" s="175"/>
      <c r="QCJ9" s="175"/>
      <c r="QCK9" s="175"/>
      <c r="QCL9" s="175"/>
      <c r="QCM9" s="175"/>
      <c r="QCN9" s="175"/>
      <c r="QCO9" s="175"/>
      <c r="QCP9" s="175"/>
      <c r="QCQ9" s="175"/>
      <c r="QCR9" s="175"/>
      <c r="QCS9" s="175"/>
      <c r="QCT9" s="175"/>
      <c r="QCU9" s="175"/>
      <c r="QCV9" s="175"/>
      <c r="QCW9" s="175"/>
      <c r="QCX9" s="175"/>
      <c r="QCY9" s="175"/>
      <c r="QCZ9" s="175"/>
      <c r="QDA9" s="175"/>
      <c r="QDB9" s="175"/>
      <c r="QDC9" s="175"/>
      <c r="QDD9" s="175"/>
      <c r="QDE9" s="175"/>
      <c r="QDF9" s="175"/>
      <c r="QDG9" s="175"/>
      <c r="QDH9" s="175"/>
      <c r="QDI9" s="175"/>
      <c r="QDJ9" s="175"/>
      <c r="QDK9" s="175"/>
      <c r="QDL9" s="175"/>
      <c r="QDM9" s="175"/>
      <c r="QDN9" s="175"/>
      <c r="QDO9" s="175"/>
      <c r="QDP9" s="175"/>
      <c r="QDQ9" s="175"/>
      <c r="QDR9" s="175"/>
      <c r="QDS9" s="175"/>
      <c r="QDT9" s="175"/>
      <c r="QDU9" s="175"/>
      <c r="QDV9" s="175"/>
      <c r="QDW9" s="175"/>
      <c r="QDX9" s="175"/>
      <c r="QDY9" s="175"/>
      <c r="QDZ9" s="175"/>
      <c r="QEA9" s="175"/>
      <c r="QEB9" s="175"/>
      <c r="QEC9" s="175"/>
      <c r="QED9" s="175"/>
      <c r="QEE9" s="175"/>
      <c r="QEF9" s="175"/>
      <c r="QEG9" s="175"/>
      <c r="QEH9" s="175"/>
      <c r="QEI9" s="175"/>
      <c r="QEJ9" s="175"/>
      <c r="QEK9" s="175"/>
      <c r="QEL9" s="175"/>
      <c r="QEM9" s="175"/>
      <c r="QEN9" s="175"/>
      <c r="QEO9" s="175"/>
      <c r="QEP9" s="175"/>
      <c r="QEQ9" s="175"/>
      <c r="QER9" s="175"/>
      <c r="QES9" s="175"/>
      <c r="QET9" s="175"/>
      <c r="QEU9" s="175"/>
      <c r="QEV9" s="175"/>
      <c r="QEW9" s="175"/>
      <c r="QEX9" s="175"/>
      <c r="QEY9" s="175"/>
      <c r="QEZ9" s="175"/>
      <c r="QFA9" s="175"/>
      <c r="QFB9" s="175"/>
      <c r="QFC9" s="175"/>
      <c r="QFD9" s="175"/>
      <c r="QFE9" s="175"/>
      <c r="QFF9" s="175"/>
      <c r="QFG9" s="175"/>
      <c r="QFH9" s="175"/>
      <c r="QFI9" s="175"/>
      <c r="QFJ9" s="175"/>
      <c r="QFK9" s="175"/>
      <c r="QFL9" s="175"/>
      <c r="QFM9" s="175"/>
      <c r="QFN9" s="175"/>
      <c r="QFO9" s="175"/>
      <c r="QFP9" s="175"/>
      <c r="QFQ9" s="175"/>
      <c r="QFR9" s="175"/>
      <c r="QFS9" s="175"/>
      <c r="QFT9" s="175"/>
      <c r="QFU9" s="175"/>
      <c r="QFV9" s="175"/>
      <c r="QFW9" s="175"/>
      <c r="QFX9" s="175"/>
      <c r="QFY9" s="175"/>
      <c r="QFZ9" s="175"/>
      <c r="QGA9" s="175"/>
      <c r="QGB9" s="175"/>
      <c r="QGC9" s="175"/>
      <c r="QGD9" s="175"/>
      <c r="QGE9" s="175"/>
      <c r="QGF9" s="175"/>
      <c r="QGG9" s="175"/>
      <c r="QGH9" s="175"/>
      <c r="QGI9" s="175"/>
      <c r="QGJ9" s="175"/>
      <c r="QGK9" s="175"/>
      <c r="QGL9" s="175"/>
      <c r="QGM9" s="175"/>
      <c r="QGN9" s="175"/>
      <c r="QGO9" s="175"/>
      <c r="QGP9" s="175"/>
      <c r="QGQ9" s="175"/>
      <c r="QGR9" s="175"/>
      <c r="QGS9" s="175"/>
      <c r="QGT9" s="175"/>
      <c r="QGU9" s="175"/>
      <c r="QGV9" s="175"/>
      <c r="QGW9" s="175"/>
      <c r="QGX9" s="175"/>
      <c r="QGY9" s="175"/>
      <c r="QGZ9" s="175"/>
      <c r="QHA9" s="175"/>
      <c r="QHB9" s="175"/>
      <c r="QHC9" s="175"/>
      <c r="QHD9" s="175"/>
      <c r="QHE9" s="175"/>
      <c r="QHF9" s="175"/>
      <c r="QHG9" s="175"/>
      <c r="QHH9" s="175"/>
      <c r="QHI9" s="175"/>
      <c r="QHJ9" s="175"/>
      <c r="QHK9" s="175"/>
      <c r="QHL9" s="175"/>
      <c r="QHM9" s="175"/>
      <c r="QHN9" s="175"/>
      <c r="QHO9" s="175"/>
      <c r="QHP9" s="175"/>
      <c r="QHQ9" s="175"/>
      <c r="QHR9" s="175"/>
      <c r="QHS9" s="175"/>
      <c r="QHT9" s="175"/>
      <c r="QHU9" s="175"/>
      <c r="QHV9" s="175"/>
      <c r="QHW9" s="175"/>
      <c r="QHX9" s="175"/>
      <c r="QHY9" s="175"/>
      <c r="QHZ9" s="175"/>
      <c r="QIA9" s="175"/>
      <c r="QIB9" s="175"/>
      <c r="QIC9" s="175"/>
      <c r="QID9" s="175"/>
      <c r="QIE9" s="175"/>
      <c r="QIF9" s="175"/>
      <c r="QIG9" s="175"/>
      <c r="QIH9" s="175"/>
      <c r="QII9" s="175"/>
      <c r="QIJ9" s="175"/>
      <c r="QIK9" s="175"/>
      <c r="QIL9" s="175"/>
      <c r="QIM9" s="175"/>
      <c r="QIN9" s="175"/>
      <c r="QIO9" s="175"/>
      <c r="QIP9" s="175"/>
      <c r="QIQ9" s="175"/>
      <c r="QIR9" s="175"/>
      <c r="QIS9" s="175"/>
      <c r="QIT9" s="175"/>
      <c r="QIU9" s="175"/>
      <c r="QIV9" s="175"/>
      <c r="QIW9" s="175"/>
      <c r="QIX9" s="175"/>
      <c r="QIY9" s="175"/>
      <c r="QIZ9" s="175"/>
      <c r="QJA9" s="175"/>
      <c r="QJB9" s="175"/>
      <c r="QJC9" s="175"/>
      <c r="QJD9" s="175"/>
      <c r="QJE9" s="175"/>
      <c r="QJF9" s="175"/>
      <c r="QJG9" s="175"/>
      <c r="QJH9" s="175"/>
      <c r="QJI9" s="175"/>
      <c r="QJJ9" s="175"/>
      <c r="QJK9" s="175"/>
      <c r="QJL9" s="175"/>
      <c r="QJM9" s="175"/>
      <c r="QJN9" s="175"/>
      <c r="QJO9" s="175"/>
      <c r="QJP9" s="175"/>
      <c r="QJQ9" s="175"/>
      <c r="QJR9" s="175"/>
      <c r="QJS9" s="175"/>
      <c r="QJT9" s="175"/>
      <c r="QJU9" s="175"/>
      <c r="QJV9" s="175"/>
      <c r="QJW9" s="175"/>
      <c r="QJX9" s="175"/>
      <c r="QJY9" s="175"/>
      <c r="QJZ9" s="175"/>
      <c r="QKA9" s="175"/>
      <c r="QKB9" s="175"/>
      <c r="QKC9" s="175"/>
      <c r="QKD9" s="175"/>
      <c r="QKE9" s="175"/>
      <c r="QKF9" s="175"/>
      <c r="QKG9" s="175"/>
      <c r="QKH9" s="175"/>
      <c r="QKI9" s="175"/>
      <c r="QKJ9" s="175"/>
      <c r="QKK9" s="175"/>
      <c r="QKL9" s="175"/>
      <c r="QKM9" s="175"/>
      <c r="QKN9" s="175"/>
      <c r="QKO9" s="175"/>
      <c r="QKP9" s="175"/>
      <c r="QKQ9" s="175"/>
      <c r="QKR9" s="175"/>
      <c r="QKS9" s="175"/>
      <c r="QKT9" s="175"/>
      <c r="QKU9" s="175"/>
      <c r="QKV9" s="175"/>
      <c r="QKW9" s="175"/>
      <c r="QKX9" s="175"/>
      <c r="QKY9" s="175"/>
      <c r="QKZ9" s="175"/>
      <c r="QLA9" s="175"/>
      <c r="QLB9" s="175"/>
      <c r="QLC9" s="175"/>
      <c r="QLD9" s="175"/>
      <c r="QLE9" s="175"/>
      <c r="QLF9" s="175"/>
      <c r="QLG9" s="175"/>
      <c r="QLH9" s="175"/>
      <c r="QLI9" s="175"/>
      <c r="QLJ9" s="175"/>
      <c r="QLK9" s="175"/>
      <c r="QLL9" s="175"/>
      <c r="QLM9" s="175"/>
      <c r="QLN9" s="175"/>
      <c r="QLO9" s="175"/>
      <c r="QLP9" s="175"/>
      <c r="QLQ9" s="175"/>
      <c r="QLR9" s="175"/>
      <c r="QLS9" s="175"/>
      <c r="QLT9" s="175"/>
      <c r="QLU9" s="175"/>
      <c r="QLV9" s="175"/>
      <c r="QLW9" s="175"/>
      <c r="QLX9" s="175"/>
      <c r="QLY9" s="175"/>
      <c r="QLZ9" s="175"/>
      <c r="QMA9" s="175"/>
      <c r="QMB9" s="175"/>
      <c r="QMC9" s="175"/>
      <c r="QMD9" s="175"/>
      <c r="QME9" s="175"/>
      <c r="QMF9" s="175"/>
      <c r="QMG9" s="175"/>
      <c r="QMH9" s="175"/>
      <c r="QMI9" s="175"/>
      <c r="QMJ9" s="175"/>
      <c r="QMK9" s="175"/>
      <c r="QML9" s="175"/>
      <c r="QMM9" s="175"/>
      <c r="QMN9" s="175"/>
      <c r="QMO9" s="175"/>
      <c r="QMP9" s="175"/>
      <c r="QMQ9" s="175"/>
      <c r="QMR9" s="175"/>
      <c r="QMS9" s="175"/>
      <c r="QMT9" s="175"/>
      <c r="QMU9" s="175"/>
      <c r="QMV9" s="175"/>
      <c r="QMW9" s="175"/>
      <c r="QMX9" s="175"/>
      <c r="QMY9" s="175"/>
      <c r="QMZ9" s="175"/>
      <c r="QNA9" s="175"/>
      <c r="QNB9" s="175"/>
      <c r="QNC9" s="175"/>
      <c r="QND9" s="175"/>
      <c r="QNE9" s="175"/>
      <c r="QNF9" s="175"/>
      <c r="QNG9" s="175"/>
      <c r="QNH9" s="175"/>
      <c r="QNI9" s="175"/>
      <c r="QNJ9" s="175"/>
      <c r="QNK9" s="175"/>
      <c r="QNL9" s="175"/>
      <c r="QNM9" s="175"/>
      <c r="QNN9" s="175"/>
      <c r="QNO9" s="175"/>
      <c r="QNP9" s="175"/>
      <c r="QNQ9" s="175"/>
      <c r="QNR9" s="175"/>
      <c r="QNS9" s="175"/>
      <c r="QNT9" s="175"/>
      <c r="QNU9" s="175"/>
      <c r="QNV9" s="175"/>
      <c r="QNW9" s="175"/>
      <c r="QNX9" s="175"/>
      <c r="QNY9" s="175"/>
      <c r="QNZ9" s="175"/>
      <c r="QOA9" s="175"/>
      <c r="QOB9" s="175"/>
      <c r="QOC9" s="175"/>
      <c r="QOD9" s="175"/>
      <c r="QOE9" s="175"/>
      <c r="QOF9" s="175"/>
      <c r="QOG9" s="175"/>
      <c r="QOH9" s="175"/>
      <c r="QOI9" s="175"/>
      <c r="QOJ9" s="175"/>
      <c r="QOK9" s="175"/>
      <c r="QOL9" s="175"/>
      <c r="QOM9" s="175"/>
      <c r="QON9" s="175"/>
      <c r="QOO9" s="175"/>
      <c r="QOP9" s="175"/>
      <c r="QOQ9" s="175"/>
      <c r="QOR9" s="175"/>
      <c r="QOS9" s="175"/>
      <c r="QOT9" s="175"/>
      <c r="QOU9" s="175"/>
      <c r="QOV9" s="175"/>
      <c r="QOW9" s="175"/>
      <c r="QOX9" s="175"/>
      <c r="QOY9" s="175"/>
      <c r="QOZ9" s="175"/>
      <c r="QPA9" s="175"/>
      <c r="QPB9" s="175"/>
      <c r="QPC9" s="175"/>
      <c r="QPD9" s="175"/>
      <c r="QPE9" s="175"/>
      <c r="QPF9" s="175"/>
      <c r="QPG9" s="175"/>
      <c r="QPH9" s="175"/>
      <c r="QPI9" s="175"/>
      <c r="QPJ9" s="175"/>
      <c r="QPK9" s="175"/>
      <c r="QPL9" s="175"/>
      <c r="QPM9" s="175"/>
      <c r="QPN9" s="175"/>
      <c r="QPO9" s="175"/>
      <c r="QPP9" s="175"/>
      <c r="QPQ9" s="175"/>
      <c r="QPR9" s="175"/>
      <c r="QPS9" s="175"/>
      <c r="QPT9" s="175"/>
      <c r="QPU9" s="175"/>
      <c r="QPV9" s="175"/>
      <c r="QPW9" s="175"/>
      <c r="QPX9" s="175"/>
      <c r="QPY9" s="175"/>
      <c r="QPZ9" s="175"/>
      <c r="QQA9" s="175"/>
      <c r="QQB9" s="175"/>
      <c r="QQC9" s="175"/>
      <c r="QQD9" s="175"/>
      <c r="QQE9" s="175"/>
      <c r="QQF9" s="175"/>
      <c r="QQG9" s="175"/>
      <c r="QQH9" s="175"/>
      <c r="QQI9" s="175"/>
      <c r="QQJ9" s="175"/>
      <c r="QQK9" s="175"/>
      <c r="QQL9" s="175"/>
      <c r="QQM9" s="175"/>
      <c r="QQN9" s="175"/>
      <c r="QQO9" s="175"/>
      <c r="QQP9" s="175"/>
      <c r="QQQ9" s="175"/>
      <c r="QQR9" s="175"/>
      <c r="QQS9" s="175"/>
      <c r="QQT9" s="175"/>
      <c r="QQU9" s="175"/>
      <c r="QQV9" s="175"/>
      <c r="QQW9" s="175"/>
      <c r="QQX9" s="175"/>
      <c r="QQY9" s="175"/>
      <c r="QQZ9" s="175"/>
      <c r="QRA9" s="175"/>
      <c r="QRB9" s="175"/>
      <c r="QRC9" s="175"/>
      <c r="QRD9" s="175"/>
      <c r="QRE9" s="175"/>
      <c r="QRF9" s="175"/>
      <c r="QRG9" s="175"/>
      <c r="QRH9" s="175"/>
      <c r="QRI9" s="175"/>
      <c r="QRJ9" s="175"/>
      <c r="QRK9" s="175"/>
      <c r="QRL9" s="175"/>
      <c r="QRM9" s="175"/>
      <c r="QRN9" s="175"/>
      <c r="QRO9" s="175"/>
      <c r="QRP9" s="175"/>
      <c r="QRQ9" s="175"/>
      <c r="QRR9" s="175"/>
      <c r="QRS9" s="175"/>
      <c r="QRT9" s="175"/>
      <c r="QRU9" s="175"/>
      <c r="QRV9" s="175"/>
      <c r="QRW9" s="175"/>
      <c r="QRX9" s="175"/>
      <c r="QRY9" s="175"/>
      <c r="QRZ9" s="175"/>
      <c r="QSA9" s="175"/>
      <c r="QSB9" s="175"/>
      <c r="QSC9" s="175"/>
      <c r="QSD9" s="175"/>
      <c r="QSE9" s="175"/>
      <c r="QSF9" s="175"/>
      <c r="QSG9" s="175"/>
      <c r="QSH9" s="175"/>
      <c r="QSI9" s="175"/>
      <c r="QSJ9" s="175"/>
      <c r="QSK9" s="175"/>
      <c r="QSL9" s="175"/>
      <c r="QSM9" s="175"/>
      <c r="QSN9" s="175"/>
      <c r="QSO9" s="175"/>
      <c r="QSP9" s="175"/>
      <c r="QSQ9" s="175"/>
      <c r="QSR9" s="175"/>
      <c r="QSS9" s="175"/>
      <c r="QST9" s="175"/>
      <c r="QSU9" s="175"/>
      <c r="QSV9" s="175"/>
      <c r="QSW9" s="175"/>
      <c r="QSX9" s="175"/>
      <c r="QSY9" s="175"/>
      <c r="QSZ9" s="175"/>
      <c r="QTA9" s="175"/>
      <c r="QTB9" s="175"/>
      <c r="QTC9" s="175"/>
      <c r="QTD9" s="175"/>
      <c r="QTE9" s="175"/>
      <c r="QTF9" s="175"/>
      <c r="QTG9" s="175"/>
      <c r="QTH9" s="175"/>
      <c r="QTI9" s="175"/>
      <c r="QTJ9" s="175"/>
      <c r="QTK9" s="175"/>
      <c r="QTL9" s="175"/>
      <c r="QTM9" s="175"/>
      <c r="QTN9" s="175"/>
      <c r="QTO9" s="175"/>
      <c r="QTP9" s="175"/>
      <c r="QTQ9" s="175"/>
      <c r="QTR9" s="175"/>
      <c r="QTS9" s="175"/>
      <c r="QTT9" s="175"/>
      <c r="QTU9" s="175"/>
      <c r="QTV9" s="175"/>
      <c r="QTW9" s="175"/>
      <c r="QTX9" s="175"/>
      <c r="QTY9" s="175"/>
      <c r="QTZ9" s="175"/>
      <c r="QUA9" s="175"/>
      <c r="QUB9" s="175"/>
      <c r="QUC9" s="175"/>
      <c r="QUD9" s="175"/>
      <c r="QUE9" s="175"/>
      <c r="QUF9" s="175"/>
      <c r="QUG9" s="175"/>
      <c r="QUH9" s="175"/>
      <c r="QUI9" s="175"/>
      <c r="QUJ9" s="175"/>
      <c r="QUK9" s="175"/>
      <c r="QUL9" s="175"/>
      <c r="QUM9" s="175"/>
      <c r="QUN9" s="175"/>
      <c r="QUO9" s="175"/>
      <c r="QUP9" s="175"/>
      <c r="QUQ9" s="175"/>
      <c r="QUR9" s="175"/>
      <c r="QUS9" s="175"/>
      <c r="QUT9" s="175"/>
      <c r="QUU9" s="175"/>
      <c r="QUV9" s="175"/>
      <c r="QUW9" s="175"/>
      <c r="QUX9" s="175"/>
      <c r="QUY9" s="175"/>
      <c r="QUZ9" s="175"/>
      <c r="QVA9" s="175"/>
      <c r="QVB9" s="175"/>
      <c r="QVC9" s="175"/>
      <c r="QVD9" s="175"/>
      <c r="QVE9" s="175"/>
      <c r="QVF9" s="175"/>
      <c r="QVG9" s="175"/>
      <c r="QVH9" s="175"/>
      <c r="QVI9" s="175"/>
      <c r="QVJ9" s="175"/>
      <c r="QVK9" s="175"/>
      <c r="QVL9" s="175"/>
      <c r="QVM9" s="175"/>
      <c r="QVN9" s="175"/>
      <c r="QVO9" s="175"/>
      <c r="QVP9" s="175"/>
      <c r="QVQ9" s="175"/>
      <c r="QVR9" s="175"/>
      <c r="QVS9" s="175"/>
      <c r="QVT9" s="175"/>
      <c r="QVU9" s="175"/>
      <c r="QVV9" s="175"/>
      <c r="QVW9" s="175"/>
      <c r="QVX9" s="175"/>
      <c r="QVY9" s="175"/>
      <c r="QVZ9" s="175"/>
      <c r="QWA9" s="175"/>
      <c r="QWB9" s="175"/>
      <c r="QWC9" s="175"/>
      <c r="QWD9" s="175"/>
      <c r="QWE9" s="175"/>
      <c r="QWF9" s="175"/>
      <c r="QWG9" s="175"/>
      <c r="QWH9" s="175"/>
      <c r="QWI9" s="175"/>
      <c r="QWJ9" s="175"/>
      <c r="QWK9" s="175"/>
      <c r="QWL9" s="175"/>
      <c r="QWM9" s="175"/>
      <c r="QWN9" s="175"/>
      <c r="QWO9" s="175"/>
      <c r="QWP9" s="175"/>
      <c r="QWQ9" s="175"/>
      <c r="QWR9" s="175"/>
      <c r="QWS9" s="175"/>
      <c r="QWT9" s="175"/>
      <c r="QWU9" s="175"/>
      <c r="QWV9" s="175"/>
      <c r="QWW9" s="175"/>
      <c r="QWX9" s="175"/>
      <c r="QWY9" s="175"/>
      <c r="QWZ9" s="175"/>
      <c r="QXA9" s="175"/>
      <c r="QXB9" s="175"/>
      <c r="QXC9" s="175"/>
      <c r="QXD9" s="175"/>
      <c r="QXE9" s="175"/>
      <c r="QXF9" s="175"/>
      <c r="QXG9" s="175"/>
      <c r="QXH9" s="175"/>
      <c r="QXI9" s="175"/>
      <c r="QXJ9" s="175"/>
      <c r="QXK9" s="175"/>
      <c r="QXL9" s="175"/>
      <c r="QXM9" s="175"/>
      <c r="QXN9" s="175"/>
      <c r="QXO9" s="175"/>
      <c r="QXP9" s="175"/>
      <c r="QXQ9" s="175"/>
      <c r="QXR9" s="175"/>
      <c r="QXS9" s="175"/>
      <c r="QXT9" s="175"/>
      <c r="QXU9" s="175"/>
      <c r="QXV9" s="175"/>
      <c r="QXW9" s="175"/>
      <c r="QXX9" s="175"/>
      <c r="QXY9" s="175"/>
      <c r="QXZ9" s="175"/>
      <c r="QYA9" s="175"/>
      <c r="QYB9" s="175"/>
      <c r="QYC9" s="175"/>
      <c r="QYD9" s="175"/>
      <c r="QYE9" s="175"/>
      <c r="QYF9" s="175"/>
      <c r="QYG9" s="175"/>
      <c r="QYH9" s="175"/>
      <c r="QYI9" s="175"/>
      <c r="QYJ9" s="175"/>
      <c r="QYK9" s="175"/>
      <c r="QYL9" s="175"/>
      <c r="QYM9" s="175"/>
      <c r="QYN9" s="175"/>
      <c r="QYO9" s="175"/>
      <c r="QYP9" s="175"/>
      <c r="QYQ9" s="175"/>
      <c r="QYR9" s="175"/>
      <c r="QYS9" s="175"/>
      <c r="QYT9" s="175"/>
      <c r="QYU9" s="175"/>
      <c r="QYV9" s="175"/>
      <c r="QYW9" s="175"/>
      <c r="QYX9" s="175"/>
      <c r="QYY9" s="175"/>
      <c r="QYZ9" s="175"/>
      <c r="QZA9" s="175"/>
      <c r="QZB9" s="175"/>
      <c r="QZC9" s="175"/>
      <c r="QZD9" s="175"/>
      <c r="QZE9" s="175"/>
      <c r="QZF9" s="175"/>
      <c r="QZG9" s="175"/>
      <c r="QZH9" s="175"/>
      <c r="QZI9" s="175"/>
      <c r="QZJ9" s="175"/>
      <c r="QZK9" s="175"/>
      <c r="QZL9" s="175"/>
      <c r="QZM9" s="175"/>
      <c r="QZN9" s="175"/>
      <c r="QZO9" s="175"/>
      <c r="QZP9" s="175"/>
      <c r="QZQ9" s="175"/>
      <c r="QZR9" s="175"/>
      <c r="QZS9" s="175"/>
      <c r="QZT9" s="175"/>
      <c r="QZU9" s="175"/>
      <c r="QZV9" s="175"/>
      <c r="QZW9" s="175"/>
      <c r="QZX9" s="175"/>
      <c r="QZY9" s="175"/>
      <c r="QZZ9" s="175"/>
      <c r="RAA9" s="175"/>
      <c r="RAB9" s="175"/>
      <c r="RAC9" s="175"/>
      <c r="RAD9" s="175"/>
      <c r="RAE9" s="175"/>
      <c r="RAF9" s="175"/>
      <c r="RAG9" s="175"/>
      <c r="RAH9" s="175"/>
      <c r="RAI9" s="175"/>
      <c r="RAJ9" s="175"/>
      <c r="RAK9" s="175"/>
      <c r="RAL9" s="175"/>
      <c r="RAM9" s="175"/>
      <c r="RAN9" s="175"/>
      <c r="RAO9" s="175"/>
      <c r="RAP9" s="175"/>
      <c r="RAQ9" s="175"/>
      <c r="RAR9" s="175"/>
      <c r="RAS9" s="175"/>
      <c r="RAT9" s="175"/>
      <c r="RAU9" s="175"/>
      <c r="RAV9" s="175"/>
      <c r="RAW9" s="175"/>
      <c r="RAX9" s="175"/>
      <c r="RAY9" s="175"/>
      <c r="RAZ9" s="175"/>
      <c r="RBA9" s="175"/>
      <c r="RBB9" s="175"/>
      <c r="RBC9" s="175"/>
      <c r="RBD9" s="175"/>
      <c r="RBE9" s="175"/>
      <c r="RBF9" s="175"/>
      <c r="RBG9" s="175"/>
      <c r="RBH9" s="175"/>
      <c r="RBI9" s="175"/>
      <c r="RBJ9" s="175"/>
      <c r="RBK9" s="175"/>
      <c r="RBL9" s="175"/>
      <c r="RBM9" s="175"/>
      <c r="RBN9" s="175"/>
      <c r="RBO9" s="175"/>
      <c r="RBP9" s="175"/>
      <c r="RBQ9" s="175"/>
      <c r="RBR9" s="175"/>
      <c r="RBS9" s="175"/>
      <c r="RBT9" s="175"/>
      <c r="RBU9" s="175"/>
      <c r="RBV9" s="175"/>
      <c r="RBW9" s="175"/>
      <c r="RBX9" s="175"/>
      <c r="RBY9" s="175"/>
      <c r="RBZ9" s="175"/>
      <c r="RCA9" s="175"/>
      <c r="RCB9" s="175"/>
      <c r="RCC9" s="175"/>
      <c r="RCD9" s="175"/>
      <c r="RCE9" s="175"/>
      <c r="RCF9" s="175"/>
      <c r="RCG9" s="175"/>
      <c r="RCH9" s="175"/>
      <c r="RCI9" s="175"/>
      <c r="RCJ9" s="175"/>
      <c r="RCK9" s="175"/>
      <c r="RCL9" s="175"/>
      <c r="RCM9" s="175"/>
      <c r="RCN9" s="175"/>
      <c r="RCO9" s="175"/>
      <c r="RCP9" s="175"/>
      <c r="RCQ9" s="175"/>
      <c r="RCR9" s="175"/>
      <c r="RCS9" s="175"/>
      <c r="RCT9" s="175"/>
      <c r="RCU9" s="175"/>
      <c r="RCV9" s="175"/>
      <c r="RCW9" s="175"/>
      <c r="RCX9" s="175"/>
      <c r="RCY9" s="175"/>
      <c r="RCZ9" s="175"/>
      <c r="RDA9" s="175"/>
      <c r="RDB9" s="175"/>
      <c r="RDC9" s="175"/>
      <c r="RDD9" s="175"/>
      <c r="RDE9" s="175"/>
      <c r="RDF9" s="175"/>
      <c r="RDG9" s="175"/>
      <c r="RDH9" s="175"/>
      <c r="RDI9" s="175"/>
      <c r="RDJ9" s="175"/>
      <c r="RDK9" s="175"/>
      <c r="RDL9" s="175"/>
      <c r="RDM9" s="175"/>
      <c r="RDN9" s="175"/>
      <c r="RDO9" s="175"/>
      <c r="RDP9" s="175"/>
      <c r="RDQ9" s="175"/>
      <c r="RDR9" s="175"/>
      <c r="RDS9" s="175"/>
      <c r="RDT9" s="175"/>
      <c r="RDU9" s="175"/>
      <c r="RDV9" s="175"/>
      <c r="RDW9" s="175"/>
      <c r="RDX9" s="175"/>
      <c r="RDY9" s="175"/>
      <c r="RDZ9" s="175"/>
      <c r="REA9" s="175"/>
      <c r="REB9" s="175"/>
      <c r="REC9" s="175"/>
      <c r="RED9" s="175"/>
      <c r="REE9" s="175"/>
      <c r="REF9" s="175"/>
      <c r="REG9" s="175"/>
      <c r="REH9" s="175"/>
      <c r="REI9" s="175"/>
      <c r="REJ9" s="175"/>
      <c r="REK9" s="175"/>
      <c r="REL9" s="175"/>
      <c r="REM9" s="175"/>
      <c r="REN9" s="175"/>
      <c r="REO9" s="175"/>
      <c r="REP9" s="175"/>
      <c r="REQ9" s="175"/>
      <c r="RER9" s="175"/>
      <c r="RES9" s="175"/>
      <c r="RET9" s="175"/>
      <c r="REU9" s="175"/>
      <c r="REV9" s="175"/>
      <c r="REW9" s="175"/>
      <c r="REX9" s="175"/>
      <c r="REY9" s="175"/>
      <c r="REZ9" s="175"/>
      <c r="RFA9" s="175"/>
      <c r="RFB9" s="175"/>
      <c r="RFC9" s="175"/>
      <c r="RFD9" s="175"/>
      <c r="RFE9" s="175"/>
      <c r="RFF9" s="175"/>
      <c r="RFG9" s="175"/>
      <c r="RFH9" s="175"/>
      <c r="RFI9" s="175"/>
      <c r="RFJ9" s="175"/>
      <c r="RFK9" s="175"/>
      <c r="RFL9" s="175"/>
      <c r="RFM9" s="175"/>
      <c r="RFN9" s="175"/>
      <c r="RFO9" s="175"/>
      <c r="RFP9" s="175"/>
      <c r="RFQ9" s="175"/>
      <c r="RFR9" s="175"/>
      <c r="RFS9" s="175"/>
      <c r="RFT9" s="175"/>
      <c r="RFU9" s="175"/>
      <c r="RFV9" s="175"/>
      <c r="RFW9" s="175"/>
      <c r="RFX9" s="175"/>
      <c r="RFY9" s="175"/>
      <c r="RFZ9" s="175"/>
      <c r="RGA9" s="175"/>
      <c r="RGB9" s="175"/>
      <c r="RGC9" s="175"/>
      <c r="RGD9" s="175"/>
      <c r="RGE9" s="175"/>
      <c r="RGF9" s="175"/>
      <c r="RGG9" s="175"/>
      <c r="RGH9" s="175"/>
      <c r="RGI9" s="175"/>
      <c r="RGJ9" s="175"/>
      <c r="RGK9" s="175"/>
      <c r="RGL9" s="175"/>
      <c r="RGM9" s="175"/>
      <c r="RGN9" s="175"/>
      <c r="RGO9" s="175"/>
      <c r="RGP9" s="175"/>
      <c r="RGQ9" s="175"/>
      <c r="RGR9" s="175"/>
      <c r="RGS9" s="175"/>
      <c r="RGT9" s="175"/>
      <c r="RGU9" s="175"/>
      <c r="RGV9" s="175"/>
      <c r="RGW9" s="175"/>
      <c r="RGX9" s="175"/>
      <c r="RGY9" s="175"/>
      <c r="RGZ9" s="175"/>
      <c r="RHA9" s="175"/>
      <c r="RHB9" s="175"/>
      <c r="RHC9" s="175"/>
      <c r="RHD9" s="175"/>
      <c r="RHE9" s="175"/>
      <c r="RHF9" s="175"/>
      <c r="RHG9" s="175"/>
      <c r="RHH9" s="175"/>
      <c r="RHI9" s="175"/>
      <c r="RHJ9" s="175"/>
      <c r="RHK9" s="175"/>
      <c r="RHL9" s="175"/>
      <c r="RHM9" s="175"/>
      <c r="RHN9" s="175"/>
      <c r="RHO9" s="175"/>
      <c r="RHP9" s="175"/>
      <c r="RHQ9" s="175"/>
      <c r="RHR9" s="175"/>
      <c r="RHS9" s="175"/>
      <c r="RHT9" s="175"/>
      <c r="RHU9" s="175"/>
      <c r="RHV9" s="175"/>
      <c r="RHW9" s="175"/>
      <c r="RHX9" s="175"/>
      <c r="RHY9" s="175"/>
      <c r="RHZ9" s="175"/>
      <c r="RIA9" s="175"/>
      <c r="RIB9" s="175"/>
      <c r="RIC9" s="175"/>
      <c r="RID9" s="175"/>
      <c r="RIE9" s="175"/>
      <c r="RIF9" s="175"/>
      <c r="RIG9" s="175"/>
      <c r="RIH9" s="175"/>
      <c r="RII9" s="175"/>
      <c r="RIJ9" s="175"/>
      <c r="RIK9" s="175"/>
      <c r="RIL9" s="175"/>
      <c r="RIM9" s="175"/>
      <c r="RIN9" s="175"/>
      <c r="RIO9" s="175"/>
      <c r="RIP9" s="175"/>
      <c r="RIQ9" s="175"/>
      <c r="RIR9" s="175"/>
      <c r="RIS9" s="175"/>
      <c r="RIT9" s="175"/>
      <c r="RIU9" s="175"/>
      <c r="RIV9" s="175"/>
      <c r="RIW9" s="175"/>
      <c r="RIX9" s="175"/>
      <c r="RIY9" s="175"/>
      <c r="RIZ9" s="175"/>
      <c r="RJA9" s="175"/>
      <c r="RJB9" s="175"/>
      <c r="RJC9" s="175"/>
      <c r="RJD9" s="175"/>
      <c r="RJE9" s="175"/>
      <c r="RJF9" s="175"/>
      <c r="RJG9" s="175"/>
      <c r="RJH9" s="175"/>
      <c r="RJI9" s="175"/>
      <c r="RJJ9" s="175"/>
      <c r="RJK9" s="175"/>
      <c r="RJL9" s="175"/>
      <c r="RJM9" s="175"/>
      <c r="RJN9" s="175"/>
      <c r="RJO9" s="175"/>
      <c r="RJP9" s="175"/>
      <c r="RJQ9" s="175"/>
      <c r="RJR9" s="175"/>
      <c r="RJS9" s="175"/>
      <c r="RJT9" s="175"/>
      <c r="RJU9" s="175"/>
      <c r="RJV9" s="175"/>
      <c r="RJW9" s="175"/>
      <c r="RJX9" s="175"/>
      <c r="RJY9" s="175"/>
      <c r="RJZ9" s="175"/>
      <c r="RKA9" s="175"/>
      <c r="RKB9" s="175"/>
      <c r="RKC9" s="175"/>
      <c r="RKD9" s="175"/>
      <c r="RKE9" s="175"/>
      <c r="RKF9" s="175"/>
      <c r="RKG9" s="175"/>
      <c r="RKH9" s="175"/>
      <c r="RKI9" s="175"/>
      <c r="RKJ9" s="175"/>
      <c r="RKK9" s="175"/>
      <c r="RKL9" s="175"/>
      <c r="RKM9" s="175"/>
      <c r="RKN9" s="175"/>
      <c r="RKO9" s="175"/>
      <c r="RKP9" s="175"/>
      <c r="RKQ9" s="175"/>
      <c r="RKR9" s="175"/>
      <c r="RKS9" s="175"/>
      <c r="RKT9" s="175"/>
      <c r="RKU9" s="175"/>
      <c r="RKV9" s="175"/>
      <c r="RKW9" s="175"/>
      <c r="RKX9" s="175"/>
      <c r="RKY9" s="175"/>
      <c r="RKZ9" s="175"/>
      <c r="RLA9" s="175"/>
      <c r="RLB9" s="175"/>
      <c r="RLC9" s="175"/>
      <c r="RLD9" s="175"/>
      <c r="RLE9" s="175"/>
      <c r="RLF9" s="175"/>
      <c r="RLG9" s="175"/>
      <c r="RLH9" s="175"/>
      <c r="RLI9" s="175"/>
      <c r="RLJ9" s="175"/>
      <c r="RLK9" s="175"/>
      <c r="RLL9" s="175"/>
      <c r="RLM9" s="175"/>
      <c r="RLN9" s="175"/>
      <c r="RLO9" s="175"/>
      <c r="RLP9" s="175"/>
      <c r="RLQ9" s="175"/>
      <c r="RLR9" s="175"/>
      <c r="RLS9" s="175"/>
      <c r="RLT9" s="175"/>
      <c r="RLU9" s="175"/>
      <c r="RLV9" s="175"/>
      <c r="RLW9" s="175"/>
      <c r="RLX9" s="175"/>
      <c r="RLY9" s="175"/>
      <c r="RLZ9" s="175"/>
      <c r="RMA9" s="175"/>
      <c r="RMB9" s="175"/>
      <c r="RMC9" s="175"/>
      <c r="RMD9" s="175"/>
      <c r="RME9" s="175"/>
      <c r="RMF9" s="175"/>
      <c r="RMG9" s="175"/>
      <c r="RMH9" s="175"/>
      <c r="RMI9" s="175"/>
      <c r="RMJ9" s="175"/>
      <c r="RMK9" s="175"/>
      <c r="RML9" s="175"/>
      <c r="RMM9" s="175"/>
      <c r="RMN9" s="175"/>
      <c r="RMO9" s="175"/>
      <c r="RMP9" s="175"/>
      <c r="RMQ9" s="175"/>
      <c r="RMR9" s="175"/>
      <c r="RMS9" s="175"/>
      <c r="RMT9" s="175"/>
      <c r="RMU9" s="175"/>
      <c r="RMV9" s="175"/>
      <c r="RMW9" s="175"/>
      <c r="RMX9" s="175"/>
      <c r="RMY9" s="175"/>
      <c r="RMZ9" s="175"/>
      <c r="RNA9" s="175"/>
      <c r="RNB9" s="175"/>
      <c r="RNC9" s="175"/>
      <c r="RND9" s="175"/>
      <c r="RNE9" s="175"/>
      <c r="RNF9" s="175"/>
      <c r="RNG9" s="175"/>
      <c r="RNH9" s="175"/>
      <c r="RNI9" s="175"/>
      <c r="RNJ9" s="175"/>
      <c r="RNK9" s="175"/>
      <c r="RNL9" s="175"/>
      <c r="RNM9" s="175"/>
      <c r="RNN9" s="175"/>
      <c r="RNO9" s="175"/>
      <c r="RNP9" s="175"/>
      <c r="RNQ9" s="175"/>
      <c r="RNR9" s="175"/>
      <c r="RNS9" s="175"/>
      <c r="RNT9" s="175"/>
      <c r="RNU9" s="175"/>
      <c r="RNV9" s="175"/>
      <c r="RNW9" s="175"/>
      <c r="RNX9" s="175"/>
      <c r="RNY9" s="175"/>
      <c r="RNZ9" s="175"/>
      <c r="ROA9" s="175"/>
      <c r="ROB9" s="175"/>
      <c r="ROC9" s="175"/>
      <c r="ROD9" s="175"/>
      <c r="ROE9" s="175"/>
      <c r="ROF9" s="175"/>
      <c r="ROG9" s="175"/>
      <c r="ROH9" s="175"/>
      <c r="ROI9" s="175"/>
      <c r="ROJ9" s="175"/>
      <c r="ROK9" s="175"/>
      <c r="ROL9" s="175"/>
      <c r="ROM9" s="175"/>
      <c r="RON9" s="175"/>
      <c r="ROO9" s="175"/>
      <c r="ROP9" s="175"/>
      <c r="ROQ9" s="175"/>
      <c r="ROR9" s="175"/>
      <c r="ROS9" s="175"/>
      <c r="ROT9" s="175"/>
      <c r="ROU9" s="175"/>
      <c r="ROV9" s="175"/>
      <c r="ROW9" s="175"/>
      <c r="ROX9" s="175"/>
      <c r="ROY9" s="175"/>
      <c r="ROZ9" s="175"/>
      <c r="RPA9" s="175"/>
      <c r="RPB9" s="175"/>
      <c r="RPC9" s="175"/>
      <c r="RPD9" s="175"/>
      <c r="RPE9" s="175"/>
      <c r="RPF9" s="175"/>
      <c r="RPG9" s="175"/>
      <c r="RPH9" s="175"/>
      <c r="RPI9" s="175"/>
      <c r="RPJ9" s="175"/>
      <c r="RPK9" s="175"/>
      <c r="RPL9" s="175"/>
      <c r="RPM9" s="175"/>
      <c r="RPN9" s="175"/>
      <c r="RPO9" s="175"/>
      <c r="RPP9" s="175"/>
      <c r="RPQ9" s="175"/>
      <c r="RPR9" s="175"/>
      <c r="RPS9" s="175"/>
      <c r="RPT9" s="175"/>
      <c r="RPU9" s="175"/>
      <c r="RPV9" s="175"/>
      <c r="RPW9" s="175"/>
      <c r="RPX9" s="175"/>
      <c r="RPY9" s="175"/>
      <c r="RPZ9" s="175"/>
      <c r="RQA9" s="175"/>
      <c r="RQB9" s="175"/>
      <c r="RQC9" s="175"/>
      <c r="RQD9" s="175"/>
      <c r="RQE9" s="175"/>
      <c r="RQF9" s="175"/>
      <c r="RQG9" s="175"/>
      <c r="RQH9" s="175"/>
      <c r="RQI9" s="175"/>
      <c r="RQJ9" s="175"/>
      <c r="RQK9" s="175"/>
      <c r="RQL9" s="175"/>
      <c r="RQM9" s="175"/>
      <c r="RQN9" s="175"/>
      <c r="RQO9" s="175"/>
      <c r="RQP9" s="175"/>
      <c r="RQQ9" s="175"/>
      <c r="RQR9" s="175"/>
      <c r="RQS9" s="175"/>
      <c r="RQT9" s="175"/>
      <c r="RQU9" s="175"/>
      <c r="RQV9" s="175"/>
      <c r="RQW9" s="175"/>
      <c r="RQX9" s="175"/>
      <c r="RQY9" s="175"/>
      <c r="RQZ9" s="175"/>
      <c r="RRA9" s="175"/>
      <c r="RRB9" s="175"/>
      <c r="RRC9" s="175"/>
      <c r="RRD9" s="175"/>
      <c r="RRE9" s="175"/>
      <c r="RRF9" s="175"/>
      <c r="RRG9" s="175"/>
      <c r="RRH9" s="175"/>
      <c r="RRI9" s="175"/>
      <c r="RRJ9" s="175"/>
      <c r="RRK9" s="175"/>
      <c r="RRL9" s="175"/>
      <c r="RRM9" s="175"/>
      <c r="RRN9" s="175"/>
      <c r="RRO9" s="175"/>
      <c r="RRP9" s="175"/>
      <c r="RRQ9" s="175"/>
      <c r="RRR9" s="175"/>
      <c r="RRS9" s="175"/>
      <c r="RRT9" s="175"/>
      <c r="RRU9" s="175"/>
      <c r="RRV9" s="175"/>
      <c r="RRW9" s="175"/>
      <c r="RRX9" s="175"/>
      <c r="RRY9" s="175"/>
      <c r="RRZ9" s="175"/>
      <c r="RSA9" s="175"/>
      <c r="RSB9" s="175"/>
      <c r="RSC9" s="175"/>
      <c r="RSD9" s="175"/>
      <c r="RSE9" s="175"/>
      <c r="RSF9" s="175"/>
      <c r="RSG9" s="175"/>
      <c r="RSH9" s="175"/>
      <c r="RSI9" s="175"/>
      <c r="RSJ9" s="175"/>
      <c r="RSK9" s="175"/>
      <c r="RSL9" s="175"/>
      <c r="RSM9" s="175"/>
      <c r="RSN9" s="175"/>
      <c r="RSO9" s="175"/>
      <c r="RSP9" s="175"/>
      <c r="RSQ9" s="175"/>
      <c r="RSR9" s="175"/>
      <c r="RSS9" s="175"/>
      <c r="RST9" s="175"/>
      <c r="RSU9" s="175"/>
      <c r="RSV9" s="175"/>
      <c r="RSW9" s="175"/>
      <c r="RSX9" s="175"/>
      <c r="RSY9" s="175"/>
      <c r="RSZ9" s="175"/>
      <c r="RTA9" s="175"/>
      <c r="RTB9" s="175"/>
      <c r="RTC9" s="175"/>
      <c r="RTD9" s="175"/>
      <c r="RTE9" s="175"/>
      <c r="RTF9" s="175"/>
      <c r="RTG9" s="175"/>
      <c r="RTH9" s="175"/>
      <c r="RTI9" s="175"/>
      <c r="RTJ9" s="175"/>
      <c r="RTK9" s="175"/>
      <c r="RTL9" s="175"/>
      <c r="RTM9" s="175"/>
      <c r="RTN9" s="175"/>
      <c r="RTO9" s="175"/>
      <c r="RTP9" s="175"/>
      <c r="RTQ9" s="175"/>
      <c r="RTR9" s="175"/>
      <c r="RTS9" s="175"/>
      <c r="RTT9" s="175"/>
      <c r="RTU9" s="175"/>
      <c r="RTV9" s="175"/>
      <c r="RTW9" s="175"/>
      <c r="RTX9" s="175"/>
      <c r="RTY9" s="175"/>
      <c r="RTZ9" s="175"/>
      <c r="RUA9" s="175"/>
      <c r="RUB9" s="175"/>
      <c r="RUC9" s="175"/>
      <c r="RUD9" s="175"/>
      <c r="RUE9" s="175"/>
      <c r="RUF9" s="175"/>
      <c r="RUG9" s="175"/>
      <c r="RUH9" s="175"/>
      <c r="RUI9" s="175"/>
      <c r="RUJ9" s="175"/>
      <c r="RUK9" s="175"/>
      <c r="RUL9" s="175"/>
      <c r="RUM9" s="175"/>
      <c r="RUN9" s="175"/>
      <c r="RUO9" s="175"/>
      <c r="RUP9" s="175"/>
      <c r="RUQ9" s="175"/>
      <c r="RUR9" s="175"/>
      <c r="RUS9" s="175"/>
      <c r="RUT9" s="175"/>
      <c r="RUU9" s="175"/>
      <c r="RUV9" s="175"/>
      <c r="RUW9" s="175"/>
      <c r="RUX9" s="175"/>
      <c r="RUY9" s="175"/>
      <c r="RUZ9" s="175"/>
      <c r="RVA9" s="175"/>
      <c r="RVB9" s="175"/>
      <c r="RVC9" s="175"/>
      <c r="RVD9" s="175"/>
      <c r="RVE9" s="175"/>
      <c r="RVF9" s="175"/>
      <c r="RVG9" s="175"/>
      <c r="RVH9" s="175"/>
      <c r="RVI9" s="175"/>
      <c r="RVJ9" s="175"/>
      <c r="RVK9" s="175"/>
      <c r="RVL9" s="175"/>
      <c r="RVM9" s="175"/>
      <c r="RVN9" s="175"/>
      <c r="RVO9" s="175"/>
      <c r="RVP9" s="175"/>
      <c r="RVQ9" s="175"/>
      <c r="RVR9" s="175"/>
      <c r="RVS9" s="175"/>
      <c r="RVT9" s="175"/>
      <c r="RVU9" s="175"/>
      <c r="RVV9" s="175"/>
      <c r="RVW9" s="175"/>
      <c r="RVX9" s="175"/>
      <c r="RVY9" s="175"/>
      <c r="RVZ9" s="175"/>
      <c r="RWA9" s="175"/>
      <c r="RWB9" s="175"/>
      <c r="RWC9" s="175"/>
      <c r="RWD9" s="175"/>
      <c r="RWE9" s="175"/>
      <c r="RWF9" s="175"/>
      <c r="RWG9" s="175"/>
      <c r="RWH9" s="175"/>
      <c r="RWI9" s="175"/>
      <c r="RWJ9" s="175"/>
      <c r="RWK9" s="175"/>
      <c r="RWL9" s="175"/>
      <c r="RWM9" s="175"/>
      <c r="RWN9" s="175"/>
      <c r="RWO9" s="175"/>
      <c r="RWP9" s="175"/>
      <c r="RWQ9" s="175"/>
      <c r="RWR9" s="175"/>
      <c r="RWS9" s="175"/>
      <c r="RWT9" s="175"/>
      <c r="RWU9" s="175"/>
      <c r="RWV9" s="175"/>
      <c r="RWW9" s="175"/>
      <c r="RWX9" s="175"/>
      <c r="RWY9" s="175"/>
      <c r="RWZ9" s="175"/>
      <c r="RXA9" s="175"/>
      <c r="RXB9" s="175"/>
      <c r="RXC9" s="175"/>
      <c r="RXD9" s="175"/>
      <c r="RXE9" s="175"/>
      <c r="RXF9" s="175"/>
      <c r="RXG9" s="175"/>
      <c r="RXH9" s="175"/>
      <c r="RXI9" s="175"/>
      <c r="RXJ9" s="175"/>
      <c r="RXK9" s="175"/>
      <c r="RXL9" s="175"/>
      <c r="RXM9" s="175"/>
      <c r="RXN9" s="175"/>
      <c r="RXO9" s="175"/>
      <c r="RXP9" s="175"/>
      <c r="RXQ9" s="175"/>
      <c r="RXR9" s="175"/>
      <c r="RXS9" s="175"/>
      <c r="RXT9" s="175"/>
      <c r="RXU9" s="175"/>
      <c r="RXV9" s="175"/>
      <c r="RXW9" s="175"/>
      <c r="RXX9" s="175"/>
      <c r="RXY9" s="175"/>
      <c r="RXZ9" s="175"/>
      <c r="RYA9" s="175"/>
      <c r="RYB9" s="175"/>
      <c r="RYC9" s="175"/>
      <c r="RYD9" s="175"/>
      <c r="RYE9" s="175"/>
      <c r="RYF9" s="175"/>
      <c r="RYG9" s="175"/>
      <c r="RYH9" s="175"/>
      <c r="RYI9" s="175"/>
      <c r="RYJ9" s="175"/>
      <c r="RYK9" s="175"/>
      <c r="RYL9" s="175"/>
      <c r="RYM9" s="175"/>
      <c r="RYN9" s="175"/>
      <c r="RYO9" s="175"/>
      <c r="RYP9" s="175"/>
      <c r="RYQ9" s="175"/>
      <c r="RYR9" s="175"/>
      <c r="RYS9" s="175"/>
      <c r="RYT9" s="175"/>
      <c r="RYU9" s="175"/>
      <c r="RYV9" s="175"/>
      <c r="RYW9" s="175"/>
      <c r="RYX9" s="175"/>
      <c r="RYY9" s="175"/>
      <c r="RYZ9" s="175"/>
      <c r="RZA9" s="175"/>
      <c r="RZB9" s="175"/>
      <c r="RZC9" s="175"/>
      <c r="RZD9" s="175"/>
      <c r="RZE9" s="175"/>
      <c r="RZF9" s="175"/>
      <c r="RZG9" s="175"/>
      <c r="RZH9" s="175"/>
      <c r="RZI9" s="175"/>
      <c r="RZJ9" s="175"/>
      <c r="RZK9" s="175"/>
      <c r="RZL9" s="175"/>
      <c r="RZM9" s="175"/>
      <c r="RZN9" s="175"/>
      <c r="RZO9" s="175"/>
      <c r="RZP9" s="175"/>
      <c r="RZQ9" s="175"/>
      <c r="RZR9" s="175"/>
      <c r="RZS9" s="175"/>
      <c r="RZT9" s="175"/>
      <c r="RZU9" s="175"/>
      <c r="RZV9" s="175"/>
      <c r="RZW9" s="175"/>
      <c r="RZX9" s="175"/>
      <c r="RZY9" s="175"/>
      <c r="RZZ9" s="175"/>
      <c r="SAA9" s="175"/>
      <c r="SAB9" s="175"/>
      <c r="SAC9" s="175"/>
      <c r="SAD9" s="175"/>
      <c r="SAE9" s="175"/>
      <c r="SAF9" s="175"/>
      <c r="SAG9" s="175"/>
      <c r="SAH9" s="175"/>
      <c r="SAI9" s="175"/>
      <c r="SAJ9" s="175"/>
      <c r="SAK9" s="175"/>
      <c r="SAL9" s="175"/>
      <c r="SAM9" s="175"/>
      <c r="SAN9" s="175"/>
      <c r="SAO9" s="175"/>
      <c r="SAP9" s="175"/>
      <c r="SAQ9" s="175"/>
      <c r="SAR9" s="175"/>
      <c r="SAS9" s="175"/>
      <c r="SAT9" s="175"/>
      <c r="SAU9" s="175"/>
      <c r="SAV9" s="175"/>
      <c r="SAW9" s="175"/>
      <c r="SAX9" s="175"/>
      <c r="SAY9" s="175"/>
      <c r="SAZ9" s="175"/>
      <c r="SBA9" s="175"/>
      <c r="SBB9" s="175"/>
      <c r="SBC9" s="175"/>
      <c r="SBD9" s="175"/>
      <c r="SBE9" s="175"/>
      <c r="SBF9" s="175"/>
      <c r="SBG9" s="175"/>
      <c r="SBH9" s="175"/>
      <c r="SBI9" s="175"/>
      <c r="SBJ9" s="175"/>
      <c r="SBK9" s="175"/>
      <c r="SBL9" s="175"/>
      <c r="SBM9" s="175"/>
      <c r="SBN9" s="175"/>
      <c r="SBO9" s="175"/>
      <c r="SBP9" s="175"/>
      <c r="SBQ9" s="175"/>
      <c r="SBR9" s="175"/>
      <c r="SBS9" s="175"/>
      <c r="SBT9" s="175"/>
      <c r="SBU9" s="175"/>
      <c r="SBV9" s="175"/>
      <c r="SBW9" s="175"/>
      <c r="SBX9" s="175"/>
      <c r="SBY9" s="175"/>
      <c r="SBZ9" s="175"/>
      <c r="SCA9" s="175"/>
      <c r="SCB9" s="175"/>
      <c r="SCC9" s="175"/>
      <c r="SCD9" s="175"/>
      <c r="SCE9" s="175"/>
      <c r="SCF9" s="175"/>
      <c r="SCG9" s="175"/>
      <c r="SCH9" s="175"/>
      <c r="SCI9" s="175"/>
      <c r="SCJ9" s="175"/>
      <c r="SCK9" s="175"/>
      <c r="SCL9" s="175"/>
      <c r="SCM9" s="175"/>
      <c r="SCN9" s="175"/>
      <c r="SCO9" s="175"/>
      <c r="SCP9" s="175"/>
      <c r="SCQ9" s="175"/>
      <c r="SCR9" s="175"/>
      <c r="SCS9" s="175"/>
      <c r="SCT9" s="175"/>
      <c r="SCU9" s="175"/>
      <c r="SCV9" s="175"/>
      <c r="SCW9" s="175"/>
      <c r="SCX9" s="175"/>
      <c r="SCY9" s="175"/>
      <c r="SCZ9" s="175"/>
      <c r="SDA9" s="175"/>
      <c r="SDB9" s="175"/>
      <c r="SDC9" s="175"/>
      <c r="SDD9" s="175"/>
      <c r="SDE9" s="175"/>
      <c r="SDF9" s="175"/>
      <c r="SDG9" s="175"/>
      <c r="SDH9" s="175"/>
      <c r="SDI9" s="175"/>
      <c r="SDJ9" s="175"/>
      <c r="SDK9" s="175"/>
      <c r="SDL9" s="175"/>
      <c r="SDM9" s="175"/>
      <c r="SDN9" s="175"/>
      <c r="SDO9" s="175"/>
      <c r="SDP9" s="175"/>
      <c r="SDQ9" s="175"/>
      <c r="SDR9" s="175"/>
      <c r="SDS9" s="175"/>
      <c r="SDT9" s="175"/>
      <c r="SDU9" s="175"/>
      <c r="SDV9" s="175"/>
      <c r="SDW9" s="175"/>
      <c r="SDX9" s="175"/>
      <c r="SDY9" s="175"/>
      <c r="SDZ9" s="175"/>
      <c r="SEA9" s="175"/>
      <c r="SEB9" s="175"/>
      <c r="SEC9" s="175"/>
      <c r="SED9" s="175"/>
      <c r="SEE9" s="175"/>
      <c r="SEF9" s="175"/>
      <c r="SEG9" s="175"/>
      <c r="SEH9" s="175"/>
      <c r="SEI9" s="175"/>
      <c r="SEJ9" s="175"/>
      <c r="SEK9" s="175"/>
      <c r="SEL9" s="175"/>
      <c r="SEM9" s="175"/>
      <c r="SEN9" s="175"/>
      <c r="SEO9" s="175"/>
      <c r="SEP9" s="175"/>
      <c r="SEQ9" s="175"/>
      <c r="SER9" s="175"/>
      <c r="SES9" s="175"/>
      <c r="SET9" s="175"/>
      <c r="SEU9" s="175"/>
      <c r="SEV9" s="175"/>
      <c r="SEW9" s="175"/>
      <c r="SEX9" s="175"/>
      <c r="SEY9" s="175"/>
      <c r="SEZ9" s="175"/>
      <c r="SFA9" s="175"/>
      <c r="SFB9" s="175"/>
      <c r="SFC9" s="175"/>
      <c r="SFD9" s="175"/>
      <c r="SFE9" s="175"/>
      <c r="SFF9" s="175"/>
      <c r="SFG9" s="175"/>
      <c r="SFH9" s="175"/>
      <c r="SFI9" s="175"/>
      <c r="SFJ9" s="175"/>
      <c r="SFK9" s="175"/>
      <c r="SFL9" s="175"/>
      <c r="SFM9" s="175"/>
      <c r="SFN9" s="175"/>
      <c r="SFO9" s="175"/>
      <c r="SFP9" s="175"/>
      <c r="SFQ9" s="175"/>
      <c r="SFR9" s="175"/>
      <c r="SFS9" s="175"/>
      <c r="SFT9" s="175"/>
      <c r="SFU9" s="175"/>
      <c r="SFV9" s="175"/>
      <c r="SFW9" s="175"/>
      <c r="SFX9" s="175"/>
      <c r="SFY9" s="175"/>
      <c r="SFZ9" s="175"/>
      <c r="SGA9" s="175"/>
      <c r="SGB9" s="175"/>
      <c r="SGC9" s="175"/>
      <c r="SGD9" s="175"/>
      <c r="SGE9" s="175"/>
      <c r="SGF9" s="175"/>
      <c r="SGG9" s="175"/>
      <c r="SGH9" s="175"/>
      <c r="SGI9" s="175"/>
      <c r="SGJ9" s="175"/>
      <c r="SGK9" s="175"/>
      <c r="SGL9" s="175"/>
      <c r="SGM9" s="175"/>
      <c r="SGN9" s="175"/>
      <c r="SGO9" s="175"/>
      <c r="SGP9" s="175"/>
      <c r="SGQ9" s="175"/>
      <c r="SGR9" s="175"/>
      <c r="SGS9" s="175"/>
      <c r="SGT9" s="175"/>
      <c r="SGU9" s="175"/>
      <c r="SGV9" s="175"/>
      <c r="SGW9" s="175"/>
      <c r="SGX9" s="175"/>
      <c r="SGY9" s="175"/>
      <c r="SGZ9" s="175"/>
      <c r="SHA9" s="175"/>
      <c r="SHB9" s="175"/>
      <c r="SHC9" s="175"/>
      <c r="SHD9" s="175"/>
      <c r="SHE9" s="175"/>
      <c r="SHF9" s="175"/>
      <c r="SHG9" s="175"/>
      <c r="SHH9" s="175"/>
      <c r="SHI9" s="175"/>
      <c r="SHJ9" s="175"/>
      <c r="SHK9" s="175"/>
      <c r="SHL9" s="175"/>
      <c r="SHM9" s="175"/>
      <c r="SHN9" s="175"/>
      <c r="SHO9" s="175"/>
      <c r="SHP9" s="175"/>
      <c r="SHQ9" s="175"/>
      <c r="SHR9" s="175"/>
      <c r="SHS9" s="175"/>
      <c r="SHT9" s="175"/>
      <c r="SHU9" s="175"/>
      <c r="SHV9" s="175"/>
      <c r="SHW9" s="175"/>
      <c r="SHX9" s="175"/>
      <c r="SHY9" s="175"/>
      <c r="SHZ9" s="175"/>
      <c r="SIA9" s="175"/>
      <c r="SIB9" s="175"/>
      <c r="SIC9" s="175"/>
      <c r="SID9" s="175"/>
      <c r="SIE9" s="175"/>
      <c r="SIF9" s="175"/>
      <c r="SIG9" s="175"/>
      <c r="SIH9" s="175"/>
      <c r="SII9" s="175"/>
      <c r="SIJ9" s="175"/>
      <c r="SIK9" s="175"/>
      <c r="SIL9" s="175"/>
      <c r="SIM9" s="175"/>
      <c r="SIN9" s="175"/>
      <c r="SIO9" s="175"/>
      <c r="SIP9" s="175"/>
      <c r="SIQ9" s="175"/>
      <c r="SIR9" s="175"/>
      <c r="SIS9" s="175"/>
      <c r="SIT9" s="175"/>
      <c r="SIU9" s="175"/>
      <c r="SIV9" s="175"/>
      <c r="SIW9" s="175"/>
      <c r="SIX9" s="175"/>
      <c r="SIY9" s="175"/>
      <c r="SIZ9" s="175"/>
      <c r="SJA9" s="175"/>
      <c r="SJB9" s="175"/>
      <c r="SJC9" s="175"/>
      <c r="SJD9" s="175"/>
      <c r="SJE9" s="175"/>
      <c r="SJF9" s="175"/>
      <c r="SJG9" s="175"/>
      <c r="SJH9" s="175"/>
      <c r="SJI9" s="175"/>
      <c r="SJJ9" s="175"/>
      <c r="SJK9" s="175"/>
      <c r="SJL9" s="175"/>
      <c r="SJM9" s="175"/>
      <c r="SJN9" s="175"/>
      <c r="SJO9" s="175"/>
      <c r="SJP9" s="175"/>
      <c r="SJQ9" s="175"/>
      <c r="SJR9" s="175"/>
      <c r="SJS9" s="175"/>
      <c r="SJT9" s="175"/>
      <c r="SJU9" s="175"/>
      <c r="SJV9" s="175"/>
      <c r="SJW9" s="175"/>
      <c r="SJX9" s="175"/>
      <c r="SJY9" s="175"/>
      <c r="SJZ9" s="175"/>
      <c r="SKA9" s="175"/>
      <c r="SKB9" s="175"/>
      <c r="SKC9" s="175"/>
      <c r="SKD9" s="175"/>
      <c r="SKE9" s="175"/>
      <c r="SKF9" s="175"/>
      <c r="SKG9" s="175"/>
      <c r="SKH9" s="175"/>
      <c r="SKI9" s="175"/>
      <c r="SKJ9" s="175"/>
      <c r="SKK9" s="175"/>
      <c r="SKL9" s="175"/>
      <c r="SKM9" s="175"/>
      <c r="SKN9" s="175"/>
      <c r="SKO9" s="175"/>
      <c r="SKP9" s="175"/>
      <c r="SKQ9" s="175"/>
      <c r="SKR9" s="175"/>
      <c r="SKS9" s="175"/>
      <c r="SKT9" s="175"/>
      <c r="SKU9" s="175"/>
      <c r="SKV9" s="175"/>
      <c r="SKW9" s="175"/>
      <c r="SKX9" s="175"/>
      <c r="SKY9" s="175"/>
      <c r="SKZ9" s="175"/>
      <c r="SLA9" s="175"/>
      <c r="SLB9" s="175"/>
      <c r="SLC9" s="175"/>
      <c r="SLD9" s="175"/>
      <c r="SLE9" s="175"/>
      <c r="SLF9" s="175"/>
      <c r="SLG9" s="175"/>
      <c r="SLH9" s="175"/>
      <c r="SLI9" s="175"/>
      <c r="SLJ9" s="175"/>
      <c r="SLK9" s="175"/>
      <c r="SLL9" s="175"/>
      <c r="SLM9" s="175"/>
      <c r="SLN9" s="175"/>
      <c r="SLO9" s="175"/>
      <c r="SLP9" s="175"/>
      <c r="SLQ9" s="175"/>
      <c r="SLR9" s="175"/>
      <c r="SLS9" s="175"/>
      <c r="SLT9" s="175"/>
      <c r="SLU9" s="175"/>
      <c r="SLV9" s="175"/>
      <c r="SLW9" s="175"/>
      <c r="SLX9" s="175"/>
      <c r="SLY9" s="175"/>
      <c r="SLZ9" s="175"/>
      <c r="SMA9" s="175"/>
      <c r="SMB9" s="175"/>
      <c r="SMC9" s="175"/>
      <c r="SMD9" s="175"/>
      <c r="SME9" s="175"/>
      <c r="SMF9" s="175"/>
      <c r="SMG9" s="175"/>
      <c r="SMH9" s="175"/>
      <c r="SMI9" s="175"/>
      <c r="SMJ9" s="175"/>
      <c r="SMK9" s="175"/>
      <c r="SML9" s="175"/>
      <c r="SMM9" s="175"/>
      <c r="SMN9" s="175"/>
      <c r="SMO9" s="175"/>
      <c r="SMP9" s="175"/>
      <c r="SMQ9" s="175"/>
      <c r="SMR9" s="175"/>
      <c r="SMS9" s="175"/>
      <c r="SMT9" s="175"/>
      <c r="SMU9" s="175"/>
      <c r="SMV9" s="175"/>
      <c r="SMW9" s="175"/>
      <c r="SMX9" s="175"/>
      <c r="SMY9" s="175"/>
      <c r="SMZ9" s="175"/>
      <c r="SNA9" s="175"/>
      <c r="SNB9" s="175"/>
      <c r="SNC9" s="175"/>
      <c r="SND9" s="175"/>
      <c r="SNE9" s="175"/>
      <c r="SNF9" s="175"/>
      <c r="SNG9" s="175"/>
      <c r="SNH9" s="175"/>
      <c r="SNI9" s="175"/>
      <c r="SNJ9" s="175"/>
      <c r="SNK9" s="175"/>
      <c r="SNL9" s="175"/>
      <c r="SNM9" s="175"/>
      <c r="SNN9" s="175"/>
      <c r="SNO9" s="175"/>
      <c r="SNP9" s="175"/>
      <c r="SNQ9" s="175"/>
      <c r="SNR9" s="175"/>
      <c r="SNS9" s="175"/>
      <c r="SNT9" s="175"/>
      <c r="SNU9" s="175"/>
      <c r="SNV9" s="175"/>
      <c r="SNW9" s="175"/>
      <c r="SNX9" s="175"/>
      <c r="SNY9" s="175"/>
      <c r="SNZ9" s="175"/>
      <c r="SOA9" s="175"/>
      <c r="SOB9" s="175"/>
      <c r="SOC9" s="175"/>
      <c r="SOD9" s="175"/>
      <c r="SOE9" s="175"/>
      <c r="SOF9" s="175"/>
      <c r="SOG9" s="175"/>
      <c r="SOH9" s="175"/>
      <c r="SOI9" s="175"/>
      <c r="SOJ9" s="175"/>
      <c r="SOK9" s="175"/>
      <c r="SOL9" s="175"/>
      <c r="SOM9" s="175"/>
      <c r="SON9" s="175"/>
      <c r="SOO9" s="175"/>
      <c r="SOP9" s="175"/>
      <c r="SOQ9" s="175"/>
      <c r="SOR9" s="175"/>
      <c r="SOS9" s="175"/>
      <c r="SOT9" s="175"/>
      <c r="SOU9" s="175"/>
      <c r="SOV9" s="175"/>
      <c r="SOW9" s="175"/>
      <c r="SOX9" s="175"/>
      <c r="SOY9" s="175"/>
      <c r="SOZ9" s="175"/>
      <c r="SPA9" s="175"/>
      <c r="SPB9" s="175"/>
      <c r="SPC9" s="175"/>
      <c r="SPD9" s="175"/>
      <c r="SPE9" s="175"/>
      <c r="SPF9" s="175"/>
      <c r="SPG9" s="175"/>
      <c r="SPH9" s="175"/>
      <c r="SPI9" s="175"/>
      <c r="SPJ9" s="175"/>
      <c r="SPK9" s="175"/>
      <c r="SPL9" s="175"/>
      <c r="SPM9" s="175"/>
      <c r="SPN9" s="175"/>
      <c r="SPO9" s="175"/>
      <c r="SPP9" s="175"/>
      <c r="SPQ9" s="175"/>
      <c r="SPR9" s="175"/>
      <c r="SPS9" s="175"/>
      <c r="SPT9" s="175"/>
      <c r="SPU9" s="175"/>
      <c r="SPV9" s="175"/>
      <c r="SPW9" s="175"/>
      <c r="SPX9" s="175"/>
      <c r="SPY9" s="175"/>
      <c r="SPZ9" s="175"/>
      <c r="SQA9" s="175"/>
      <c r="SQB9" s="175"/>
      <c r="SQC9" s="175"/>
      <c r="SQD9" s="175"/>
      <c r="SQE9" s="175"/>
      <c r="SQF9" s="175"/>
      <c r="SQG9" s="175"/>
      <c r="SQH9" s="175"/>
      <c r="SQI9" s="175"/>
      <c r="SQJ9" s="175"/>
      <c r="SQK9" s="175"/>
      <c r="SQL9" s="175"/>
      <c r="SQM9" s="175"/>
      <c r="SQN9" s="175"/>
      <c r="SQO9" s="175"/>
      <c r="SQP9" s="175"/>
      <c r="SQQ9" s="175"/>
      <c r="SQR9" s="175"/>
      <c r="SQS9" s="175"/>
      <c r="SQT9" s="175"/>
      <c r="SQU9" s="175"/>
      <c r="SQV9" s="175"/>
      <c r="SQW9" s="175"/>
      <c r="SQX9" s="175"/>
      <c r="SQY9" s="175"/>
      <c r="SQZ9" s="175"/>
      <c r="SRA9" s="175"/>
      <c r="SRB9" s="175"/>
      <c r="SRC9" s="175"/>
      <c r="SRD9" s="175"/>
      <c r="SRE9" s="175"/>
      <c r="SRF9" s="175"/>
      <c r="SRG9" s="175"/>
      <c r="SRH9" s="175"/>
      <c r="SRI9" s="175"/>
      <c r="SRJ9" s="175"/>
      <c r="SRK9" s="175"/>
      <c r="SRL9" s="175"/>
      <c r="SRM9" s="175"/>
      <c r="SRN9" s="175"/>
      <c r="SRO9" s="175"/>
      <c r="SRP9" s="175"/>
      <c r="SRQ9" s="175"/>
      <c r="SRR9" s="175"/>
      <c r="SRS9" s="175"/>
      <c r="SRT9" s="175"/>
      <c r="SRU9" s="175"/>
      <c r="SRV9" s="175"/>
      <c r="SRW9" s="175"/>
      <c r="SRX9" s="175"/>
      <c r="SRY9" s="175"/>
      <c r="SRZ9" s="175"/>
      <c r="SSA9" s="175"/>
      <c r="SSB9" s="175"/>
      <c r="SSC9" s="175"/>
      <c r="SSD9" s="175"/>
      <c r="SSE9" s="175"/>
      <c r="SSF9" s="175"/>
      <c r="SSG9" s="175"/>
      <c r="SSH9" s="175"/>
      <c r="SSI9" s="175"/>
      <c r="SSJ9" s="175"/>
      <c r="SSK9" s="175"/>
      <c r="SSL9" s="175"/>
      <c r="SSM9" s="175"/>
      <c r="SSN9" s="175"/>
      <c r="SSO9" s="175"/>
      <c r="SSP9" s="175"/>
      <c r="SSQ9" s="175"/>
      <c r="SSR9" s="175"/>
      <c r="SSS9" s="175"/>
      <c r="SST9" s="175"/>
      <c r="SSU9" s="175"/>
      <c r="SSV9" s="175"/>
      <c r="SSW9" s="175"/>
      <c r="SSX9" s="175"/>
      <c r="SSY9" s="175"/>
      <c r="SSZ9" s="175"/>
      <c r="STA9" s="175"/>
      <c r="STB9" s="175"/>
      <c r="STC9" s="175"/>
      <c r="STD9" s="175"/>
      <c r="STE9" s="175"/>
      <c r="STF9" s="175"/>
      <c r="STG9" s="175"/>
      <c r="STH9" s="175"/>
      <c r="STI9" s="175"/>
      <c r="STJ9" s="175"/>
      <c r="STK9" s="175"/>
      <c r="STL9" s="175"/>
      <c r="STM9" s="175"/>
      <c r="STN9" s="175"/>
      <c r="STO9" s="175"/>
      <c r="STP9" s="175"/>
      <c r="STQ9" s="175"/>
      <c r="STR9" s="175"/>
      <c r="STS9" s="175"/>
      <c r="STT9" s="175"/>
      <c r="STU9" s="175"/>
      <c r="STV9" s="175"/>
      <c r="STW9" s="175"/>
      <c r="STX9" s="175"/>
      <c r="STY9" s="175"/>
      <c r="STZ9" s="175"/>
      <c r="SUA9" s="175"/>
      <c r="SUB9" s="175"/>
      <c r="SUC9" s="175"/>
      <c r="SUD9" s="175"/>
      <c r="SUE9" s="175"/>
      <c r="SUF9" s="175"/>
      <c r="SUG9" s="175"/>
      <c r="SUH9" s="175"/>
      <c r="SUI9" s="175"/>
      <c r="SUJ9" s="175"/>
      <c r="SUK9" s="175"/>
      <c r="SUL9" s="175"/>
      <c r="SUM9" s="175"/>
      <c r="SUN9" s="175"/>
      <c r="SUO9" s="175"/>
      <c r="SUP9" s="175"/>
      <c r="SUQ9" s="175"/>
      <c r="SUR9" s="175"/>
      <c r="SUS9" s="175"/>
      <c r="SUT9" s="175"/>
      <c r="SUU9" s="175"/>
      <c r="SUV9" s="175"/>
      <c r="SUW9" s="175"/>
      <c r="SUX9" s="175"/>
      <c r="SUY9" s="175"/>
      <c r="SUZ9" s="175"/>
      <c r="SVA9" s="175"/>
      <c r="SVB9" s="175"/>
      <c r="SVC9" s="175"/>
      <c r="SVD9" s="175"/>
      <c r="SVE9" s="175"/>
      <c r="SVF9" s="175"/>
      <c r="SVG9" s="175"/>
      <c r="SVH9" s="175"/>
      <c r="SVI9" s="175"/>
      <c r="SVJ9" s="175"/>
      <c r="SVK9" s="175"/>
      <c r="SVL9" s="175"/>
      <c r="SVM9" s="175"/>
      <c r="SVN9" s="175"/>
      <c r="SVO9" s="175"/>
      <c r="SVP9" s="175"/>
      <c r="SVQ9" s="175"/>
      <c r="SVR9" s="175"/>
      <c r="SVS9" s="175"/>
      <c r="SVT9" s="175"/>
      <c r="SVU9" s="175"/>
      <c r="SVV9" s="175"/>
      <c r="SVW9" s="175"/>
      <c r="SVX9" s="175"/>
      <c r="SVY9" s="175"/>
      <c r="SVZ9" s="175"/>
      <c r="SWA9" s="175"/>
      <c r="SWB9" s="175"/>
      <c r="SWC9" s="175"/>
      <c r="SWD9" s="175"/>
      <c r="SWE9" s="175"/>
      <c r="SWF9" s="175"/>
      <c r="SWG9" s="175"/>
      <c r="SWH9" s="175"/>
      <c r="SWI9" s="175"/>
      <c r="SWJ9" s="175"/>
      <c r="SWK9" s="175"/>
      <c r="SWL9" s="175"/>
      <c r="SWM9" s="175"/>
      <c r="SWN9" s="175"/>
      <c r="SWO9" s="175"/>
      <c r="SWP9" s="175"/>
      <c r="SWQ9" s="175"/>
      <c r="SWR9" s="175"/>
      <c r="SWS9" s="175"/>
      <c r="SWT9" s="175"/>
      <c r="SWU9" s="175"/>
      <c r="SWV9" s="175"/>
      <c r="SWW9" s="175"/>
      <c r="SWX9" s="175"/>
      <c r="SWY9" s="175"/>
      <c r="SWZ9" s="175"/>
      <c r="SXA9" s="175"/>
      <c r="SXB9" s="175"/>
      <c r="SXC9" s="175"/>
      <c r="SXD9" s="175"/>
      <c r="SXE9" s="175"/>
      <c r="SXF9" s="175"/>
      <c r="SXG9" s="175"/>
      <c r="SXH9" s="175"/>
      <c r="SXI9" s="175"/>
      <c r="SXJ9" s="175"/>
      <c r="SXK9" s="175"/>
      <c r="SXL9" s="175"/>
      <c r="SXM9" s="175"/>
      <c r="SXN9" s="175"/>
      <c r="SXO9" s="175"/>
      <c r="SXP9" s="175"/>
      <c r="SXQ9" s="175"/>
      <c r="SXR9" s="175"/>
      <c r="SXS9" s="175"/>
      <c r="SXT9" s="175"/>
      <c r="SXU9" s="175"/>
      <c r="SXV9" s="175"/>
      <c r="SXW9" s="175"/>
      <c r="SXX9" s="175"/>
      <c r="SXY9" s="175"/>
      <c r="SXZ9" s="175"/>
      <c r="SYA9" s="175"/>
      <c r="SYB9" s="175"/>
      <c r="SYC9" s="175"/>
      <c r="SYD9" s="175"/>
      <c r="SYE9" s="175"/>
      <c r="SYF9" s="175"/>
      <c r="SYG9" s="175"/>
      <c r="SYH9" s="175"/>
      <c r="SYI9" s="175"/>
      <c r="SYJ9" s="175"/>
      <c r="SYK9" s="175"/>
      <c r="SYL9" s="175"/>
      <c r="SYM9" s="175"/>
      <c r="SYN9" s="175"/>
      <c r="SYO9" s="175"/>
      <c r="SYP9" s="175"/>
      <c r="SYQ9" s="175"/>
      <c r="SYR9" s="175"/>
      <c r="SYS9" s="175"/>
      <c r="SYT9" s="175"/>
      <c r="SYU9" s="175"/>
      <c r="SYV9" s="175"/>
      <c r="SYW9" s="175"/>
      <c r="SYX9" s="175"/>
      <c r="SYY9" s="175"/>
      <c r="SYZ9" s="175"/>
      <c r="SZA9" s="175"/>
      <c r="SZB9" s="175"/>
      <c r="SZC9" s="175"/>
      <c r="SZD9" s="175"/>
      <c r="SZE9" s="175"/>
      <c r="SZF9" s="175"/>
      <c r="SZG9" s="175"/>
      <c r="SZH9" s="175"/>
      <c r="SZI9" s="175"/>
      <c r="SZJ9" s="175"/>
      <c r="SZK9" s="175"/>
      <c r="SZL9" s="175"/>
      <c r="SZM9" s="175"/>
      <c r="SZN9" s="175"/>
      <c r="SZO9" s="175"/>
      <c r="SZP9" s="175"/>
      <c r="SZQ9" s="175"/>
      <c r="SZR9" s="175"/>
      <c r="SZS9" s="175"/>
      <c r="SZT9" s="175"/>
      <c r="SZU9" s="175"/>
      <c r="SZV9" s="175"/>
      <c r="SZW9" s="175"/>
      <c r="SZX9" s="175"/>
      <c r="SZY9" s="175"/>
      <c r="SZZ9" s="175"/>
      <c r="TAA9" s="175"/>
      <c r="TAB9" s="175"/>
      <c r="TAC9" s="175"/>
      <c r="TAD9" s="175"/>
      <c r="TAE9" s="175"/>
      <c r="TAF9" s="175"/>
      <c r="TAG9" s="175"/>
      <c r="TAH9" s="175"/>
      <c r="TAI9" s="175"/>
      <c r="TAJ9" s="175"/>
      <c r="TAK9" s="175"/>
      <c r="TAL9" s="175"/>
      <c r="TAM9" s="175"/>
      <c r="TAN9" s="175"/>
      <c r="TAO9" s="175"/>
      <c r="TAP9" s="175"/>
      <c r="TAQ9" s="175"/>
      <c r="TAR9" s="175"/>
      <c r="TAS9" s="175"/>
      <c r="TAT9" s="175"/>
      <c r="TAU9" s="175"/>
      <c r="TAV9" s="175"/>
      <c r="TAW9" s="175"/>
      <c r="TAX9" s="175"/>
      <c r="TAY9" s="175"/>
      <c r="TAZ9" s="175"/>
      <c r="TBA9" s="175"/>
      <c r="TBB9" s="175"/>
      <c r="TBC9" s="175"/>
      <c r="TBD9" s="175"/>
      <c r="TBE9" s="175"/>
      <c r="TBF9" s="175"/>
      <c r="TBG9" s="175"/>
      <c r="TBH9" s="175"/>
      <c r="TBI9" s="175"/>
      <c r="TBJ9" s="175"/>
      <c r="TBK9" s="175"/>
      <c r="TBL9" s="175"/>
      <c r="TBM9" s="175"/>
      <c r="TBN9" s="175"/>
      <c r="TBO9" s="175"/>
      <c r="TBP9" s="175"/>
      <c r="TBQ9" s="175"/>
      <c r="TBR9" s="175"/>
      <c r="TBS9" s="175"/>
      <c r="TBT9" s="175"/>
      <c r="TBU9" s="175"/>
      <c r="TBV9" s="175"/>
      <c r="TBW9" s="175"/>
      <c r="TBX9" s="175"/>
      <c r="TBY9" s="175"/>
      <c r="TBZ9" s="175"/>
      <c r="TCA9" s="175"/>
      <c r="TCB9" s="175"/>
      <c r="TCC9" s="175"/>
      <c r="TCD9" s="175"/>
      <c r="TCE9" s="175"/>
      <c r="TCF9" s="175"/>
      <c r="TCG9" s="175"/>
      <c r="TCH9" s="175"/>
      <c r="TCI9" s="175"/>
      <c r="TCJ9" s="175"/>
      <c r="TCK9" s="175"/>
      <c r="TCL9" s="175"/>
      <c r="TCM9" s="175"/>
      <c r="TCN9" s="175"/>
      <c r="TCO9" s="175"/>
      <c r="TCP9" s="175"/>
      <c r="TCQ9" s="175"/>
      <c r="TCR9" s="175"/>
      <c r="TCS9" s="175"/>
      <c r="TCT9" s="175"/>
      <c r="TCU9" s="175"/>
      <c r="TCV9" s="175"/>
      <c r="TCW9" s="175"/>
      <c r="TCX9" s="175"/>
      <c r="TCY9" s="175"/>
      <c r="TCZ9" s="175"/>
      <c r="TDA9" s="175"/>
      <c r="TDB9" s="175"/>
      <c r="TDC9" s="175"/>
      <c r="TDD9" s="175"/>
      <c r="TDE9" s="175"/>
      <c r="TDF9" s="175"/>
      <c r="TDG9" s="175"/>
      <c r="TDH9" s="175"/>
      <c r="TDI9" s="175"/>
      <c r="TDJ9" s="175"/>
      <c r="TDK9" s="175"/>
      <c r="TDL9" s="175"/>
      <c r="TDM9" s="175"/>
      <c r="TDN9" s="175"/>
      <c r="TDO9" s="175"/>
      <c r="TDP9" s="175"/>
      <c r="TDQ9" s="175"/>
      <c r="TDR9" s="175"/>
      <c r="TDS9" s="175"/>
      <c r="TDT9" s="175"/>
      <c r="TDU9" s="175"/>
      <c r="TDV9" s="175"/>
      <c r="TDW9" s="175"/>
      <c r="TDX9" s="175"/>
      <c r="TDY9" s="175"/>
      <c r="TDZ9" s="175"/>
      <c r="TEA9" s="175"/>
      <c r="TEB9" s="175"/>
      <c r="TEC9" s="175"/>
      <c r="TED9" s="175"/>
      <c r="TEE9" s="175"/>
      <c r="TEF9" s="175"/>
      <c r="TEG9" s="175"/>
      <c r="TEH9" s="175"/>
      <c r="TEI9" s="175"/>
      <c r="TEJ9" s="175"/>
      <c r="TEK9" s="175"/>
      <c r="TEL9" s="175"/>
      <c r="TEM9" s="175"/>
      <c r="TEN9" s="175"/>
      <c r="TEO9" s="175"/>
      <c r="TEP9" s="175"/>
      <c r="TEQ9" s="175"/>
      <c r="TER9" s="175"/>
      <c r="TES9" s="175"/>
      <c r="TET9" s="175"/>
      <c r="TEU9" s="175"/>
      <c r="TEV9" s="175"/>
      <c r="TEW9" s="175"/>
      <c r="TEX9" s="175"/>
      <c r="TEY9" s="175"/>
      <c r="TEZ9" s="175"/>
      <c r="TFA9" s="175"/>
      <c r="TFB9" s="175"/>
      <c r="TFC9" s="175"/>
      <c r="TFD9" s="175"/>
      <c r="TFE9" s="175"/>
      <c r="TFF9" s="175"/>
      <c r="TFG9" s="175"/>
      <c r="TFH9" s="175"/>
      <c r="TFI9" s="175"/>
      <c r="TFJ9" s="175"/>
      <c r="TFK9" s="175"/>
      <c r="TFL9" s="175"/>
      <c r="TFM9" s="175"/>
      <c r="TFN9" s="175"/>
      <c r="TFO9" s="175"/>
      <c r="TFP9" s="175"/>
      <c r="TFQ9" s="175"/>
      <c r="TFR9" s="175"/>
      <c r="TFS9" s="175"/>
      <c r="TFT9" s="175"/>
      <c r="TFU9" s="175"/>
      <c r="TFV9" s="175"/>
      <c r="TFW9" s="175"/>
      <c r="TFX9" s="175"/>
      <c r="TFY9" s="175"/>
      <c r="TFZ9" s="175"/>
      <c r="TGA9" s="175"/>
      <c r="TGB9" s="175"/>
      <c r="TGC9" s="175"/>
      <c r="TGD9" s="175"/>
      <c r="TGE9" s="175"/>
      <c r="TGF9" s="175"/>
      <c r="TGG9" s="175"/>
      <c r="TGH9" s="175"/>
      <c r="TGI9" s="175"/>
      <c r="TGJ9" s="175"/>
      <c r="TGK9" s="175"/>
      <c r="TGL9" s="175"/>
      <c r="TGM9" s="175"/>
      <c r="TGN9" s="175"/>
      <c r="TGO9" s="175"/>
      <c r="TGP9" s="175"/>
      <c r="TGQ9" s="175"/>
      <c r="TGR9" s="175"/>
      <c r="TGS9" s="175"/>
      <c r="TGT9" s="175"/>
      <c r="TGU9" s="175"/>
      <c r="TGV9" s="175"/>
      <c r="TGW9" s="175"/>
      <c r="TGX9" s="175"/>
      <c r="TGY9" s="175"/>
      <c r="TGZ9" s="175"/>
      <c r="THA9" s="175"/>
      <c r="THB9" s="175"/>
      <c r="THC9" s="175"/>
      <c r="THD9" s="175"/>
      <c r="THE9" s="175"/>
      <c r="THF9" s="175"/>
      <c r="THG9" s="175"/>
      <c r="THH9" s="175"/>
      <c r="THI9" s="175"/>
      <c r="THJ9" s="175"/>
      <c r="THK9" s="175"/>
      <c r="THL9" s="175"/>
      <c r="THM9" s="175"/>
      <c r="THN9" s="175"/>
      <c r="THO9" s="175"/>
      <c r="THP9" s="175"/>
      <c r="THQ9" s="175"/>
      <c r="THR9" s="175"/>
      <c r="THS9" s="175"/>
      <c r="THT9" s="175"/>
      <c r="THU9" s="175"/>
      <c r="THV9" s="175"/>
      <c r="THW9" s="175"/>
      <c r="THX9" s="175"/>
      <c r="THY9" s="175"/>
      <c r="THZ9" s="175"/>
      <c r="TIA9" s="175"/>
      <c r="TIB9" s="175"/>
      <c r="TIC9" s="175"/>
      <c r="TID9" s="175"/>
      <c r="TIE9" s="175"/>
      <c r="TIF9" s="175"/>
      <c r="TIG9" s="175"/>
      <c r="TIH9" s="175"/>
      <c r="TII9" s="175"/>
      <c r="TIJ9" s="175"/>
      <c r="TIK9" s="175"/>
      <c r="TIL9" s="175"/>
      <c r="TIM9" s="175"/>
      <c r="TIN9" s="175"/>
      <c r="TIO9" s="175"/>
      <c r="TIP9" s="175"/>
      <c r="TIQ9" s="175"/>
      <c r="TIR9" s="175"/>
      <c r="TIS9" s="175"/>
      <c r="TIT9" s="175"/>
      <c r="TIU9" s="175"/>
      <c r="TIV9" s="175"/>
      <c r="TIW9" s="175"/>
      <c r="TIX9" s="175"/>
      <c r="TIY9" s="175"/>
      <c r="TIZ9" s="175"/>
      <c r="TJA9" s="175"/>
      <c r="TJB9" s="175"/>
      <c r="TJC9" s="175"/>
      <c r="TJD9" s="175"/>
      <c r="TJE9" s="175"/>
      <c r="TJF9" s="175"/>
      <c r="TJG9" s="175"/>
      <c r="TJH9" s="175"/>
      <c r="TJI9" s="175"/>
      <c r="TJJ9" s="175"/>
      <c r="TJK9" s="175"/>
      <c r="TJL9" s="175"/>
      <c r="TJM9" s="175"/>
      <c r="TJN9" s="175"/>
      <c r="TJO9" s="175"/>
      <c r="TJP9" s="175"/>
      <c r="TJQ9" s="175"/>
      <c r="TJR9" s="175"/>
      <c r="TJS9" s="175"/>
      <c r="TJT9" s="175"/>
      <c r="TJU9" s="175"/>
      <c r="TJV9" s="175"/>
      <c r="TJW9" s="175"/>
      <c r="TJX9" s="175"/>
      <c r="TJY9" s="175"/>
      <c r="TJZ9" s="175"/>
      <c r="TKA9" s="175"/>
      <c r="TKB9" s="175"/>
      <c r="TKC9" s="175"/>
      <c r="TKD9" s="175"/>
      <c r="TKE9" s="175"/>
      <c r="TKF9" s="175"/>
      <c r="TKG9" s="175"/>
      <c r="TKH9" s="175"/>
      <c r="TKI9" s="175"/>
      <c r="TKJ9" s="175"/>
      <c r="TKK9" s="175"/>
      <c r="TKL9" s="175"/>
      <c r="TKM9" s="175"/>
      <c r="TKN9" s="175"/>
      <c r="TKO9" s="175"/>
      <c r="TKP9" s="175"/>
      <c r="TKQ9" s="175"/>
      <c r="TKR9" s="175"/>
      <c r="TKS9" s="175"/>
      <c r="TKT9" s="175"/>
      <c r="TKU9" s="175"/>
      <c r="TKV9" s="175"/>
      <c r="TKW9" s="175"/>
      <c r="TKX9" s="175"/>
      <c r="TKY9" s="175"/>
      <c r="TKZ9" s="175"/>
      <c r="TLA9" s="175"/>
      <c r="TLB9" s="175"/>
      <c r="TLC9" s="175"/>
      <c r="TLD9" s="175"/>
      <c r="TLE9" s="175"/>
      <c r="TLF9" s="175"/>
      <c r="TLG9" s="175"/>
      <c r="TLH9" s="175"/>
      <c r="TLI9" s="175"/>
      <c r="TLJ9" s="175"/>
      <c r="TLK9" s="175"/>
      <c r="TLL9" s="175"/>
      <c r="TLM9" s="175"/>
      <c r="TLN9" s="175"/>
      <c r="TLO9" s="175"/>
      <c r="TLP9" s="175"/>
      <c r="TLQ9" s="175"/>
      <c r="TLR9" s="175"/>
      <c r="TLS9" s="175"/>
      <c r="TLT9" s="175"/>
      <c r="TLU9" s="175"/>
      <c r="TLV9" s="175"/>
      <c r="TLW9" s="175"/>
      <c r="TLX9" s="175"/>
      <c r="TLY9" s="175"/>
      <c r="TLZ9" s="175"/>
      <c r="TMA9" s="175"/>
      <c r="TMB9" s="175"/>
      <c r="TMC9" s="175"/>
      <c r="TMD9" s="175"/>
      <c r="TME9" s="175"/>
      <c r="TMF9" s="175"/>
      <c r="TMG9" s="175"/>
      <c r="TMH9" s="175"/>
      <c r="TMI9" s="175"/>
      <c r="TMJ9" s="175"/>
      <c r="TMK9" s="175"/>
      <c r="TML9" s="175"/>
      <c r="TMM9" s="175"/>
      <c r="TMN9" s="175"/>
      <c r="TMO9" s="175"/>
      <c r="TMP9" s="175"/>
      <c r="TMQ9" s="175"/>
      <c r="TMR9" s="175"/>
      <c r="TMS9" s="175"/>
      <c r="TMT9" s="175"/>
      <c r="TMU9" s="175"/>
      <c r="TMV9" s="175"/>
      <c r="TMW9" s="175"/>
      <c r="TMX9" s="175"/>
      <c r="TMY9" s="175"/>
      <c r="TMZ9" s="175"/>
      <c r="TNA9" s="175"/>
      <c r="TNB9" s="175"/>
      <c r="TNC9" s="175"/>
      <c r="TND9" s="175"/>
      <c r="TNE9" s="175"/>
      <c r="TNF9" s="175"/>
      <c r="TNG9" s="175"/>
      <c r="TNH9" s="175"/>
      <c r="TNI9" s="175"/>
      <c r="TNJ9" s="175"/>
      <c r="TNK9" s="175"/>
      <c r="TNL9" s="175"/>
      <c r="TNM9" s="175"/>
      <c r="TNN9" s="175"/>
      <c r="TNO9" s="175"/>
      <c r="TNP9" s="175"/>
      <c r="TNQ9" s="175"/>
      <c r="TNR9" s="175"/>
      <c r="TNS9" s="175"/>
      <c r="TNT9" s="175"/>
      <c r="TNU9" s="175"/>
      <c r="TNV9" s="175"/>
      <c r="TNW9" s="175"/>
      <c r="TNX9" s="175"/>
      <c r="TNY9" s="175"/>
      <c r="TNZ9" s="175"/>
      <c r="TOA9" s="175"/>
      <c r="TOB9" s="175"/>
      <c r="TOC9" s="175"/>
      <c r="TOD9" s="175"/>
      <c r="TOE9" s="175"/>
      <c r="TOF9" s="175"/>
      <c r="TOG9" s="175"/>
      <c r="TOH9" s="175"/>
      <c r="TOI9" s="175"/>
      <c r="TOJ9" s="175"/>
      <c r="TOK9" s="175"/>
      <c r="TOL9" s="175"/>
      <c r="TOM9" s="175"/>
      <c r="TON9" s="175"/>
      <c r="TOO9" s="175"/>
      <c r="TOP9" s="175"/>
      <c r="TOQ9" s="175"/>
      <c r="TOR9" s="175"/>
      <c r="TOS9" s="175"/>
      <c r="TOT9" s="175"/>
      <c r="TOU9" s="175"/>
      <c r="TOV9" s="175"/>
      <c r="TOW9" s="175"/>
      <c r="TOX9" s="175"/>
      <c r="TOY9" s="175"/>
      <c r="TOZ9" s="175"/>
      <c r="TPA9" s="175"/>
      <c r="TPB9" s="175"/>
      <c r="TPC9" s="175"/>
      <c r="TPD9" s="175"/>
      <c r="TPE9" s="175"/>
      <c r="TPF9" s="175"/>
      <c r="TPG9" s="175"/>
      <c r="TPH9" s="175"/>
      <c r="TPI9" s="175"/>
      <c r="TPJ9" s="175"/>
      <c r="TPK9" s="175"/>
      <c r="TPL9" s="175"/>
      <c r="TPM9" s="175"/>
      <c r="TPN9" s="175"/>
      <c r="TPO9" s="175"/>
      <c r="TPP9" s="175"/>
      <c r="TPQ9" s="175"/>
      <c r="TPR9" s="175"/>
      <c r="TPS9" s="175"/>
      <c r="TPT9" s="175"/>
      <c r="TPU9" s="175"/>
      <c r="TPV9" s="175"/>
      <c r="TPW9" s="175"/>
      <c r="TPX9" s="175"/>
      <c r="TPY9" s="175"/>
      <c r="TPZ9" s="175"/>
      <c r="TQA9" s="175"/>
      <c r="TQB9" s="175"/>
      <c r="TQC9" s="175"/>
      <c r="TQD9" s="175"/>
      <c r="TQE9" s="175"/>
      <c r="TQF9" s="175"/>
      <c r="TQG9" s="175"/>
      <c r="TQH9" s="175"/>
      <c r="TQI9" s="175"/>
      <c r="TQJ9" s="175"/>
      <c r="TQK9" s="175"/>
      <c r="TQL9" s="175"/>
      <c r="TQM9" s="175"/>
      <c r="TQN9" s="175"/>
      <c r="TQO9" s="175"/>
      <c r="TQP9" s="175"/>
      <c r="TQQ9" s="175"/>
      <c r="TQR9" s="175"/>
      <c r="TQS9" s="175"/>
      <c r="TQT9" s="175"/>
      <c r="TQU9" s="175"/>
      <c r="TQV9" s="175"/>
      <c r="TQW9" s="175"/>
      <c r="TQX9" s="175"/>
      <c r="TQY9" s="175"/>
      <c r="TQZ9" s="175"/>
      <c r="TRA9" s="175"/>
      <c r="TRB9" s="175"/>
      <c r="TRC9" s="175"/>
      <c r="TRD9" s="175"/>
      <c r="TRE9" s="175"/>
      <c r="TRF9" s="175"/>
      <c r="TRG9" s="175"/>
      <c r="TRH9" s="175"/>
      <c r="TRI9" s="175"/>
      <c r="TRJ9" s="175"/>
      <c r="TRK9" s="175"/>
      <c r="TRL9" s="175"/>
      <c r="TRM9" s="175"/>
      <c r="TRN9" s="175"/>
      <c r="TRO9" s="175"/>
      <c r="TRP9" s="175"/>
      <c r="TRQ9" s="175"/>
      <c r="TRR9" s="175"/>
      <c r="TRS9" s="175"/>
      <c r="TRT9" s="175"/>
      <c r="TRU9" s="175"/>
      <c r="TRV9" s="175"/>
      <c r="TRW9" s="175"/>
      <c r="TRX9" s="175"/>
      <c r="TRY9" s="175"/>
      <c r="TRZ9" s="175"/>
      <c r="TSA9" s="175"/>
      <c r="TSB9" s="175"/>
      <c r="TSC9" s="175"/>
      <c r="TSD9" s="175"/>
      <c r="TSE9" s="175"/>
      <c r="TSF9" s="175"/>
      <c r="TSG9" s="175"/>
      <c r="TSH9" s="175"/>
      <c r="TSI9" s="175"/>
      <c r="TSJ9" s="175"/>
      <c r="TSK9" s="175"/>
      <c r="TSL9" s="175"/>
      <c r="TSM9" s="175"/>
      <c r="TSN9" s="175"/>
      <c r="TSO9" s="175"/>
      <c r="TSP9" s="175"/>
      <c r="TSQ9" s="175"/>
      <c r="TSR9" s="175"/>
      <c r="TSS9" s="175"/>
      <c r="TST9" s="175"/>
      <c r="TSU9" s="175"/>
      <c r="TSV9" s="175"/>
      <c r="TSW9" s="175"/>
      <c r="TSX9" s="175"/>
      <c r="TSY9" s="175"/>
      <c r="TSZ9" s="175"/>
      <c r="TTA9" s="175"/>
      <c r="TTB9" s="175"/>
      <c r="TTC9" s="175"/>
      <c r="TTD9" s="175"/>
      <c r="TTE9" s="175"/>
      <c r="TTF9" s="175"/>
      <c r="TTG9" s="175"/>
      <c r="TTH9" s="175"/>
      <c r="TTI9" s="175"/>
      <c r="TTJ9" s="175"/>
      <c r="TTK9" s="175"/>
      <c r="TTL9" s="175"/>
      <c r="TTM9" s="175"/>
      <c r="TTN9" s="175"/>
      <c r="TTO9" s="175"/>
      <c r="TTP9" s="175"/>
      <c r="TTQ9" s="175"/>
      <c r="TTR9" s="175"/>
      <c r="TTS9" s="175"/>
      <c r="TTT9" s="175"/>
      <c r="TTU9" s="175"/>
      <c r="TTV9" s="175"/>
      <c r="TTW9" s="175"/>
      <c r="TTX9" s="175"/>
      <c r="TTY9" s="175"/>
      <c r="TTZ9" s="175"/>
      <c r="TUA9" s="175"/>
      <c r="TUB9" s="175"/>
      <c r="TUC9" s="175"/>
      <c r="TUD9" s="175"/>
      <c r="TUE9" s="175"/>
      <c r="TUF9" s="175"/>
      <c r="TUG9" s="175"/>
      <c r="TUH9" s="175"/>
      <c r="TUI9" s="175"/>
      <c r="TUJ9" s="175"/>
      <c r="TUK9" s="175"/>
      <c r="TUL9" s="175"/>
      <c r="TUM9" s="175"/>
      <c r="TUN9" s="175"/>
      <c r="TUO9" s="175"/>
      <c r="TUP9" s="175"/>
      <c r="TUQ9" s="175"/>
      <c r="TUR9" s="175"/>
      <c r="TUS9" s="175"/>
      <c r="TUT9" s="175"/>
      <c r="TUU9" s="175"/>
      <c r="TUV9" s="175"/>
      <c r="TUW9" s="175"/>
      <c r="TUX9" s="175"/>
      <c r="TUY9" s="175"/>
      <c r="TUZ9" s="175"/>
      <c r="TVA9" s="175"/>
      <c r="TVB9" s="175"/>
      <c r="TVC9" s="175"/>
      <c r="TVD9" s="175"/>
      <c r="TVE9" s="175"/>
      <c r="TVF9" s="175"/>
      <c r="TVG9" s="175"/>
      <c r="TVH9" s="175"/>
      <c r="TVI9" s="175"/>
      <c r="TVJ9" s="175"/>
      <c r="TVK9" s="175"/>
      <c r="TVL9" s="175"/>
      <c r="TVM9" s="175"/>
      <c r="TVN9" s="175"/>
      <c r="TVO9" s="175"/>
      <c r="TVP9" s="175"/>
      <c r="TVQ9" s="175"/>
      <c r="TVR9" s="175"/>
      <c r="TVS9" s="175"/>
      <c r="TVT9" s="175"/>
      <c r="TVU9" s="175"/>
      <c r="TVV9" s="175"/>
      <c r="TVW9" s="175"/>
      <c r="TVX9" s="175"/>
      <c r="TVY9" s="175"/>
      <c r="TVZ9" s="175"/>
      <c r="TWA9" s="175"/>
      <c r="TWB9" s="175"/>
      <c r="TWC9" s="175"/>
      <c r="TWD9" s="175"/>
      <c r="TWE9" s="175"/>
      <c r="TWF9" s="175"/>
      <c r="TWG9" s="175"/>
      <c r="TWH9" s="175"/>
      <c r="TWI9" s="175"/>
      <c r="TWJ9" s="175"/>
      <c r="TWK9" s="175"/>
      <c r="TWL9" s="175"/>
      <c r="TWM9" s="175"/>
      <c r="TWN9" s="175"/>
      <c r="TWO9" s="175"/>
      <c r="TWP9" s="175"/>
      <c r="TWQ9" s="175"/>
      <c r="TWR9" s="175"/>
      <c r="TWS9" s="175"/>
      <c r="TWT9" s="175"/>
      <c r="TWU9" s="175"/>
      <c r="TWV9" s="175"/>
      <c r="TWW9" s="175"/>
      <c r="TWX9" s="175"/>
      <c r="TWY9" s="175"/>
      <c r="TWZ9" s="175"/>
      <c r="TXA9" s="175"/>
      <c r="TXB9" s="175"/>
      <c r="TXC9" s="175"/>
      <c r="TXD9" s="175"/>
      <c r="TXE9" s="175"/>
      <c r="TXF9" s="175"/>
      <c r="TXG9" s="175"/>
      <c r="TXH9" s="175"/>
      <c r="TXI9" s="175"/>
      <c r="TXJ9" s="175"/>
      <c r="TXK9" s="175"/>
      <c r="TXL9" s="175"/>
      <c r="TXM9" s="175"/>
      <c r="TXN9" s="175"/>
      <c r="TXO9" s="175"/>
      <c r="TXP9" s="175"/>
      <c r="TXQ9" s="175"/>
      <c r="TXR9" s="175"/>
      <c r="TXS9" s="175"/>
      <c r="TXT9" s="175"/>
      <c r="TXU9" s="175"/>
      <c r="TXV9" s="175"/>
      <c r="TXW9" s="175"/>
      <c r="TXX9" s="175"/>
      <c r="TXY9" s="175"/>
      <c r="TXZ9" s="175"/>
      <c r="TYA9" s="175"/>
      <c r="TYB9" s="175"/>
      <c r="TYC9" s="175"/>
      <c r="TYD9" s="175"/>
      <c r="TYE9" s="175"/>
      <c r="TYF9" s="175"/>
      <c r="TYG9" s="175"/>
      <c r="TYH9" s="175"/>
      <c r="TYI9" s="175"/>
      <c r="TYJ9" s="175"/>
      <c r="TYK9" s="175"/>
      <c r="TYL9" s="175"/>
      <c r="TYM9" s="175"/>
      <c r="TYN9" s="175"/>
      <c r="TYO9" s="175"/>
      <c r="TYP9" s="175"/>
      <c r="TYQ9" s="175"/>
      <c r="TYR9" s="175"/>
      <c r="TYS9" s="175"/>
      <c r="TYT9" s="175"/>
      <c r="TYU9" s="175"/>
      <c r="TYV9" s="175"/>
      <c r="TYW9" s="175"/>
      <c r="TYX9" s="175"/>
      <c r="TYY9" s="175"/>
      <c r="TYZ9" s="175"/>
      <c r="TZA9" s="175"/>
      <c r="TZB9" s="175"/>
      <c r="TZC9" s="175"/>
      <c r="TZD9" s="175"/>
      <c r="TZE9" s="175"/>
      <c r="TZF9" s="175"/>
      <c r="TZG9" s="175"/>
      <c r="TZH9" s="175"/>
      <c r="TZI9" s="175"/>
      <c r="TZJ9" s="175"/>
      <c r="TZK9" s="175"/>
      <c r="TZL9" s="175"/>
      <c r="TZM9" s="175"/>
      <c r="TZN9" s="175"/>
      <c r="TZO9" s="175"/>
      <c r="TZP9" s="175"/>
      <c r="TZQ9" s="175"/>
      <c r="TZR9" s="175"/>
      <c r="TZS9" s="175"/>
      <c r="TZT9" s="175"/>
      <c r="TZU9" s="175"/>
      <c r="TZV9" s="175"/>
      <c r="TZW9" s="175"/>
      <c r="TZX9" s="175"/>
      <c r="TZY9" s="175"/>
      <c r="TZZ9" s="175"/>
      <c r="UAA9" s="175"/>
      <c r="UAB9" s="175"/>
      <c r="UAC9" s="175"/>
      <c r="UAD9" s="175"/>
      <c r="UAE9" s="175"/>
      <c r="UAF9" s="175"/>
      <c r="UAG9" s="175"/>
      <c r="UAH9" s="175"/>
      <c r="UAI9" s="175"/>
      <c r="UAJ9" s="175"/>
      <c r="UAK9" s="175"/>
      <c r="UAL9" s="175"/>
      <c r="UAM9" s="175"/>
      <c r="UAN9" s="175"/>
      <c r="UAO9" s="175"/>
      <c r="UAP9" s="175"/>
      <c r="UAQ9" s="175"/>
      <c r="UAR9" s="175"/>
      <c r="UAS9" s="175"/>
      <c r="UAT9" s="175"/>
      <c r="UAU9" s="175"/>
      <c r="UAV9" s="175"/>
      <c r="UAW9" s="175"/>
      <c r="UAX9" s="175"/>
      <c r="UAY9" s="175"/>
      <c r="UAZ9" s="175"/>
      <c r="UBA9" s="175"/>
      <c r="UBB9" s="175"/>
      <c r="UBC9" s="175"/>
      <c r="UBD9" s="175"/>
      <c r="UBE9" s="175"/>
      <c r="UBF9" s="175"/>
      <c r="UBG9" s="175"/>
      <c r="UBH9" s="175"/>
      <c r="UBI9" s="175"/>
      <c r="UBJ9" s="175"/>
      <c r="UBK9" s="175"/>
      <c r="UBL9" s="175"/>
      <c r="UBM9" s="175"/>
      <c r="UBN9" s="175"/>
      <c r="UBO9" s="175"/>
      <c r="UBP9" s="175"/>
      <c r="UBQ9" s="175"/>
      <c r="UBR9" s="175"/>
      <c r="UBS9" s="175"/>
      <c r="UBT9" s="175"/>
      <c r="UBU9" s="175"/>
      <c r="UBV9" s="175"/>
      <c r="UBW9" s="175"/>
      <c r="UBX9" s="175"/>
      <c r="UBY9" s="175"/>
      <c r="UBZ9" s="175"/>
      <c r="UCA9" s="175"/>
      <c r="UCB9" s="175"/>
      <c r="UCC9" s="175"/>
      <c r="UCD9" s="175"/>
      <c r="UCE9" s="175"/>
      <c r="UCF9" s="175"/>
      <c r="UCG9" s="175"/>
      <c r="UCH9" s="175"/>
      <c r="UCI9" s="175"/>
      <c r="UCJ9" s="175"/>
      <c r="UCK9" s="175"/>
      <c r="UCL9" s="175"/>
      <c r="UCM9" s="175"/>
      <c r="UCN9" s="175"/>
      <c r="UCO9" s="175"/>
      <c r="UCP9" s="175"/>
      <c r="UCQ9" s="175"/>
      <c r="UCR9" s="175"/>
      <c r="UCS9" s="175"/>
      <c r="UCT9" s="175"/>
      <c r="UCU9" s="175"/>
      <c r="UCV9" s="175"/>
      <c r="UCW9" s="175"/>
      <c r="UCX9" s="175"/>
      <c r="UCY9" s="175"/>
      <c r="UCZ9" s="175"/>
      <c r="UDA9" s="175"/>
      <c r="UDB9" s="175"/>
      <c r="UDC9" s="175"/>
      <c r="UDD9" s="175"/>
      <c r="UDE9" s="175"/>
      <c r="UDF9" s="175"/>
      <c r="UDG9" s="175"/>
      <c r="UDH9" s="175"/>
      <c r="UDI9" s="175"/>
      <c r="UDJ9" s="175"/>
      <c r="UDK9" s="175"/>
      <c r="UDL9" s="175"/>
      <c r="UDM9" s="175"/>
      <c r="UDN9" s="175"/>
      <c r="UDO9" s="175"/>
      <c r="UDP9" s="175"/>
      <c r="UDQ9" s="175"/>
      <c r="UDR9" s="175"/>
      <c r="UDS9" s="175"/>
      <c r="UDT9" s="175"/>
      <c r="UDU9" s="175"/>
      <c r="UDV9" s="175"/>
      <c r="UDW9" s="175"/>
      <c r="UDX9" s="175"/>
      <c r="UDY9" s="175"/>
      <c r="UDZ9" s="175"/>
      <c r="UEA9" s="175"/>
      <c r="UEB9" s="175"/>
      <c r="UEC9" s="175"/>
      <c r="UED9" s="175"/>
      <c r="UEE9" s="175"/>
      <c r="UEF9" s="175"/>
      <c r="UEG9" s="175"/>
      <c r="UEH9" s="175"/>
      <c r="UEI9" s="175"/>
      <c r="UEJ9" s="175"/>
      <c r="UEK9" s="175"/>
      <c r="UEL9" s="175"/>
      <c r="UEM9" s="175"/>
      <c r="UEN9" s="175"/>
      <c r="UEO9" s="175"/>
      <c r="UEP9" s="175"/>
      <c r="UEQ9" s="175"/>
      <c r="UER9" s="175"/>
      <c r="UES9" s="175"/>
      <c r="UET9" s="175"/>
      <c r="UEU9" s="175"/>
      <c r="UEV9" s="175"/>
      <c r="UEW9" s="175"/>
      <c r="UEX9" s="175"/>
      <c r="UEY9" s="175"/>
      <c r="UEZ9" s="175"/>
      <c r="UFA9" s="175"/>
      <c r="UFB9" s="175"/>
      <c r="UFC9" s="175"/>
      <c r="UFD9" s="175"/>
      <c r="UFE9" s="175"/>
      <c r="UFF9" s="175"/>
      <c r="UFG9" s="175"/>
      <c r="UFH9" s="175"/>
      <c r="UFI9" s="175"/>
      <c r="UFJ9" s="175"/>
      <c r="UFK9" s="175"/>
      <c r="UFL9" s="175"/>
      <c r="UFM9" s="175"/>
      <c r="UFN9" s="175"/>
      <c r="UFO9" s="175"/>
      <c r="UFP9" s="175"/>
      <c r="UFQ9" s="175"/>
      <c r="UFR9" s="175"/>
      <c r="UFS9" s="175"/>
      <c r="UFT9" s="175"/>
      <c r="UFU9" s="175"/>
      <c r="UFV9" s="175"/>
      <c r="UFW9" s="175"/>
      <c r="UFX9" s="175"/>
      <c r="UFY9" s="175"/>
      <c r="UFZ9" s="175"/>
      <c r="UGA9" s="175"/>
      <c r="UGB9" s="175"/>
      <c r="UGC9" s="175"/>
      <c r="UGD9" s="175"/>
      <c r="UGE9" s="175"/>
      <c r="UGF9" s="175"/>
      <c r="UGG9" s="175"/>
      <c r="UGH9" s="175"/>
      <c r="UGI9" s="175"/>
      <c r="UGJ9" s="175"/>
      <c r="UGK9" s="175"/>
      <c r="UGL9" s="175"/>
      <c r="UGM9" s="175"/>
      <c r="UGN9" s="175"/>
      <c r="UGO9" s="175"/>
      <c r="UGP9" s="175"/>
      <c r="UGQ9" s="175"/>
      <c r="UGR9" s="175"/>
      <c r="UGS9" s="175"/>
      <c r="UGT9" s="175"/>
      <c r="UGU9" s="175"/>
      <c r="UGV9" s="175"/>
      <c r="UGW9" s="175"/>
      <c r="UGX9" s="175"/>
      <c r="UGY9" s="175"/>
      <c r="UGZ9" s="175"/>
      <c r="UHA9" s="175"/>
      <c r="UHB9" s="175"/>
      <c r="UHC9" s="175"/>
      <c r="UHD9" s="175"/>
      <c r="UHE9" s="175"/>
      <c r="UHF9" s="175"/>
      <c r="UHG9" s="175"/>
      <c r="UHH9" s="175"/>
      <c r="UHI9" s="175"/>
      <c r="UHJ9" s="175"/>
      <c r="UHK9" s="175"/>
      <c r="UHL9" s="175"/>
      <c r="UHM9" s="175"/>
      <c r="UHN9" s="175"/>
      <c r="UHO9" s="175"/>
      <c r="UHP9" s="175"/>
      <c r="UHQ9" s="175"/>
      <c r="UHR9" s="175"/>
      <c r="UHS9" s="175"/>
      <c r="UHT9" s="175"/>
      <c r="UHU9" s="175"/>
      <c r="UHV9" s="175"/>
      <c r="UHW9" s="175"/>
      <c r="UHX9" s="175"/>
      <c r="UHY9" s="175"/>
      <c r="UHZ9" s="175"/>
      <c r="UIA9" s="175"/>
      <c r="UIB9" s="175"/>
      <c r="UIC9" s="175"/>
      <c r="UID9" s="175"/>
      <c r="UIE9" s="175"/>
      <c r="UIF9" s="175"/>
      <c r="UIG9" s="175"/>
      <c r="UIH9" s="175"/>
      <c r="UII9" s="175"/>
      <c r="UIJ9" s="175"/>
      <c r="UIK9" s="175"/>
      <c r="UIL9" s="175"/>
      <c r="UIM9" s="175"/>
      <c r="UIN9" s="175"/>
      <c r="UIO9" s="175"/>
      <c r="UIP9" s="175"/>
      <c r="UIQ9" s="175"/>
      <c r="UIR9" s="175"/>
      <c r="UIS9" s="175"/>
      <c r="UIT9" s="175"/>
      <c r="UIU9" s="175"/>
      <c r="UIV9" s="175"/>
      <c r="UIW9" s="175"/>
      <c r="UIX9" s="175"/>
      <c r="UIY9" s="175"/>
      <c r="UIZ9" s="175"/>
      <c r="UJA9" s="175"/>
      <c r="UJB9" s="175"/>
      <c r="UJC9" s="175"/>
      <c r="UJD9" s="175"/>
      <c r="UJE9" s="175"/>
      <c r="UJF9" s="175"/>
      <c r="UJG9" s="175"/>
      <c r="UJH9" s="175"/>
      <c r="UJI9" s="175"/>
      <c r="UJJ9" s="175"/>
      <c r="UJK9" s="175"/>
      <c r="UJL9" s="175"/>
      <c r="UJM9" s="175"/>
      <c r="UJN9" s="175"/>
      <c r="UJO9" s="175"/>
      <c r="UJP9" s="175"/>
      <c r="UJQ9" s="175"/>
      <c r="UJR9" s="175"/>
      <c r="UJS9" s="175"/>
      <c r="UJT9" s="175"/>
      <c r="UJU9" s="175"/>
      <c r="UJV9" s="175"/>
      <c r="UJW9" s="175"/>
      <c r="UJX9" s="175"/>
      <c r="UJY9" s="175"/>
      <c r="UJZ9" s="175"/>
      <c r="UKA9" s="175"/>
      <c r="UKB9" s="175"/>
      <c r="UKC9" s="175"/>
      <c r="UKD9" s="175"/>
      <c r="UKE9" s="175"/>
      <c r="UKF9" s="175"/>
      <c r="UKG9" s="175"/>
      <c r="UKH9" s="175"/>
      <c r="UKI9" s="175"/>
      <c r="UKJ9" s="175"/>
      <c r="UKK9" s="175"/>
      <c r="UKL9" s="175"/>
      <c r="UKM9" s="175"/>
      <c r="UKN9" s="175"/>
      <c r="UKO9" s="175"/>
      <c r="UKP9" s="175"/>
      <c r="UKQ9" s="175"/>
      <c r="UKR9" s="175"/>
      <c r="UKS9" s="175"/>
      <c r="UKT9" s="175"/>
      <c r="UKU9" s="175"/>
      <c r="UKV9" s="175"/>
      <c r="UKW9" s="175"/>
      <c r="UKX9" s="175"/>
      <c r="UKY9" s="175"/>
      <c r="UKZ9" s="175"/>
      <c r="ULA9" s="175"/>
      <c r="ULB9" s="175"/>
      <c r="ULC9" s="175"/>
      <c r="ULD9" s="175"/>
      <c r="ULE9" s="175"/>
      <c r="ULF9" s="175"/>
      <c r="ULG9" s="175"/>
      <c r="ULH9" s="175"/>
      <c r="ULI9" s="175"/>
      <c r="ULJ9" s="175"/>
      <c r="ULK9" s="175"/>
      <c r="ULL9" s="175"/>
      <c r="ULM9" s="175"/>
      <c r="ULN9" s="175"/>
      <c r="ULO9" s="175"/>
      <c r="ULP9" s="175"/>
      <c r="ULQ9" s="175"/>
      <c r="ULR9" s="175"/>
      <c r="ULS9" s="175"/>
      <c r="ULT9" s="175"/>
      <c r="ULU9" s="175"/>
      <c r="ULV9" s="175"/>
      <c r="ULW9" s="175"/>
      <c r="ULX9" s="175"/>
      <c r="ULY9" s="175"/>
      <c r="ULZ9" s="175"/>
      <c r="UMA9" s="175"/>
      <c r="UMB9" s="175"/>
      <c r="UMC9" s="175"/>
      <c r="UMD9" s="175"/>
      <c r="UME9" s="175"/>
      <c r="UMF9" s="175"/>
      <c r="UMG9" s="175"/>
      <c r="UMH9" s="175"/>
      <c r="UMI9" s="175"/>
      <c r="UMJ9" s="175"/>
      <c r="UMK9" s="175"/>
      <c r="UML9" s="175"/>
      <c r="UMM9" s="175"/>
      <c r="UMN9" s="175"/>
      <c r="UMO9" s="175"/>
      <c r="UMP9" s="175"/>
      <c r="UMQ9" s="175"/>
      <c r="UMR9" s="175"/>
      <c r="UMS9" s="175"/>
      <c r="UMT9" s="175"/>
      <c r="UMU9" s="175"/>
      <c r="UMV9" s="175"/>
      <c r="UMW9" s="175"/>
      <c r="UMX9" s="175"/>
      <c r="UMY9" s="175"/>
      <c r="UMZ9" s="175"/>
      <c r="UNA9" s="175"/>
      <c r="UNB9" s="175"/>
      <c r="UNC9" s="175"/>
      <c r="UND9" s="175"/>
      <c r="UNE9" s="175"/>
      <c r="UNF9" s="175"/>
      <c r="UNG9" s="175"/>
      <c r="UNH9" s="175"/>
      <c r="UNI9" s="175"/>
      <c r="UNJ9" s="175"/>
      <c r="UNK9" s="175"/>
      <c r="UNL9" s="175"/>
      <c r="UNM9" s="175"/>
      <c r="UNN9" s="175"/>
      <c r="UNO9" s="175"/>
      <c r="UNP9" s="175"/>
      <c r="UNQ9" s="175"/>
      <c r="UNR9" s="175"/>
      <c r="UNS9" s="175"/>
      <c r="UNT9" s="175"/>
      <c r="UNU9" s="175"/>
      <c r="UNV9" s="175"/>
      <c r="UNW9" s="175"/>
      <c r="UNX9" s="175"/>
      <c r="UNY9" s="175"/>
      <c r="UNZ9" s="175"/>
      <c r="UOA9" s="175"/>
      <c r="UOB9" s="175"/>
      <c r="UOC9" s="175"/>
      <c r="UOD9" s="175"/>
      <c r="UOE9" s="175"/>
      <c r="UOF9" s="175"/>
      <c r="UOG9" s="175"/>
      <c r="UOH9" s="175"/>
      <c r="UOI9" s="175"/>
      <c r="UOJ9" s="175"/>
      <c r="UOK9" s="175"/>
      <c r="UOL9" s="175"/>
      <c r="UOM9" s="175"/>
      <c r="UON9" s="175"/>
      <c r="UOO9" s="175"/>
      <c r="UOP9" s="175"/>
      <c r="UOQ9" s="175"/>
      <c r="UOR9" s="175"/>
      <c r="UOS9" s="175"/>
      <c r="UOT9" s="175"/>
      <c r="UOU9" s="175"/>
      <c r="UOV9" s="175"/>
      <c r="UOW9" s="175"/>
      <c r="UOX9" s="175"/>
      <c r="UOY9" s="175"/>
      <c r="UOZ9" s="175"/>
      <c r="UPA9" s="175"/>
      <c r="UPB9" s="175"/>
      <c r="UPC9" s="175"/>
      <c r="UPD9" s="175"/>
      <c r="UPE9" s="175"/>
      <c r="UPF9" s="175"/>
      <c r="UPG9" s="175"/>
      <c r="UPH9" s="175"/>
      <c r="UPI9" s="175"/>
      <c r="UPJ9" s="175"/>
      <c r="UPK9" s="175"/>
      <c r="UPL9" s="175"/>
      <c r="UPM9" s="175"/>
      <c r="UPN9" s="175"/>
      <c r="UPO9" s="175"/>
      <c r="UPP9" s="175"/>
      <c r="UPQ9" s="175"/>
      <c r="UPR9" s="175"/>
      <c r="UPS9" s="175"/>
      <c r="UPT9" s="175"/>
      <c r="UPU9" s="175"/>
      <c r="UPV9" s="175"/>
      <c r="UPW9" s="175"/>
      <c r="UPX9" s="175"/>
      <c r="UPY9" s="175"/>
      <c r="UPZ9" s="175"/>
      <c r="UQA9" s="175"/>
      <c r="UQB9" s="175"/>
      <c r="UQC9" s="175"/>
      <c r="UQD9" s="175"/>
      <c r="UQE9" s="175"/>
      <c r="UQF9" s="175"/>
      <c r="UQG9" s="175"/>
      <c r="UQH9" s="175"/>
      <c r="UQI9" s="175"/>
      <c r="UQJ9" s="175"/>
      <c r="UQK9" s="175"/>
      <c r="UQL9" s="175"/>
      <c r="UQM9" s="175"/>
      <c r="UQN9" s="175"/>
      <c r="UQO9" s="175"/>
      <c r="UQP9" s="175"/>
      <c r="UQQ9" s="175"/>
      <c r="UQR9" s="175"/>
      <c r="UQS9" s="175"/>
      <c r="UQT9" s="175"/>
      <c r="UQU9" s="175"/>
      <c r="UQV9" s="175"/>
      <c r="UQW9" s="175"/>
      <c r="UQX9" s="175"/>
      <c r="UQY9" s="175"/>
      <c r="UQZ9" s="175"/>
      <c r="URA9" s="175"/>
      <c r="URB9" s="175"/>
      <c r="URC9" s="175"/>
      <c r="URD9" s="175"/>
      <c r="URE9" s="175"/>
      <c r="URF9" s="175"/>
      <c r="URG9" s="175"/>
      <c r="URH9" s="175"/>
      <c r="URI9" s="175"/>
      <c r="URJ9" s="175"/>
      <c r="URK9" s="175"/>
      <c r="URL9" s="175"/>
      <c r="URM9" s="175"/>
      <c r="URN9" s="175"/>
      <c r="URO9" s="175"/>
      <c r="URP9" s="175"/>
      <c r="URQ9" s="175"/>
      <c r="URR9" s="175"/>
      <c r="URS9" s="175"/>
      <c r="URT9" s="175"/>
      <c r="URU9" s="175"/>
      <c r="URV9" s="175"/>
      <c r="URW9" s="175"/>
      <c r="URX9" s="175"/>
      <c r="URY9" s="175"/>
      <c r="URZ9" s="175"/>
      <c r="USA9" s="175"/>
      <c r="USB9" s="175"/>
      <c r="USC9" s="175"/>
      <c r="USD9" s="175"/>
      <c r="USE9" s="175"/>
      <c r="USF9" s="175"/>
      <c r="USG9" s="175"/>
      <c r="USH9" s="175"/>
      <c r="USI9" s="175"/>
      <c r="USJ9" s="175"/>
      <c r="USK9" s="175"/>
      <c r="USL9" s="175"/>
      <c r="USM9" s="175"/>
      <c r="USN9" s="175"/>
      <c r="USO9" s="175"/>
      <c r="USP9" s="175"/>
      <c r="USQ9" s="175"/>
      <c r="USR9" s="175"/>
      <c r="USS9" s="175"/>
      <c r="UST9" s="175"/>
      <c r="USU9" s="175"/>
      <c r="USV9" s="175"/>
      <c r="USW9" s="175"/>
      <c r="USX9" s="175"/>
      <c r="USY9" s="175"/>
      <c r="USZ9" s="175"/>
      <c r="UTA9" s="175"/>
      <c r="UTB9" s="175"/>
      <c r="UTC9" s="175"/>
      <c r="UTD9" s="175"/>
      <c r="UTE9" s="175"/>
      <c r="UTF9" s="175"/>
      <c r="UTG9" s="175"/>
      <c r="UTH9" s="175"/>
      <c r="UTI9" s="175"/>
      <c r="UTJ9" s="175"/>
      <c r="UTK9" s="175"/>
      <c r="UTL9" s="175"/>
      <c r="UTM9" s="175"/>
      <c r="UTN9" s="175"/>
      <c r="UTO9" s="175"/>
      <c r="UTP9" s="175"/>
      <c r="UTQ9" s="175"/>
      <c r="UTR9" s="175"/>
      <c r="UTS9" s="175"/>
      <c r="UTT9" s="175"/>
      <c r="UTU9" s="175"/>
      <c r="UTV9" s="175"/>
      <c r="UTW9" s="175"/>
      <c r="UTX9" s="175"/>
      <c r="UTY9" s="175"/>
      <c r="UTZ9" s="175"/>
      <c r="UUA9" s="175"/>
      <c r="UUB9" s="175"/>
      <c r="UUC9" s="175"/>
      <c r="UUD9" s="175"/>
      <c r="UUE9" s="175"/>
      <c r="UUF9" s="175"/>
      <c r="UUG9" s="175"/>
      <c r="UUH9" s="175"/>
      <c r="UUI9" s="175"/>
      <c r="UUJ9" s="175"/>
      <c r="UUK9" s="175"/>
      <c r="UUL9" s="175"/>
      <c r="UUM9" s="175"/>
      <c r="UUN9" s="175"/>
      <c r="UUO9" s="175"/>
      <c r="UUP9" s="175"/>
      <c r="UUQ9" s="175"/>
      <c r="UUR9" s="175"/>
      <c r="UUS9" s="175"/>
      <c r="UUT9" s="175"/>
      <c r="UUU9" s="175"/>
      <c r="UUV9" s="175"/>
      <c r="UUW9" s="175"/>
      <c r="UUX9" s="175"/>
      <c r="UUY9" s="175"/>
      <c r="UUZ9" s="175"/>
      <c r="UVA9" s="175"/>
      <c r="UVB9" s="175"/>
      <c r="UVC9" s="175"/>
      <c r="UVD9" s="175"/>
      <c r="UVE9" s="175"/>
      <c r="UVF9" s="175"/>
      <c r="UVG9" s="175"/>
      <c r="UVH9" s="175"/>
      <c r="UVI9" s="175"/>
      <c r="UVJ9" s="175"/>
      <c r="UVK9" s="175"/>
      <c r="UVL9" s="175"/>
      <c r="UVM9" s="175"/>
      <c r="UVN9" s="175"/>
      <c r="UVO9" s="175"/>
      <c r="UVP9" s="175"/>
      <c r="UVQ9" s="175"/>
      <c r="UVR9" s="175"/>
      <c r="UVS9" s="175"/>
      <c r="UVT9" s="175"/>
      <c r="UVU9" s="175"/>
      <c r="UVV9" s="175"/>
      <c r="UVW9" s="175"/>
      <c r="UVX9" s="175"/>
      <c r="UVY9" s="175"/>
      <c r="UVZ9" s="175"/>
      <c r="UWA9" s="175"/>
      <c r="UWB9" s="175"/>
      <c r="UWC9" s="175"/>
      <c r="UWD9" s="175"/>
      <c r="UWE9" s="175"/>
      <c r="UWF9" s="175"/>
      <c r="UWG9" s="175"/>
      <c r="UWH9" s="175"/>
      <c r="UWI9" s="175"/>
      <c r="UWJ9" s="175"/>
      <c r="UWK9" s="175"/>
      <c r="UWL9" s="175"/>
      <c r="UWM9" s="175"/>
      <c r="UWN9" s="175"/>
      <c r="UWO9" s="175"/>
      <c r="UWP9" s="175"/>
      <c r="UWQ9" s="175"/>
      <c r="UWR9" s="175"/>
      <c r="UWS9" s="175"/>
      <c r="UWT9" s="175"/>
      <c r="UWU9" s="175"/>
      <c r="UWV9" s="175"/>
      <c r="UWW9" s="175"/>
      <c r="UWX9" s="175"/>
      <c r="UWY9" s="175"/>
      <c r="UWZ9" s="175"/>
      <c r="UXA9" s="175"/>
      <c r="UXB9" s="175"/>
      <c r="UXC9" s="175"/>
      <c r="UXD9" s="175"/>
      <c r="UXE9" s="175"/>
      <c r="UXF9" s="175"/>
      <c r="UXG9" s="175"/>
      <c r="UXH9" s="175"/>
      <c r="UXI9" s="175"/>
      <c r="UXJ9" s="175"/>
      <c r="UXK9" s="175"/>
      <c r="UXL9" s="175"/>
      <c r="UXM9" s="175"/>
      <c r="UXN9" s="175"/>
      <c r="UXO9" s="175"/>
      <c r="UXP9" s="175"/>
      <c r="UXQ9" s="175"/>
      <c r="UXR9" s="175"/>
      <c r="UXS9" s="175"/>
      <c r="UXT9" s="175"/>
      <c r="UXU9" s="175"/>
      <c r="UXV9" s="175"/>
      <c r="UXW9" s="175"/>
      <c r="UXX9" s="175"/>
      <c r="UXY9" s="175"/>
      <c r="UXZ9" s="175"/>
      <c r="UYA9" s="175"/>
      <c r="UYB9" s="175"/>
      <c r="UYC9" s="175"/>
      <c r="UYD9" s="175"/>
      <c r="UYE9" s="175"/>
      <c r="UYF9" s="175"/>
      <c r="UYG9" s="175"/>
      <c r="UYH9" s="175"/>
      <c r="UYI9" s="175"/>
      <c r="UYJ9" s="175"/>
      <c r="UYK9" s="175"/>
      <c r="UYL9" s="175"/>
      <c r="UYM9" s="175"/>
      <c r="UYN9" s="175"/>
      <c r="UYO9" s="175"/>
      <c r="UYP9" s="175"/>
      <c r="UYQ9" s="175"/>
      <c r="UYR9" s="175"/>
      <c r="UYS9" s="175"/>
      <c r="UYT9" s="175"/>
      <c r="UYU9" s="175"/>
      <c r="UYV9" s="175"/>
      <c r="UYW9" s="175"/>
      <c r="UYX9" s="175"/>
      <c r="UYY9" s="175"/>
      <c r="UYZ9" s="175"/>
      <c r="UZA9" s="175"/>
      <c r="UZB9" s="175"/>
      <c r="UZC9" s="175"/>
      <c r="UZD9" s="175"/>
      <c r="UZE9" s="175"/>
      <c r="UZF9" s="175"/>
      <c r="UZG9" s="175"/>
      <c r="UZH9" s="175"/>
      <c r="UZI9" s="175"/>
      <c r="UZJ9" s="175"/>
      <c r="UZK9" s="175"/>
      <c r="UZL9" s="175"/>
      <c r="UZM9" s="175"/>
      <c r="UZN9" s="175"/>
      <c r="UZO9" s="175"/>
      <c r="UZP9" s="175"/>
      <c r="UZQ9" s="175"/>
      <c r="UZR9" s="175"/>
      <c r="UZS9" s="175"/>
      <c r="UZT9" s="175"/>
      <c r="UZU9" s="175"/>
      <c r="UZV9" s="175"/>
      <c r="UZW9" s="175"/>
      <c r="UZX9" s="175"/>
      <c r="UZY9" s="175"/>
      <c r="UZZ9" s="175"/>
      <c r="VAA9" s="175"/>
      <c r="VAB9" s="175"/>
      <c r="VAC9" s="175"/>
      <c r="VAD9" s="175"/>
      <c r="VAE9" s="175"/>
      <c r="VAF9" s="175"/>
      <c r="VAG9" s="175"/>
      <c r="VAH9" s="175"/>
      <c r="VAI9" s="175"/>
      <c r="VAJ9" s="175"/>
      <c r="VAK9" s="175"/>
      <c r="VAL9" s="175"/>
      <c r="VAM9" s="175"/>
      <c r="VAN9" s="175"/>
      <c r="VAO9" s="175"/>
      <c r="VAP9" s="175"/>
      <c r="VAQ9" s="175"/>
      <c r="VAR9" s="175"/>
      <c r="VAS9" s="175"/>
      <c r="VAT9" s="175"/>
      <c r="VAU9" s="175"/>
      <c r="VAV9" s="175"/>
      <c r="VAW9" s="175"/>
      <c r="VAX9" s="175"/>
      <c r="VAY9" s="175"/>
      <c r="VAZ9" s="175"/>
      <c r="VBA9" s="175"/>
      <c r="VBB9" s="175"/>
      <c r="VBC9" s="175"/>
      <c r="VBD9" s="175"/>
      <c r="VBE9" s="175"/>
      <c r="VBF9" s="175"/>
      <c r="VBG9" s="175"/>
      <c r="VBH9" s="175"/>
      <c r="VBI9" s="175"/>
      <c r="VBJ9" s="175"/>
      <c r="VBK9" s="175"/>
      <c r="VBL9" s="175"/>
      <c r="VBM9" s="175"/>
      <c r="VBN9" s="175"/>
      <c r="VBO9" s="175"/>
      <c r="VBP9" s="175"/>
      <c r="VBQ9" s="175"/>
      <c r="VBR9" s="175"/>
      <c r="VBS9" s="175"/>
      <c r="VBT9" s="175"/>
      <c r="VBU9" s="175"/>
      <c r="VBV9" s="175"/>
      <c r="VBW9" s="175"/>
      <c r="VBX9" s="175"/>
      <c r="VBY9" s="175"/>
      <c r="VBZ9" s="175"/>
      <c r="VCA9" s="175"/>
      <c r="VCB9" s="175"/>
      <c r="VCC9" s="175"/>
      <c r="VCD9" s="175"/>
      <c r="VCE9" s="175"/>
      <c r="VCF9" s="175"/>
      <c r="VCG9" s="175"/>
      <c r="VCH9" s="175"/>
      <c r="VCI9" s="175"/>
      <c r="VCJ9" s="175"/>
      <c r="VCK9" s="175"/>
      <c r="VCL9" s="175"/>
      <c r="VCM9" s="175"/>
      <c r="VCN9" s="175"/>
      <c r="VCO9" s="175"/>
      <c r="VCP9" s="175"/>
      <c r="VCQ9" s="175"/>
      <c r="VCR9" s="175"/>
      <c r="VCS9" s="175"/>
      <c r="VCT9" s="175"/>
      <c r="VCU9" s="175"/>
      <c r="VCV9" s="175"/>
      <c r="VCW9" s="175"/>
      <c r="VCX9" s="175"/>
      <c r="VCY9" s="175"/>
      <c r="VCZ9" s="175"/>
      <c r="VDA9" s="175"/>
      <c r="VDB9" s="175"/>
      <c r="VDC9" s="175"/>
      <c r="VDD9" s="175"/>
      <c r="VDE9" s="175"/>
      <c r="VDF9" s="175"/>
      <c r="VDG9" s="175"/>
      <c r="VDH9" s="175"/>
      <c r="VDI9" s="175"/>
      <c r="VDJ9" s="175"/>
      <c r="VDK9" s="175"/>
      <c r="VDL9" s="175"/>
      <c r="VDM9" s="175"/>
      <c r="VDN9" s="175"/>
      <c r="VDO9" s="175"/>
      <c r="VDP9" s="175"/>
      <c r="VDQ9" s="175"/>
      <c r="VDR9" s="175"/>
      <c r="VDS9" s="175"/>
      <c r="VDT9" s="175"/>
      <c r="VDU9" s="175"/>
      <c r="VDV9" s="175"/>
      <c r="VDW9" s="175"/>
      <c r="VDX9" s="175"/>
      <c r="VDY9" s="175"/>
      <c r="VDZ9" s="175"/>
      <c r="VEA9" s="175"/>
      <c r="VEB9" s="175"/>
      <c r="VEC9" s="175"/>
      <c r="VED9" s="175"/>
      <c r="VEE9" s="175"/>
      <c r="VEF9" s="175"/>
      <c r="VEG9" s="175"/>
      <c r="VEH9" s="175"/>
      <c r="VEI9" s="175"/>
      <c r="VEJ9" s="175"/>
      <c r="VEK9" s="175"/>
      <c r="VEL9" s="175"/>
      <c r="VEM9" s="175"/>
      <c r="VEN9" s="175"/>
      <c r="VEO9" s="175"/>
      <c r="VEP9" s="175"/>
      <c r="VEQ9" s="175"/>
      <c r="VER9" s="175"/>
      <c r="VES9" s="175"/>
      <c r="VET9" s="175"/>
      <c r="VEU9" s="175"/>
      <c r="VEV9" s="175"/>
      <c r="VEW9" s="175"/>
      <c r="VEX9" s="175"/>
      <c r="VEY9" s="175"/>
      <c r="VEZ9" s="175"/>
      <c r="VFA9" s="175"/>
      <c r="VFB9" s="175"/>
      <c r="VFC9" s="175"/>
      <c r="VFD9" s="175"/>
      <c r="VFE9" s="175"/>
      <c r="VFF9" s="175"/>
      <c r="VFG9" s="175"/>
      <c r="VFH9" s="175"/>
      <c r="VFI9" s="175"/>
      <c r="VFJ9" s="175"/>
      <c r="VFK9" s="175"/>
      <c r="VFL9" s="175"/>
      <c r="VFM9" s="175"/>
      <c r="VFN9" s="175"/>
      <c r="VFO9" s="175"/>
      <c r="VFP9" s="175"/>
      <c r="VFQ9" s="175"/>
      <c r="VFR9" s="175"/>
      <c r="VFS9" s="175"/>
      <c r="VFT9" s="175"/>
      <c r="VFU9" s="175"/>
      <c r="VFV9" s="175"/>
      <c r="VFW9" s="175"/>
      <c r="VFX9" s="175"/>
      <c r="VFY9" s="175"/>
      <c r="VFZ9" s="175"/>
      <c r="VGA9" s="175"/>
      <c r="VGB9" s="175"/>
      <c r="VGC9" s="175"/>
      <c r="VGD9" s="175"/>
      <c r="VGE9" s="175"/>
      <c r="VGF9" s="175"/>
      <c r="VGG9" s="175"/>
      <c r="VGH9" s="175"/>
      <c r="VGI9" s="175"/>
      <c r="VGJ9" s="175"/>
      <c r="VGK9" s="175"/>
      <c r="VGL9" s="175"/>
      <c r="VGM9" s="175"/>
      <c r="VGN9" s="175"/>
      <c r="VGO9" s="175"/>
      <c r="VGP9" s="175"/>
      <c r="VGQ9" s="175"/>
      <c r="VGR9" s="175"/>
      <c r="VGS9" s="175"/>
      <c r="VGT9" s="175"/>
      <c r="VGU9" s="175"/>
      <c r="VGV9" s="175"/>
      <c r="VGW9" s="175"/>
      <c r="VGX9" s="175"/>
      <c r="VGY9" s="175"/>
      <c r="VGZ9" s="175"/>
      <c r="VHA9" s="175"/>
      <c r="VHB9" s="175"/>
      <c r="VHC9" s="175"/>
      <c r="VHD9" s="175"/>
      <c r="VHE9" s="175"/>
      <c r="VHF9" s="175"/>
      <c r="VHG9" s="175"/>
      <c r="VHH9" s="175"/>
      <c r="VHI9" s="175"/>
      <c r="VHJ9" s="175"/>
      <c r="VHK9" s="175"/>
      <c r="VHL9" s="175"/>
      <c r="VHM9" s="175"/>
      <c r="VHN9" s="175"/>
      <c r="VHO9" s="175"/>
      <c r="VHP9" s="175"/>
      <c r="VHQ9" s="175"/>
      <c r="VHR9" s="175"/>
      <c r="VHS9" s="175"/>
      <c r="VHT9" s="175"/>
      <c r="VHU9" s="175"/>
      <c r="VHV9" s="175"/>
      <c r="VHW9" s="175"/>
      <c r="VHX9" s="175"/>
      <c r="VHY9" s="175"/>
      <c r="VHZ9" s="175"/>
      <c r="VIA9" s="175"/>
      <c r="VIB9" s="175"/>
      <c r="VIC9" s="175"/>
      <c r="VID9" s="175"/>
      <c r="VIE9" s="175"/>
      <c r="VIF9" s="175"/>
      <c r="VIG9" s="175"/>
      <c r="VIH9" s="175"/>
      <c r="VII9" s="175"/>
      <c r="VIJ9" s="175"/>
      <c r="VIK9" s="175"/>
      <c r="VIL9" s="175"/>
      <c r="VIM9" s="175"/>
      <c r="VIN9" s="175"/>
      <c r="VIO9" s="175"/>
      <c r="VIP9" s="175"/>
      <c r="VIQ9" s="175"/>
      <c r="VIR9" s="175"/>
      <c r="VIS9" s="175"/>
      <c r="VIT9" s="175"/>
      <c r="VIU9" s="175"/>
      <c r="VIV9" s="175"/>
      <c r="VIW9" s="175"/>
      <c r="VIX9" s="175"/>
      <c r="VIY9" s="175"/>
      <c r="VIZ9" s="175"/>
      <c r="VJA9" s="175"/>
      <c r="VJB9" s="175"/>
      <c r="VJC9" s="175"/>
      <c r="VJD9" s="175"/>
      <c r="VJE9" s="175"/>
      <c r="VJF9" s="175"/>
      <c r="VJG9" s="175"/>
      <c r="VJH9" s="175"/>
      <c r="VJI9" s="175"/>
      <c r="VJJ9" s="175"/>
      <c r="VJK9" s="175"/>
      <c r="VJL9" s="175"/>
      <c r="VJM9" s="175"/>
      <c r="VJN9" s="175"/>
      <c r="VJO9" s="175"/>
      <c r="VJP9" s="175"/>
      <c r="VJQ9" s="175"/>
      <c r="VJR9" s="175"/>
      <c r="VJS9" s="175"/>
      <c r="VJT9" s="175"/>
      <c r="VJU9" s="175"/>
      <c r="VJV9" s="175"/>
      <c r="VJW9" s="175"/>
      <c r="VJX9" s="175"/>
      <c r="VJY9" s="175"/>
      <c r="VJZ9" s="175"/>
      <c r="VKA9" s="175"/>
      <c r="VKB9" s="175"/>
      <c r="VKC9" s="175"/>
      <c r="VKD9" s="175"/>
      <c r="VKE9" s="175"/>
      <c r="VKF9" s="175"/>
      <c r="VKG9" s="175"/>
      <c r="VKH9" s="175"/>
      <c r="VKI9" s="175"/>
      <c r="VKJ9" s="175"/>
      <c r="VKK9" s="175"/>
      <c r="VKL9" s="175"/>
      <c r="VKM9" s="175"/>
      <c r="VKN9" s="175"/>
      <c r="VKO9" s="175"/>
      <c r="VKP9" s="175"/>
      <c r="VKQ9" s="175"/>
      <c r="VKR9" s="175"/>
      <c r="VKS9" s="175"/>
      <c r="VKT9" s="175"/>
      <c r="VKU9" s="175"/>
      <c r="VKV9" s="175"/>
      <c r="VKW9" s="175"/>
      <c r="VKX9" s="175"/>
      <c r="VKY9" s="175"/>
      <c r="VKZ9" s="175"/>
      <c r="VLA9" s="175"/>
      <c r="VLB9" s="175"/>
      <c r="VLC9" s="175"/>
      <c r="VLD9" s="175"/>
      <c r="VLE9" s="175"/>
      <c r="VLF9" s="175"/>
      <c r="VLG9" s="175"/>
      <c r="VLH9" s="175"/>
      <c r="VLI9" s="175"/>
      <c r="VLJ9" s="175"/>
      <c r="VLK9" s="175"/>
      <c r="VLL9" s="175"/>
      <c r="VLM9" s="175"/>
      <c r="VLN9" s="175"/>
      <c r="VLO9" s="175"/>
      <c r="VLP9" s="175"/>
      <c r="VLQ9" s="175"/>
      <c r="VLR9" s="175"/>
      <c r="VLS9" s="175"/>
      <c r="VLT9" s="175"/>
      <c r="VLU9" s="175"/>
      <c r="VLV9" s="175"/>
      <c r="VLW9" s="175"/>
      <c r="VLX9" s="175"/>
      <c r="VLY9" s="175"/>
      <c r="VLZ9" s="175"/>
      <c r="VMA9" s="175"/>
      <c r="VMB9" s="175"/>
      <c r="VMC9" s="175"/>
      <c r="VMD9" s="175"/>
      <c r="VME9" s="175"/>
      <c r="VMF9" s="175"/>
      <c r="VMG9" s="175"/>
      <c r="VMH9" s="175"/>
      <c r="VMI9" s="175"/>
      <c r="VMJ9" s="175"/>
      <c r="VMK9" s="175"/>
      <c r="VML9" s="175"/>
      <c r="VMM9" s="175"/>
      <c r="VMN9" s="175"/>
      <c r="VMO9" s="175"/>
      <c r="VMP9" s="175"/>
      <c r="VMQ9" s="175"/>
      <c r="VMR9" s="175"/>
      <c r="VMS9" s="175"/>
      <c r="VMT9" s="175"/>
      <c r="VMU9" s="175"/>
      <c r="VMV9" s="175"/>
      <c r="VMW9" s="175"/>
      <c r="VMX9" s="175"/>
      <c r="VMY9" s="175"/>
      <c r="VMZ9" s="175"/>
      <c r="VNA9" s="175"/>
      <c r="VNB9" s="175"/>
      <c r="VNC9" s="175"/>
      <c r="VND9" s="175"/>
      <c r="VNE9" s="175"/>
      <c r="VNF9" s="175"/>
      <c r="VNG9" s="175"/>
      <c r="VNH9" s="175"/>
      <c r="VNI9" s="175"/>
      <c r="VNJ9" s="175"/>
      <c r="VNK9" s="175"/>
      <c r="VNL9" s="175"/>
      <c r="VNM9" s="175"/>
      <c r="VNN9" s="175"/>
      <c r="VNO9" s="175"/>
      <c r="VNP9" s="175"/>
      <c r="VNQ9" s="175"/>
      <c r="VNR9" s="175"/>
      <c r="VNS9" s="175"/>
      <c r="VNT9" s="175"/>
      <c r="VNU9" s="175"/>
      <c r="VNV9" s="175"/>
      <c r="VNW9" s="175"/>
      <c r="VNX9" s="175"/>
      <c r="VNY9" s="175"/>
      <c r="VNZ9" s="175"/>
      <c r="VOA9" s="175"/>
      <c r="VOB9" s="175"/>
      <c r="VOC9" s="175"/>
      <c r="VOD9" s="175"/>
      <c r="VOE9" s="175"/>
      <c r="VOF9" s="175"/>
      <c r="VOG9" s="175"/>
      <c r="VOH9" s="175"/>
      <c r="VOI9" s="175"/>
      <c r="VOJ9" s="175"/>
      <c r="VOK9" s="175"/>
      <c r="VOL9" s="175"/>
      <c r="VOM9" s="175"/>
      <c r="VON9" s="175"/>
      <c r="VOO9" s="175"/>
      <c r="VOP9" s="175"/>
      <c r="VOQ9" s="175"/>
      <c r="VOR9" s="175"/>
      <c r="VOS9" s="175"/>
      <c r="VOT9" s="175"/>
      <c r="VOU9" s="175"/>
      <c r="VOV9" s="175"/>
      <c r="VOW9" s="175"/>
      <c r="VOX9" s="175"/>
      <c r="VOY9" s="175"/>
      <c r="VOZ9" s="175"/>
      <c r="VPA9" s="175"/>
      <c r="VPB9" s="175"/>
      <c r="VPC9" s="175"/>
      <c r="VPD9" s="175"/>
      <c r="VPE9" s="175"/>
      <c r="VPF9" s="175"/>
      <c r="VPG9" s="175"/>
      <c r="VPH9" s="175"/>
      <c r="VPI9" s="175"/>
      <c r="VPJ9" s="175"/>
      <c r="VPK9" s="175"/>
      <c r="VPL9" s="175"/>
      <c r="VPM9" s="175"/>
      <c r="VPN9" s="175"/>
      <c r="VPO9" s="175"/>
      <c r="VPP9" s="175"/>
      <c r="VPQ9" s="175"/>
      <c r="VPR9" s="175"/>
      <c r="VPS9" s="175"/>
      <c r="VPT9" s="175"/>
      <c r="VPU9" s="175"/>
      <c r="VPV9" s="175"/>
      <c r="VPW9" s="175"/>
      <c r="VPX9" s="175"/>
      <c r="VPY9" s="175"/>
      <c r="VPZ9" s="175"/>
      <c r="VQA9" s="175"/>
      <c r="VQB9" s="175"/>
      <c r="VQC9" s="175"/>
      <c r="VQD9" s="175"/>
      <c r="VQE9" s="175"/>
      <c r="VQF9" s="175"/>
      <c r="VQG9" s="175"/>
      <c r="VQH9" s="175"/>
      <c r="VQI9" s="175"/>
      <c r="VQJ9" s="175"/>
      <c r="VQK9" s="175"/>
      <c r="VQL9" s="175"/>
      <c r="VQM9" s="175"/>
      <c r="VQN9" s="175"/>
      <c r="VQO9" s="175"/>
      <c r="VQP9" s="175"/>
      <c r="VQQ9" s="175"/>
      <c r="VQR9" s="175"/>
      <c r="VQS9" s="175"/>
      <c r="VQT9" s="175"/>
      <c r="VQU9" s="175"/>
      <c r="VQV9" s="175"/>
      <c r="VQW9" s="175"/>
      <c r="VQX9" s="175"/>
      <c r="VQY9" s="175"/>
      <c r="VQZ9" s="175"/>
      <c r="VRA9" s="175"/>
      <c r="VRB9" s="175"/>
      <c r="VRC9" s="175"/>
      <c r="VRD9" s="175"/>
      <c r="VRE9" s="175"/>
      <c r="VRF9" s="175"/>
      <c r="VRG9" s="175"/>
      <c r="VRH9" s="175"/>
      <c r="VRI9" s="175"/>
      <c r="VRJ9" s="175"/>
      <c r="VRK9" s="175"/>
      <c r="VRL9" s="175"/>
      <c r="VRM9" s="175"/>
      <c r="VRN9" s="175"/>
      <c r="VRO9" s="175"/>
      <c r="VRP9" s="175"/>
      <c r="VRQ9" s="175"/>
      <c r="VRR9" s="175"/>
      <c r="VRS9" s="175"/>
      <c r="VRT9" s="175"/>
      <c r="VRU9" s="175"/>
      <c r="VRV9" s="175"/>
      <c r="VRW9" s="175"/>
      <c r="VRX9" s="175"/>
      <c r="VRY9" s="175"/>
      <c r="VRZ9" s="175"/>
      <c r="VSA9" s="175"/>
      <c r="VSB9" s="175"/>
      <c r="VSC9" s="175"/>
      <c r="VSD9" s="175"/>
      <c r="VSE9" s="175"/>
      <c r="VSF9" s="175"/>
      <c r="VSG9" s="175"/>
      <c r="VSH9" s="175"/>
      <c r="VSI9" s="175"/>
      <c r="VSJ9" s="175"/>
      <c r="VSK9" s="175"/>
      <c r="VSL9" s="175"/>
      <c r="VSM9" s="175"/>
      <c r="VSN9" s="175"/>
      <c r="VSO9" s="175"/>
      <c r="VSP9" s="175"/>
      <c r="VSQ9" s="175"/>
      <c r="VSR9" s="175"/>
      <c r="VSS9" s="175"/>
      <c r="VST9" s="175"/>
      <c r="VSU9" s="175"/>
      <c r="VSV9" s="175"/>
      <c r="VSW9" s="175"/>
      <c r="VSX9" s="175"/>
      <c r="VSY9" s="175"/>
      <c r="VSZ9" s="175"/>
      <c r="VTA9" s="175"/>
      <c r="VTB9" s="175"/>
      <c r="VTC9" s="175"/>
      <c r="VTD9" s="175"/>
      <c r="VTE9" s="175"/>
      <c r="VTF9" s="175"/>
      <c r="VTG9" s="175"/>
      <c r="VTH9" s="175"/>
      <c r="VTI9" s="175"/>
      <c r="VTJ9" s="175"/>
      <c r="VTK9" s="175"/>
      <c r="VTL9" s="175"/>
      <c r="VTM9" s="175"/>
      <c r="VTN9" s="175"/>
      <c r="VTO9" s="175"/>
      <c r="VTP9" s="175"/>
      <c r="VTQ9" s="175"/>
      <c r="VTR9" s="175"/>
      <c r="VTS9" s="175"/>
      <c r="VTT9" s="175"/>
      <c r="VTU9" s="175"/>
      <c r="VTV9" s="175"/>
      <c r="VTW9" s="175"/>
      <c r="VTX9" s="175"/>
      <c r="VTY9" s="175"/>
      <c r="VTZ9" s="175"/>
      <c r="VUA9" s="175"/>
      <c r="VUB9" s="175"/>
      <c r="VUC9" s="175"/>
      <c r="VUD9" s="175"/>
      <c r="VUE9" s="175"/>
      <c r="VUF9" s="175"/>
      <c r="VUG9" s="175"/>
      <c r="VUH9" s="175"/>
      <c r="VUI9" s="175"/>
      <c r="VUJ9" s="175"/>
      <c r="VUK9" s="175"/>
      <c r="VUL9" s="175"/>
      <c r="VUM9" s="175"/>
      <c r="VUN9" s="175"/>
      <c r="VUO9" s="175"/>
      <c r="VUP9" s="175"/>
      <c r="VUQ9" s="175"/>
      <c r="VUR9" s="175"/>
      <c r="VUS9" s="175"/>
      <c r="VUT9" s="175"/>
      <c r="VUU9" s="175"/>
      <c r="VUV9" s="175"/>
      <c r="VUW9" s="175"/>
      <c r="VUX9" s="175"/>
      <c r="VUY9" s="175"/>
      <c r="VUZ9" s="175"/>
      <c r="VVA9" s="175"/>
      <c r="VVB9" s="175"/>
      <c r="VVC9" s="175"/>
      <c r="VVD9" s="175"/>
      <c r="VVE9" s="175"/>
      <c r="VVF9" s="175"/>
      <c r="VVG9" s="175"/>
      <c r="VVH9" s="175"/>
      <c r="VVI9" s="175"/>
      <c r="VVJ9" s="175"/>
      <c r="VVK9" s="175"/>
      <c r="VVL9" s="175"/>
      <c r="VVM9" s="175"/>
      <c r="VVN9" s="175"/>
      <c r="VVO9" s="175"/>
      <c r="VVP9" s="175"/>
      <c r="VVQ9" s="175"/>
      <c r="VVR9" s="175"/>
      <c r="VVS9" s="175"/>
      <c r="VVT9" s="175"/>
      <c r="VVU9" s="175"/>
      <c r="VVV9" s="175"/>
      <c r="VVW9" s="175"/>
      <c r="VVX9" s="175"/>
      <c r="VVY9" s="175"/>
      <c r="VVZ9" s="175"/>
      <c r="VWA9" s="175"/>
      <c r="VWB9" s="175"/>
      <c r="VWC9" s="175"/>
      <c r="VWD9" s="175"/>
      <c r="VWE9" s="175"/>
      <c r="VWF9" s="175"/>
      <c r="VWG9" s="175"/>
      <c r="VWH9" s="175"/>
      <c r="VWI9" s="175"/>
      <c r="VWJ9" s="175"/>
      <c r="VWK9" s="175"/>
      <c r="VWL9" s="175"/>
      <c r="VWM9" s="175"/>
      <c r="VWN9" s="175"/>
      <c r="VWO9" s="175"/>
      <c r="VWP9" s="175"/>
      <c r="VWQ9" s="175"/>
      <c r="VWR9" s="175"/>
      <c r="VWS9" s="175"/>
      <c r="VWT9" s="175"/>
      <c r="VWU9" s="175"/>
      <c r="VWV9" s="175"/>
      <c r="VWW9" s="175"/>
      <c r="VWX9" s="175"/>
      <c r="VWY9" s="175"/>
      <c r="VWZ9" s="175"/>
      <c r="VXA9" s="175"/>
      <c r="VXB9" s="175"/>
      <c r="VXC9" s="175"/>
      <c r="VXD9" s="175"/>
      <c r="VXE9" s="175"/>
      <c r="VXF9" s="175"/>
      <c r="VXG9" s="175"/>
      <c r="VXH9" s="175"/>
      <c r="VXI9" s="175"/>
      <c r="VXJ9" s="175"/>
      <c r="VXK9" s="175"/>
      <c r="VXL9" s="175"/>
      <c r="VXM9" s="175"/>
      <c r="VXN9" s="175"/>
      <c r="VXO9" s="175"/>
      <c r="VXP9" s="175"/>
      <c r="VXQ9" s="175"/>
      <c r="VXR9" s="175"/>
      <c r="VXS9" s="175"/>
      <c r="VXT9" s="175"/>
      <c r="VXU9" s="175"/>
      <c r="VXV9" s="175"/>
      <c r="VXW9" s="175"/>
      <c r="VXX9" s="175"/>
      <c r="VXY9" s="175"/>
      <c r="VXZ9" s="175"/>
      <c r="VYA9" s="175"/>
      <c r="VYB9" s="175"/>
      <c r="VYC9" s="175"/>
      <c r="VYD9" s="175"/>
      <c r="VYE9" s="175"/>
      <c r="VYF9" s="175"/>
      <c r="VYG9" s="175"/>
      <c r="VYH9" s="175"/>
      <c r="VYI9" s="175"/>
      <c r="VYJ9" s="175"/>
      <c r="VYK9" s="175"/>
      <c r="VYL9" s="175"/>
      <c r="VYM9" s="175"/>
      <c r="VYN9" s="175"/>
      <c r="VYO9" s="175"/>
      <c r="VYP9" s="175"/>
      <c r="VYQ9" s="175"/>
      <c r="VYR9" s="175"/>
      <c r="VYS9" s="175"/>
      <c r="VYT9" s="175"/>
      <c r="VYU9" s="175"/>
      <c r="VYV9" s="175"/>
      <c r="VYW9" s="175"/>
      <c r="VYX9" s="175"/>
      <c r="VYY9" s="175"/>
      <c r="VYZ9" s="175"/>
      <c r="VZA9" s="175"/>
      <c r="VZB9" s="175"/>
      <c r="VZC9" s="175"/>
      <c r="VZD9" s="175"/>
      <c r="VZE9" s="175"/>
      <c r="VZF9" s="175"/>
      <c r="VZG9" s="175"/>
      <c r="VZH9" s="175"/>
      <c r="VZI9" s="175"/>
      <c r="VZJ9" s="175"/>
      <c r="VZK9" s="175"/>
      <c r="VZL9" s="175"/>
      <c r="VZM9" s="175"/>
      <c r="VZN9" s="175"/>
      <c r="VZO9" s="175"/>
      <c r="VZP9" s="175"/>
      <c r="VZQ9" s="175"/>
      <c r="VZR9" s="175"/>
      <c r="VZS9" s="175"/>
      <c r="VZT9" s="175"/>
      <c r="VZU9" s="175"/>
      <c r="VZV9" s="175"/>
      <c r="VZW9" s="175"/>
      <c r="VZX9" s="175"/>
      <c r="VZY9" s="175"/>
      <c r="VZZ9" s="175"/>
      <c r="WAA9" s="175"/>
      <c r="WAB9" s="175"/>
      <c r="WAC9" s="175"/>
      <c r="WAD9" s="175"/>
      <c r="WAE9" s="175"/>
      <c r="WAF9" s="175"/>
      <c r="WAG9" s="175"/>
      <c r="WAH9" s="175"/>
      <c r="WAI9" s="175"/>
      <c r="WAJ9" s="175"/>
      <c r="WAK9" s="175"/>
      <c r="WAL9" s="175"/>
      <c r="WAM9" s="175"/>
      <c r="WAN9" s="175"/>
      <c r="WAO9" s="175"/>
      <c r="WAP9" s="175"/>
      <c r="WAQ9" s="175"/>
      <c r="WAR9" s="175"/>
      <c r="WAS9" s="175"/>
      <c r="WAT9" s="175"/>
      <c r="WAU9" s="175"/>
      <c r="WAV9" s="175"/>
      <c r="WAW9" s="175"/>
      <c r="WAX9" s="175"/>
      <c r="WAY9" s="175"/>
      <c r="WAZ9" s="175"/>
      <c r="WBA9" s="175"/>
      <c r="WBB9" s="175"/>
      <c r="WBC9" s="175"/>
      <c r="WBD9" s="175"/>
      <c r="WBE9" s="175"/>
      <c r="WBF9" s="175"/>
      <c r="WBG9" s="175"/>
      <c r="WBH9" s="175"/>
      <c r="WBI9" s="175"/>
      <c r="WBJ9" s="175"/>
      <c r="WBK9" s="175"/>
      <c r="WBL9" s="175"/>
      <c r="WBM9" s="175"/>
      <c r="WBN9" s="175"/>
      <c r="WBO9" s="175"/>
      <c r="WBP9" s="175"/>
      <c r="WBQ9" s="175"/>
      <c r="WBR9" s="175"/>
      <c r="WBS9" s="175"/>
      <c r="WBT9" s="175"/>
      <c r="WBU9" s="175"/>
      <c r="WBV9" s="175"/>
      <c r="WBW9" s="175"/>
      <c r="WBX9" s="175"/>
      <c r="WBY9" s="175"/>
      <c r="WBZ9" s="175"/>
      <c r="WCA9" s="175"/>
      <c r="WCB9" s="175"/>
      <c r="WCC9" s="175"/>
      <c r="WCD9" s="175"/>
      <c r="WCE9" s="175"/>
      <c r="WCF9" s="175"/>
      <c r="WCG9" s="175"/>
      <c r="WCH9" s="175"/>
      <c r="WCI9" s="175"/>
      <c r="WCJ9" s="175"/>
      <c r="WCK9" s="175"/>
      <c r="WCL9" s="175"/>
      <c r="WCM9" s="175"/>
      <c r="WCN9" s="175"/>
      <c r="WCO9" s="175"/>
      <c r="WCP9" s="175"/>
      <c r="WCQ9" s="175"/>
      <c r="WCR9" s="175"/>
      <c r="WCS9" s="175"/>
      <c r="WCT9" s="175"/>
      <c r="WCU9" s="175"/>
      <c r="WCV9" s="175"/>
      <c r="WCW9" s="175"/>
      <c r="WCX9" s="175"/>
      <c r="WCY9" s="175"/>
      <c r="WCZ9" s="175"/>
      <c r="WDA9" s="175"/>
      <c r="WDB9" s="175"/>
      <c r="WDC9" s="175"/>
      <c r="WDD9" s="175"/>
      <c r="WDE9" s="175"/>
      <c r="WDF9" s="175"/>
      <c r="WDG9" s="175"/>
      <c r="WDH9" s="175"/>
      <c r="WDI9" s="175"/>
      <c r="WDJ9" s="175"/>
      <c r="WDK9" s="175"/>
      <c r="WDL9" s="175"/>
      <c r="WDM9" s="175"/>
      <c r="WDN9" s="175"/>
      <c r="WDO9" s="175"/>
      <c r="WDP9" s="175"/>
      <c r="WDQ9" s="175"/>
      <c r="WDR9" s="175"/>
      <c r="WDS9" s="175"/>
      <c r="WDT9" s="175"/>
      <c r="WDU9" s="175"/>
      <c r="WDV9" s="175"/>
      <c r="WDW9" s="175"/>
      <c r="WDX9" s="175"/>
      <c r="WDY9" s="175"/>
      <c r="WDZ9" s="175"/>
      <c r="WEA9" s="175"/>
      <c r="WEB9" s="175"/>
      <c r="WEC9" s="175"/>
      <c r="WED9" s="175"/>
      <c r="WEE9" s="175"/>
      <c r="WEF9" s="175"/>
      <c r="WEG9" s="175"/>
      <c r="WEH9" s="175"/>
      <c r="WEI9" s="175"/>
      <c r="WEJ9" s="175"/>
      <c r="WEK9" s="175"/>
      <c r="WEL9" s="175"/>
      <c r="WEM9" s="175"/>
      <c r="WEN9" s="175"/>
      <c r="WEO9" s="175"/>
      <c r="WEP9" s="175"/>
      <c r="WEQ9" s="175"/>
      <c r="WER9" s="175"/>
      <c r="WES9" s="175"/>
      <c r="WET9" s="175"/>
      <c r="WEU9" s="175"/>
      <c r="WEV9" s="175"/>
      <c r="WEW9" s="175"/>
      <c r="WEX9" s="175"/>
      <c r="WEY9" s="175"/>
      <c r="WEZ9" s="175"/>
      <c r="WFA9" s="175"/>
      <c r="WFB9" s="175"/>
      <c r="WFC9" s="175"/>
      <c r="WFD9" s="175"/>
      <c r="WFE9" s="175"/>
      <c r="WFF9" s="175"/>
      <c r="WFG9" s="175"/>
      <c r="WFH9" s="175"/>
      <c r="WFI9" s="175"/>
      <c r="WFJ9" s="175"/>
      <c r="WFK9" s="175"/>
      <c r="WFL9" s="175"/>
      <c r="WFM9" s="175"/>
      <c r="WFN9" s="175"/>
      <c r="WFO9" s="175"/>
      <c r="WFP9" s="175"/>
      <c r="WFQ9" s="175"/>
      <c r="WFR9" s="175"/>
      <c r="WFS9" s="175"/>
      <c r="WFT9" s="175"/>
      <c r="WFU9" s="175"/>
      <c r="WFV9" s="175"/>
      <c r="WFW9" s="175"/>
      <c r="WFX9" s="175"/>
      <c r="WFY9" s="175"/>
      <c r="WFZ9" s="175"/>
      <c r="WGA9" s="175"/>
      <c r="WGB9" s="175"/>
      <c r="WGC9" s="175"/>
      <c r="WGD9" s="175"/>
      <c r="WGE9" s="175"/>
      <c r="WGF9" s="175"/>
      <c r="WGG9" s="175"/>
      <c r="WGH9" s="175"/>
      <c r="WGI9" s="175"/>
      <c r="WGJ9" s="175"/>
      <c r="WGK9" s="175"/>
      <c r="WGL9" s="175"/>
      <c r="WGM9" s="175"/>
      <c r="WGN9" s="175"/>
      <c r="WGO9" s="175"/>
      <c r="WGP9" s="175"/>
      <c r="WGQ9" s="175"/>
      <c r="WGR9" s="175"/>
      <c r="WGS9" s="175"/>
      <c r="WGT9" s="175"/>
      <c r="WGU9" s="175"/>
      <c r="WGV9" s="175"/>
      <c r="WGW9" s="175"/>
      <c r="WGX9" s="175"/>
      <c r="WGY9" s="175"/>
      <c r="WGZ9" s="175"/>
      <c r="WHA9" s="175"/>
      <c r="WHB9" s="175"/>
      <c r="WHC9" s="175"/>
      <c r="WHD9" s="175"/>
      <c r="WHE9" s="175"/>
      <c r="WHF9" s="175"/>
      <c r="WHG9" s="175"/>
      <c r="WHH9" s="175"/>
      <c r="WHI9" s="175"/>
      <c r="WHJ9" s="175"/>
      <c r="WHK9" s="175"/>
      <c r="WHL9" s="175"/>
      <c r="WHM9" s="175"/>
      <c r="WHN9" s="175"/>
      <c r="WHO9" s="175"/>
      <c r="WHP9" s="175"/>
      <c r="WHQ9" s="175"/>
      <c r="WHR9" s="175"/>
      <c r="WHS9" s="175"/>
      <c r="WHT9" s="175"/>
      <c r="WHU9" s="175"/>
      <c r="WHV9" s="175"/>
      <c r="WHW9" s="175"/>
      <c r="WHX9" s="175"/>
      <c r="WHY9" s="175"/>
      <c r="WHZ9" s="175"/>
      <c r="WIA9" s="175"/>
      <c r="WIB9" s="175"/>
      <c r="WIC9" s="175"/>
      <c r="WID9" s="175"/>
      <c r="WIE9" s="175"/>
      <c r="WIF9" s="175"/>
      <c r="WIG9" s="175"/>
      <c r="WIH9" s="175"/>
      <c r="WII9" s="175"/>
      <c r="WIJ9" s="175"/>
      <c r="WIK9" s="175"/>
      <c r="WIL9" s="175"/>
      <c r="WIM9" s="175"/>
      <c r="WIN9" s="175"/>
      <c r="WIO9" s="175"/>
      <c r="WIP9" s="175"/>
      <c r="WIQ9" s="175"/>
      <c r="WIR9" s="175"/>
      <c r="WIS9" s="175"/>
      <c r="WIT9" s="175"/>
      <c r="WIU9" s="175"/>
      <c r="WIV9" s="175"/>
      <c r="WIW9" s="175"/>
      <c r="WIX9" s="175"/>
      <c r="WIY9" s="175"/>
      <c r="WIZ9" s="175"/>
      <c r="WJA9" s="175"/>
      <c r="WJB9" s="175"/>
      <c r="WJC9" s="175"/>
      <c r="WJD9" s="175"/>
      <c r="WJE9" s="175"/>
      <c r="WJF9" s="175"/>
      <c r="WJG9" s="175"/>
      <c r="WJH9" s="175"/>
      <c r="WJI9" s="175"/>
      <c r="WJJ9" s="175"/>
      <c r="WJK9" s="175"/>
      <c r="WJL9" s="175"/>
      <c r="WJM9" s="175"/>
      <c r="WJN9" s="175"/>
      <c r="WJO9" s="175"/>
      <c r="WJP9" s="175"/>
      <c r="WJQ9" s="175"/>
      <c r="WJR9" s="175"/>
      <c r="WJS9" s="175"/>
      <c r="WJT9" s="175"/>
      <c r="WJU9" s="175"/>
      <c r="WJV9" s="175"/>
      <c r="WJW9" s="175"/>
      <c r="WJX9" s="175"/>
      <c r="WJY9" s="175"/>
      <c r="WJZ9" s="175"/>
      <c r="WKA9" s="175"/>
      <c r="WKB9" s="175"/>
      <c r="WKC9" s="175"/>
      <c r="WKD9" s="175"/>
      <c r="WKE9" s="175"/>
      <c r="WKF9" s="175"/>
      <c r="WKG9" s="175"/>
      <c r="WKH9" s="175"/>
      <c r="WKI9" s="175"/>
      <c r="WKJ9" s="175"/>
      <c r="WKK9" s="175"/>
      <c r="WKL9" s="175"/>
      <c r="WKM9" s="175"/>
      <c r="WKN9" s="175"/>
      <c r="WKO9" s="175"/>
      <c r="WKP9" s="175"/>
      <c r="WKQ9" s="175"/>
      <c r="WKR9" s="175"/>
      <c r="WKS9" s="175"/>
      <c r="WKT9" s="175"/>
      <c r="WKU9" s="175"/>
      <c r="WKV9" s="175"/>
      <c r="WKW9" s="175"/>
      <c r="WKX9" s="175"/>
      <c r="WKY9" s="175"/>
      <c r="WKZ9" s="175"/>
      <c r="WLA9" s="175"/>
      <c r="WLB9" s="175"/>
      <c r="WLC9" s="175"/>
      <c r="WLD9" s="175"/>
      <c r="WLE9" s="175"/>
      <c r="WLF9" s="175"/>
      <c r="WLG9" s="175"/>
      <c r="WLH9" s="175"/>
      <c r="WLI9" s="175"/>
      <c r="WLJ9" s="175"/>
      <c r="WLK9" s="175"/>
      <c r="WLL9" s="175"/>
      <c r="WLM9" s="175"/>
      <c r="WLN9" s="175"/>
      <c r="WLO9" s="175"/>
      <c r="WLP9" s="175"/>
      <c r="WLQ9" s="175"/>
      <c r="WLR9" s="175"/>
      <c r="WLS9" s="175"/>
      <c r="WLT9" s="175"/>
      <c r="WLU9" s="175"/>
      <c r="WLV9" s="175"/>
      <c r="WLW9" s="175"/>
      <c r="WLX9" s="175"/>
      <c r="WLY9" s="175"/>
      <c r="WLZ9" s="175"/>
      <c r="WMA9" s="175"/>
      <c r="WMB9" s="175"/>
      <c r="WMC9" s="175"/>
      <c r="WMD9" s="175"/>
      <c r="WME9" s="175"/>
      <c r="WMF9" s="175"/>
      <c r="WMG9" s="175"/>
      <c r="WMH9" s="175"/>
      <c r="WMI9" s="175"/>
      <c r="WMJ9" s="175"/>
      <c r="WMK9" s="175"/>
      <c r="WML9" s="175"/>
      <c r="WMM9" s="175"/>
      <c r="WMN9" s="175"/>
      <c r="WMO9" s="175"/>
      <c r="WMP9" s="175"/>
      <c r="WMQ9" s="175"/>
      <c r="WMR9" s="175"/>
      <c r="WMS9" s="175"/>
      <c r="WMT9" s="175"/>
      <c r="WMU9" s="175"/>
      <c r="WMV9" s="175"/>
      <c r="WMW9" s="175"/>
      <c r="WMX9" s="175"/>
      <c r="WMY9" s="175"/>
      <c r="WMZ9" s="175"/>
      <c r="WNA9" s="175"/>
      <c r="WNB9" s="175"/>
      <c r="WNC9" s="175"/>
      <c r="WND9" s="175"/>
      <c r="WNE9" s="175"/>
      <c r="WNF9" s="175"/>
      <c r="WNG9" s="175"/>
      <c r="WNH9" s="175"/>
      <c r="WNI9" s="175"/>
      <c r="WNJ9" s="175"/>
      <c r="WNK9" s="175"/>
      <c r="WNL9" s="175"/>
      <c r="WNM9" s="175"/>
      <c r="WNN9" s="175"/>
      <c r="WNO9" s="175"/>
      <c r="WNP9" s="175"/>
      <c r="WNQ9" s="175"/>
      <c r="WNR9" s="175"/>
      <c r="WNS9" s="175"/>
      <c r="WNT9" s="175"/>
      <c r="WNU9" s="175"/>
      <c r="WNV9" s="175"/>
      <c r="WNW9" s="175"/>
      <c r="WNX9" s="175"/>
      <c r="WNY9" s="175"/>
      <c r="WNZ9" s="175"/>
      <c r="WOA9" s="175"/>
      <c r="WOB9" s="175"/>
      <c r="WOC9" s="175"/>
      <c r="WOD9" s="175"/>
      <c r="WOE9" s="175"/>
      <c r="WOF9" s="175"/>
      <c r="WOG9" s="175"/>
      <c r="WOH9" s="175"/>
      <c r="WOI9" s="175"/>
      <c r="WOJ9" s="175"/>
      <c r="WOK9" s="175"/>
      <c r="WOL9" s="175"/>
      <c r="WOM9" s="175"/>
      <c r="WON9" s="175"/>
      <c r="WOO9" s="175"/>
      <c r="WOP9" s="175"/>
      <c r="WOQ9" s="175"/>
      <c r="WOR9" s="175"/>
      <c r="WOS9" s="175"/>
      <c r="WOT9" s="175"/>
      <c r="WOU9" s="175"/>
      <c r="WOV9" s="175"/>
      <c r="WOW9" s="175"/>
      <c r="WOX9" s="175"/>
      <c r="WOY9" s="175"/>
      <c r="WOZ9" s="175"/>
      <c r="WPA9" s="175"/>
      <c r="WPB9" s="175"/>
      <c r="WPC9" s="175"/>
      <c r="WPD9" s="175"/>
      <c r="WPE9" s="175"/>
      <c r="WPF9" s="175"/>
      <c r="WPG9" s="175"/>
      <c r="WPH9" s="175"/>
      <c r="WPI9" s="175"/>
      <c r="WPJ9" s="175"/>
      <c r="WPK9" s="175"/>
      <c r="WPL9" s="175"/>
      <c r="WPM9" s="175"/>
      <c r="WPN9" s="175"/>
      <c r="WPO9" s="175"/>
      <c r="WPP9" s="175"/>
      <c r="WPQ9" s="175"/>
      <c r="WPR9" s="175"/>
      <c r="WPS9" s="175"/>
      <c r="WPT9" s="175"/>
      <c r="WPU9" s="175"/>
      <c r="WPV9" s="175"/>
      <c r="WPW9" s="175"/>
      <c r="WPX9" s="175"/>
      <c r="WPY9" s="175"/>
      <c r="WPZ9" s="175"/>
      <c r="WQA9" s="175"/>
      <c r="WQB9" s="175"/>
      <c r="WQC9" s="175"/>
      <c r="WQD9" s="175"/>
      <c r="WQE9" s="175"/>
      <c r="WQF9" s="175"/>
      <c r="WQG9" s="175"/>
      <c r="WQH9" s="175"/>
      <c r="WQI9" s="175"/>
      <c r="WQJ9" s="175"/>
      <c r="WQK9" s="175"/>
      <c r="WQL9" s="175"/>
      <c r="WQM9" s="175"/>
      <c r="WQN9" s="175"/>
      <c r="WQO9" s="175"/>
      <c r="WQP9" s="175"/>
      <c r="WQQ9" s="175"/>
      <c r="WQR9" s="175"/>
      <c r="WQS9" s="175"/>
      <c r="WQT9" s="175"/>
      <c r="WQU9" s="175"/>
      <c r="WQV9" s="175"/>
      <c r="WQW9" s="175"/>
      <c r="WQX9" s="175"/>
      <c r="WQY9" s="175"/>
      <c r="WQZ9" s="175"/>
      <c r="WRA9" s="175"/>
      <c r="WRB9" s="175"/>
      <c r="WRC9" s="175"/>
      <c r="WRD9" s="175"/>
      <c r="WRE9" s="175"/>
      <c r="WRF9" s="175"/>
      <c r="WRG9" s="175"/>
      <c r="WRH9" s="175"/>
      <c r="WRI9" s="175"/>
      <c r="WRJ9" s="175"/>
      <c r="WRK9" s="175"/>
      <c r="WRL9" s="175"/>
      <c r="WRM9" s="175"/>
      <c r="WRN9" s="175"/>
      <c r="WRO9" s="175"/>
      <c r="WRP9" s="175"/>
      <c r="WRQ9" s="175"/>
      <c r="WRR9" s="175"/>
      <c r="WRS9" s="175"/>
      <c r="WRT9" s="175"/>
      <c r="WRU9" s="175"/>
      <c r="WRV9" s="175"/>
      <c r="WRW9" s="175"/>
      <c r="WRX9" s="175"/>
      <c r="WRY9" s="175"/>
      <c r="WRZ9" s="175"/>
      <c r="WSA9" s="175"/>
      <c r="WSB9" s="175"/>
      <c r="WSC9" s="175"/>
      <c r="WSD9" s="175"/>
      <c r="WSE9" s="175"/>
      <c r="WSF9" s="175"/>
      <c r="WSG9" s="175"/>
      <c r="WSH9" s="175"/>
      <c r="WSI9" s="175"/>
      <c r="WSJ9" s="175"/>
      <c r="WSK9" s="175"/>
      <c r="WSL9" s="175"/>
      <c r="WSM9" s="175"/>
      <c r="WSN9" s="175"/>
      <c r="WSO9" s="175"/>
      <c r="WSP9" s="175"/>
      <c r="WSQ9" s="175"/>
      <c r="WSR9" s="175"/>
      <c r="WSS9" s="175"/>
      <c r="WST9" s="175"/>
      <c r="WSU9" s="175"/>
      <c r="WSV9" s="175"/>
      <c r="WSW9" s="175"/>
      <c r="WSX9" s="175"/>
      <c r="WSY9" s="175"/>
      <c r="WSZ9" s="175"/>
      <c r="WTA9" s="175"/>
      <c r="WTB9" s="175"/>
      <c r="WTC9" s="175"/>
      <c r="WTD9" s="175"/>
      <c r="WTE9" s="175"/>
      <c r="WTF9" s="175"/>
      <c r="WTG9" s="175"/>
      <c r="WTH9" s="175"/>
      <c r="WTI9" s="175"/>
      <c r="WTJ9" s="175"/>
      <c r="WTK9" s="175"/>
      <c r="WTL9" s="175"/>
      <c r="WTM9" s="175"/>
      <c r="WTN9" s="175"/>
      <c r="WTO9" s="175"/>
      <c r="WTP9" s="175"/>
      <c r="WTQ9" s="175"/>
      <c r="WTR9" s="175"/>
      <c r="WTS9" s="175"/>
      <c r="WTT9" s="175"/>
      <c r="WTU9" s="175"/>
      <c r="WTV9" s="175"/>
      <c r="WTW9" s="175"/>
      <c r="WTX9" s="175"/>
      <c r="WTY9" s="175"/>
      <c r="WTZ9" s="175"/>
      <c r="WUA9" s="175"/>
      <c r="WUB9" s="175"/>
      <c r="WUC9" s="175"/>
      <c r="WUD9" s="175"/>
      <c r="WUE9" s="175"/>
      <c r="WUF9" s="175"/>
      <c r="WUG9" s="175"/>
      <c r="WUH9" s="175"/>
      <c r="WUI9" s="175"/>
      <c r="WUJ9" s="175"/>
      <c r="WUK9" s="175"/>
      <c r="WUL9" s="175"/>
      <c r="WUM9" s="175"/>
      <c r="WUN9" s="175"/>
      <c r="WUO9" s="175"/>
      <c r="WUP9" s="175"/>
      <c r="WUQ9" s="175"/>
      <c r="WUR9" s="175"/>
      <c r="WUS9" s="175"/>
      <c r="WUT9" s="175"/>
      <c r="WUU9" s="175"/>
      <c r="WUV9" s="175"/>
      <c r="WUW9" s="175"/>
      <c r="WUX9" s="175"/>
      <c r="WUY9" s="175"/>
      <c r="WUZ9" s="175"/>
      <c r="WVA9" s="175"/>
      <c r="WVB9" s="175"/>
      <c r="WVC9" s="175"/>
      <c r="WVD9" s="175"/>
      <c r="WVE9" s="175"/>
      <c r="WVF9" s="175"/>
      <c r="WVG9" s="175"/>
      <c r="WVH9" s="175"/>
      <c r="WVI9" s="175"/>
      <c r="WVJ9" s="175"/>
      <c r="WVK9" s="175"/>
      <c r="WVL9" s="175"/>
      <c r="WVM9" s="175"/>
      <c r="WVN9" s="175"/>
      <c r="WVO9" s="175"/>
      <c r="WVP9" s="175"/>
      <c r="WVQ9" s="175"/>
      <c r="WVR9" s="175"/>
      <c r="WVS9" s="175"/>
      <c r="WVT9" s="175"/>
      <c r="WVU9" s="175"/>
      <c r="WVV9" s="175"/>
      <c r="WVW9" s="175"/>
      <c r="WVX9" s="175"/>
      <c r="WVY9" s="175"/>
      <c r="WVZ9" s="175"/>
      <c r="WWA9" s="175"/>
      <c r="WWB9" s="175"/>
      <c r="WWC9" s="175"/>
      <c r="WWD9" s="175"/>
      <c r="WWE9" s="175"/>
      <c r="WWF9" s="175"/>
      <c r="WWG9" s="175"/>
      <c r="WWH9" s="175"/>
      <c r="WWI9" s="175"/>
      <c r="WWJ9" s="175"/>
      <c r="WWK9" s="175"/>
      <c r="WWL9" s="175"/>
      <c r="WWM9" s="175"/>
      <c r="WWN9" s="175"/>
      <c r="WWO9" s="175"/>
      <c r="WWP9" s="175"/>
      <c r="WWQ9" s="175"/>
      <c r="WWR9" s="175"/>
      <c r="WWS9" s="175"/>
      <c r="WWT9" s="175"/>
      <c r="WWU9" s="175"/>
      <c r="WWV9" s="175"/>
      <c r="WWW9" s="175"/>
      <c r="WWX9" s="175"/>
      <c r="WWY9" s="175"/>
      <c r="WWZ9" s="175"/>
      <c r="WXA9" s="175"/>
      <c r="WXB9" s="175"/>
      <c r="WXC9" s="175"/>
      <c r="WXD9" s="175"/>
      <c r="WXE9" s="175"/>
      <c r="WXF9" s="175"/>
      <c r="WXG9" s="175"/>
      <c r="WXH9" s="175"/>
      <c r="WXI9" s="175"/>
      <c r="WXJ9" s="175"/>
      <c r="WXK9" s="175"/>
      <c r="WXL9" s="175"/>
      <c r="WXM9" s="175"/>
      <c r="WXN9" s="175"/>
      <c r="WXO9" s="175"/>
      <c r="WXP9" s="175"/>
      <c r="WXQ9" s="175"/>
      <c r="WXR9" s="175"/>
      <c r="WXS9" s="175"/>
      <c r="WXT9" s="175"/>
      <c r="WXU9" s="175"/>
      <c r="WXV9" s="175"/>
      <c r="WXW9" s="175"/>
      <c r="WXX9" s="175"/>
      <c r="WXY9" s="175"/>
      <c r="WXZ9" s="175"/>
      <c r="WYA9" s="175"/>
      <c r="WYB9" s="175"/>
      <c r="WYC9" s="175"/>
      <c r="WYD9" s="175"/>
      <c r="WYE9" s="175"/>
      <c r="WYF9" s="175"/>
      <c r="WYG9" s="175"/>
      <c r="WYH9" s="175"/>
      <c r="WYI9" s="175"/>
      <c r="WYJ9" s="175"/>
      <c r="WYK9" s="175"/>
      <c r="WYL9" s="175"/>
      <c r="WYM9" s="175"/>
      <c r="WYN9" s="175"/>
      <c r="WYO9" s="175"/>
      <c r="WYP9" s="175"/>
      <c r="WYQ9" s="175"/>
      <c r="WYR9" s="175"/>
      <c r="WYS9" s="175"/>
      <c r="WYT9" s="175"/>
      <c r="WYU9" s="175"/>
      <c r="WYV9" s="175"/>
      <c r="WYW9" s="175"/>
      <c r="WYX9" s="175"/>
      <c r="WYY9" s="175"/>
      <c r="WYZ9" s="175"/>
      <c r="WZA9" s="175"/>
      <c r="WZB9" s="175"/>
      <c r="WZC9" s="175"/>
      <c r="WZD9" s="175"/>
      <c r="WZE9" s="175"/>
      <c r="WZF9" s="175"/>
      <c r="WZG9" s="175"/>
      <c r="WZH9" s="175"/>
      <c r="WZI9" s="175"/>
      <c r="WZJ9" s="175"/>
      <c r="WZK9" s="175"/>
      <c r="WZL9" s="175"/>
      <c r="WZM9" s="175"/>
      <c r="WZN9" s="175"/>
      <c r="WZO9" s="175"/>
      <c r="WZP9" s="175"/>
      <c r="WZQ9" s="175"/>
      <c r="WZR9" s="175"/>
      <c r="WZS9" s="175"/>
      <c r="WZT9" s="175"/>
      <c r="WZU9" s="175"/>
      <c r="WZV9" s="175"/>
      <c r="WZW9" s="175"/>
      <c r="WZX9" s="175"/>
      <c r="WZY9" s="175"/>
      <c r="WZZ9" s="175"/>
      <c r="XAA9" s="175"/>
      <c r="XAB9" s="175"/>
      <c r="XAC9" s="175"/>
      <c r="XAD9" s="175"/>
      <c r="XAE9" s="175"/>
      <c r="XAF9" s="175"/>
      <c r="XAG9" s="175"/>
      <c r="XAH9" s="175"/>
      <c r="XAI9" s="175"/>
      <c r="XAJ9" s="175"/>
      <c r="XAK9" s="175"/>
      <c r="XAL9" s="175"/>
      <c r="XAM9" s="175"/>
      <c r="XAN9" s="175"/>
      <c r="XAO9" s="175"/>
      <c r="XAP9" s="175"/>
      <c r="XAQ9" s="175"/>
      <c r="XAR9" s="175"/>
      <c r="XAS9" s="175"/>
      <c r="XAT9" s="175"/>
      <c r="XAU9" s="175"/>
      <c r="XAV9" s="175"/>
      <c r="XAW9" s="175"/>
      <c r="XAX9" s="175"/>
      <c r="XAY9" s="175"/>
      <c r="XAZ9" s="175"/>
      <c r="XBA9" s="175"/>
      <c r="XBB9" s="175"/>
      <c r="XBC9" s="175"/>
      <c r="XBD9" s="175"/>
      <c r="XBE9" s="175"/>
      <c r="XBF9" s="175"/>
      <c r="XBG9" s="175"/>
      <c r="XBH9" s="175"/>
      <c r="XBI9" s="175"/>
      <c r="XBJ9" s="175"/>
      <c r="XBK9" s="175"/>
      <c r="XBL9" s="175"/>
      <c r="XBM9" s="175"/>
      <c r="XBN9" s="175"/>
      <c r="XBO9" s="175"/>
      <c r="XBP9" s="175"/>
      <c r="XBQ9" s="175"/>
      <c r="XBR9" s="175"/>
      <c r="XBS9" s="175"/>
      <c r="XBT9" s="175"/>
      <c r="XBU9" s="175"/>
      <c r="XBV9" s="175"/>
      <c r="XBW9" s="175"/>
      <c r="XBX9" s="175"/>
      <c r="XBY9" s="175"/>
      <c r="XBZ9" s="175"/>
      <c r="XCA9" s="175"/>
      <c r="XCB9" s="175"/>
      <c r="XCC9" s="175"/>
      <c r="XCD9" s="175"/>
      <c r="XCE9" s="175"/>
      <c r="XCF9" s="175"/>
      <c r="XCG9" s="175"/>
      <c r="XCH9" s="175"/>
      <c r="XCI9" s="175"/>
      <c r="XCJ9" s="175"/>
      <c r="XCK9" s="175"/>
      <c r="XCL9" s="175"/>
      <c r="XCM9" s="175"/>
      <c r="XCN9" s="175"/>
      <c r="XCO9" s="175"/>
      <c r="XCP9" s="175"/>
      <c r="XCQ9" s="175"/>
      <c r="XCR9" s="175"/>
      <c r="XCS9" s="175"/>
      <c r="XCT9" s="175"/>
      <c r="XCU9" s="175"/>
      <c r="XCV9" s="175"/>
      <c r="XCW9" s="175"/>
      <c r="XCX9" s="175"/>
      <c r="XCY9" s="175"/>
      <c r="XCZ9" s="175"/>
      <c r="XDA9" s="175"/>
      <c r="XDB9" s="175"/>
      <c r="XDC9" s="175"/>
      <c r="XDD9" s="175"/>
      <c r="XDE9" s="175"/>
      <c r="XDF9" s="175"/>
      <c r="XDG9" s="175"/>
      <c r="XDH9" s="175"/>
      <c r="XDI9" s="175"/>
      <c r="XDJ9" s="175"/>
      <c r="XDK9" s="175"/>
      <c r="XDL9" s="175"/>
      <c r="XDM9" s="175"/>
      <c r="XDN9" s="175"/>
      <c r="XDO9" s="175"/>
      <c r="XDP9" s="175"/>
      <c r="XDQ9" s="175"/>
      <c r="XDR9" s="175"/>
      <c r="XDS9" s="175"/>
      <c r="XDT9" s="175"/>
      <c r="XDU9" s="175"/>
      <c r="XDV9" s="175"/>
      <c r="XDW9" s="175"/>
      <c r="XDX9" s="175"/>
      <c r="XDY9" s="175"/>
      <c r="XDZ9" s="175"/>
      <c r="XEA9" s="175"/>
      <c r="XEB9" s="175"/>
      <c r="XEC9" s="175"/>
      <c r="XED9" s="175"/>
      <c r="XEE9" s="175"/>
      <c r="XEF9" s="175"/>
      <c r="XEG9" s="175"/>
      <c r="XEH9" s="175"/>
      <c r="XEI9" s="175"/>
      <c r="XEJ9" s="175"/>
      <c r="XEK9" s="175"/>
      <c r="XEL9" s="175"/>
      <c r="XEM9" s="175"/>
      <c r="XEN9" s="175"/>
      <c r="XEO9" s="175"/>
      <c r="XEP9" s="175"/>
      <c r="XEQ9" s="175"/>
      <c r="XER9" s="175"/>
      <c r="XES9" s="175"/>
      <c r="XET9" s="175"/>
      <c r="XEU9" s="175"/>
      <c r="XEV9" s="175"/>
      <c r="XEW9" s="175"/>
      <c r="XEX9" s="175"/>
      <c r="XEY9" s="175"/>
      <c r="XEZ9" s="175"/>
      <c r="XFA9" s="175"/>
      <c r="XFB9" s="175"/>
      <c r="XFC9" s="175"/>
      <c r="XFD9" s="175"/>
    </row>
    <row r="10" spans="1:16384" x14ac:dyDescent="0.2">
      <c r="A10" s="68">
        <v>6</v>
      </c>
      <c r="B10" s="77" t="s">
        <v>587</v>
      </c>
      <c r="C10" s="76" t="s">
        <v>589</v>
      </c>
      <c r="D10" s="76" t="s">
        <v>589</v>
      </c>
      <c r="E10" s="69">
        <v>8</v>
      </c>
      <c r="F10" s="70">
        <v>10</v>
      </c>
    </row>
    <row r="11" spans="1:16384" s="103" customFormat="1" ht="15.75" thickBot="1" x14ac:dyDescent="0.25">
      <c r="A11" s="186">
        <v>7</v>
      </c>
      <c r="B11" s="179" t="s">
        <v>588</v>
      </c>
      <c r="C11" s="188" t="s">
        <v>778</v>
      </c>
      <c r="D11" s="189"/>
      <c r="E11" s="188"/>
      <c r="F11" s="189"/>
    </row>
    <row r="12" spans="1:16384" x14ac:dyDescent="0.2">
      <c r="A12" s="68">
        <v>8</v>
      </c>
      <c r="B12" s="179" t="s">
        <v>583</v>
      </c>
      <c r="C12" s="76" t="s">
        <v>589</v>
      </c>
      <c r="D12" s="76" t="s">
        <v>258</v>
      </c>
      <c r="E12" s="69">
        <v>10</v>
      </c>
      <c r="F12" s="70">
        <v>10</v>
      </c>
    </row>
    <row r="13" spans="1:16384" x14ac:dyDescent="0.2">
      <c r="A13" s="68">
        <v>9</v>
      </c>
      <c r="B13" s="77" t="s">
        <v>584</v>
      </c>
      <c r="C13" s="76" t="s">
        <v>589</v>
      </c>
      <c r="D13" s="76" t="s">
        <v>258</v>
      </c>
      <c r="E13" s="69">
        <v>8</v>
      </c>
      <c r="F13" s="70">
        <v>10</v>
      </c>
    </row>
    <row r="14" spans="1:16384" s="103" customFormat="1" x14ac:dyDescent="0.2">
      <c r="A14" s="178">
        <v>10</v>
      </c>
      <c r="B14" s="75" t="s">
        <v>585</v>
      </c>
      <c r="C14" s="76" t="s">
        <v>589</v>
      </c>
      <c r="D14" s="76" t="s">
        <v>589</v>
      </c>
      <c r="E14" s="180">
        <v>16</v>
      </c>
      <c r="F14" s="181">
        <v>11</v>
      </c>
    </row>
    <row r="15" spans="1:16384" x14ac:dyDescent="0.2">
      <c r="A15" s="68">
        <v>11</v>
      </c>
      <c r="B15" s="77" t="s">
        <v>586</v>
      </c>
      <c r="C15" s="76" t="s">
        <v>591</v>
      </c>
      <c r="D15" s="76" t="s">
        <v>591</v>
      </c>
      <c r="E15" s="69">
        <v>8</v>
      </c>
      <c r="F15" s="70">
        <v>9</v>
      </c>
    </row>
    <row r="16" spans="1:16384" s="182" customFormat="1" x14ac:dyDescent="0.2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/>
      <c r="BQ16" s="175"/>
      <c r="BR16" s="175"/>
      <c r="BS16" s="175"/>
      <c r="BT16" s="175"/>
      <c r="BU16" s="175"/>
      <c r="BV16" s="175"/>
      <c r="BW16" s="175"/>
      <c r="BX16" s="175"/>
      <c r="BY16" s="175"/>
      <c r="BZ16" s="175"/>
      <c r="CA16" s="175"/>
      <c r="CB16" s="175"/>
      <c r="CC16" s="175"/>
      <c r="CD16" s="175"/>
      <c r="CE16" s="175"/>
      <c r="CF16" s="175"/>
      <c r="CG16" s="17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175"/>
      <c r="CS16" s="175"/>
      <c r="CT16" s="175"/>
      <c r="CU16" s="175"/>
      <c r="CV16" s="175"/>
      <c r="CW16" s="175"/>
      <c r="CX16" s="175"/>
      <c r="CY16" s="175"/>
      <c r="CZ16" s="175"/>
      <c r="DA16" s="175"/>
      <c r="DB16" s="175"/>
      <c r="DC16" s="175"/>
      <c r="DD16" s="175"/>
      <c r="DE16" s="175"/>
      <c r="DF16" s="175"/>
      <c r="DG16" s="175"/>
      <c r="DH16" s="175"/>
      <c r="DI16" s="175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75"/>
      <c r="EC16" s="175"/>
      <c r="ED16" s="175"/>
      <c r="EE16" s="175"/>
      <c r="EF16" s="175"/>
      <c r="EG16" s="175"/>
      <c r="EH16" s="175"/>
      <c r="EI16" s="175"/>
      <c r="EJ16" s="175"/>
      <c r="EK16" s="175"/>
      <c r="EL16" s="175"/>
      <c r="EM16" s="175"/>
      <c r="EN16" s="175"/>
      <c r="EO16" s="175"/>
      <c r="EP16" s="175"/>
      <c r="EQ16" s="175"/>
      <c r="ER16" s="175"/>
      <c r="ES16" s="175"/>
      <c r="ET16" s="175"/>
      <c r="EU16" s="175"/>
      <c r="EV16" s="175"/>
      <c r="EW16" s="175"/>
      <c r="EX16" s="175"/>
      <c r="EY16" s="175"/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175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  <c r="HN16" s="175"/>
      <c r="HO16" s="175"/>
      <c r="HP16" s="175"/>
      <c r="HQ16" s="175"/>
      <c r="HR16" s="175"/>
      <c r="HS16" s="175"/>
      <c r="HT16" s="175"/>
      <c r="HU16" s="175"/>
      <c r="HV16" s="175"/>
      <c r="HW16" s="175"/>
      <c r="HX16" s="175"/>
      <c r="HY16" s="175"/>
      <c r="HZ16" s="175"/>
      <c r="IA16" s="175"/>
      <c r="IB16" s="175"/>
      <c r="IC16" s="175"/>
      <c r="ID16" s="175"/>
      <c r="IE16" s="175"/>
      <c r="IF16" s="175"/>
      <c r="IG16" s="175"/>
      <c r="IH16" s="175"/>
      <c r="II16" s="175"/>
      <c r="IJ16" s="175"/>
      <c r="IK16" s="175"/>
      <c r="IL16" s="175"/>
      <c r="IM16" s="175"/>
      <c r="IN16" s="175"/>
      <c r="IO16" s="175"/>
      <c r="IP16" s="175"/>
      <c r="IQ16" s="175"/>
      <c r="IR16" s="175"/>
      <c r="IS16" s="175"/>
      <c r="IT16" s="175"/>
      <c r="IU16" s="175"/>
      <c r="IV16" s="175"/>
      <c r="IW16" s="175"/>
      <c r="IX16" s="175"/>
      <c r="IY16" s="175"/>
      <c r="IZ16" s="175"/>
      <c r="JA16" s="175"/>
      <c r="JB16" s="175"/>
      <c r="JC16" s="175"/>
      <c r="JD16" s="175"/>
      <c r="JE16" s="175"/>
      <c r="JF16" s="175"/>
      <c r="JG16" s="175"/>
      <c r="JH16" s="175"/>
      <c r="JI16" s="175"/>
      <c r="JJ16" s="175"/>
      <c r="JK16" s="175"/>
      <c r="JL16" s="175"/>
      <c r="JM16" s="175"/>
      <c r="JN16" s="175"/>
      <c r="JO16" s="175"/>
      <c r="JP16" s="175"/>
      <c r="JQ16" s="175"/>
      <c r="JR16" s="175"/>
      <c r="JS16" s="175"/>
      <c r="JT16" s="175"/>
      <c r="JU16" s="175"/>
      <c r="JV16" s="175"/>
      <c r="JW16" s="175"/>
      <c r="JX16" s="175"/>
      <c r="JY16" s="175"/>
      <c r="JZ16" s="175"/>
      <c r="KA16" s="175"/>
      <c r="KB16" s="175"/>
      <c r="KC16" s="175"/>
      <c r="KD16" s="175"/>
      <c r="KE16" s="175"/>
      <c r="KF16" s="175"/>
      <c r="KG16" s="175"/>
      <c r="KH16" s="175"/>
      <c r="KI16" s="175"/>
      <c r="KJ16" s="175"/>
      <c r="KK16" s="175"/>
      <c r="KL16" s="175"/>
      <c r="KM16" s="175"/>
      <c r="KN16" s="175"/>
      <c r="KO16" s="175"/>
      <c r="KP16" s="175"/>
      <c r="KQ16" s="175"/>
      <c r="KR16" s="175"/>
      <c r="KS16" s="175"/>
      <c r="KT16" s="175"/>
      <c r="KU16" s="175"/>
      <c r="KV16" s="175"/>
      <c r="KW16" s="175"/>
      <c r="KX16" s="175"/>
      <c r="KY16" s="175"/>
      <c r="KZ16" s="175"/>
      <c r="LA16" s="175"/>
      <c r="LB16" s="175"/>
      <c r="LC16" s="175"/>
      <c r="LD16" s="175"/>
      <c r="LE16" s="175"/>
      <c r="LF16" s="175"/>
      <c r="LG16" s="175"/>
      <c r="LH16" s="175"/>
      <c r="LI16" s="175"/>
      <c r="LJ16" s="175"/>
      <c r="LK16" s="175"/>
      <c r="LL16" s="175"/>
      <c r="LM16" s="175"/>
      <c r="LN16" s="175"/>
      <c r="LO16" s="175"/>
      <c r="LP16" s="175"/>
      <c r="LQ16" s="175"/>
      <c r="LR16" s="175"/>
      <c r="LS16" s="175"/>
      <c r="LT16" s="175"/>
      <c r="LU16" s="175"/>
      <c r="LV16" s="175"/>
      <c r="LW16" s="175"/>
      <c r="LX16" s="175"/>
      <c r="LY16" s="175"/>
      <c r="LZ16" s="175"/>
      <c r="MA16" s="175"/>
      <c r="MB16" s="175"/>
      <c r="MC16" s="175"/>
      <c r="MD16" s="175"/>
      <c r="ME16" s="175"/>
      <c r="MF16" s="175"/>
      <c r="MG16" s="175"/>
      <c r="MH16" s="175"/>
      <c r="MI16" s="175"/>
      <c r="MJ16" s="175"/>
      <c r="MK16" s="175"/>
      <c r="ML16" s="175"/>
      <c r="MM16" s="175"/>
      <c r="MN16" s="175"/>
      <c r="MO16" s="175"/>
      <c r="MP16" s="175"/>
      <c r="MQ16" s="175"/>
      <c r="MR16" s="175"/>
      <c r="MS16" s="175"/>
      <c r="MT16" s="175"/>
      <c r="MU16" s="175"/>
      <c r="MV16" s="175"/>
      <c r="MW16" s="175"/>
      <c r="MX16" s="175"/>
      <c r="MY16" s="175"/>
      <c r="MZ16" s="175"/>
      <c r="NA16" s="175"/>
      <c r="NB16" s="175"/>
      <c r="NC16" s="175"/>
      <c r="ND16" s="175"/>
      <c r="NE16" s="175"/>
      <c r="NF16" s="175"/>
      <c r="NG16" s="175"/>
      <c r="NH16" s="175"/>
      <c r="NI16" s="175"/>
      <c r="NJ16" s="175"/>
      <c r="NK16" s="175"/>
      <c r="NL16" s="175"/>
      <c r="NM16" s="175"/>
      <c r="NN16" s="175"/>
      <c r="NO16" s="175"/>
      <c r="NP16" s="175"/>
      <c r="NQ16" s="175"/>
      <c r="NR16" s="175"/>
      <c r="NS16" s="175"/>
      <c r="NT16" s="175"/>
      <c r="NU16" s="175"/>
      <c r="NV16" s="175"/>
      <c r="NW16" s="175"/>
      <c r="NX16" s="175"/>
      <c r="NY16" s="175"/>
      <c r="NZ16" s="175"/>
      <c r="OA16" s="175"/>
      <c r="OB16" s="175"/>
      <c r="OC16" s="175"/>
      <c r="OD16" s="175"/>
      <c r="OE16" s="175"/>
      <c r="OF16" s="175"/>
      <c r="OG16" s="175"/>
      <c r="OH16" s="175"/>
      <c r="OI16" s="175"/>
      <c r="OJ16" s="175"/>
      <c r="OK16" s="175"/>
      <c r="OL16" s="175"/>
      <c r="OM16" s="175"/>
      <c r="ON16" s="175"/>
      <c r="OO16" s="175"/>
      <c r="OP16" s="175"/>
      <c r="OQ16" s="175"/>
      <c r="OR16" s="175"/>
      <c r="OS16" s="175"/>
      <c r="OT16" s="175"/>
      <c r="OU16" s="175"/>
      <c r="OV16" s="175"/>
      <c r="OW16" s="175"/>
      <c r="OX16" s="175"/>
      <c r="OY16" s="175"/>
      <c r="OZ16" s="175"/>
      <c r="PA16" s="175"/>
      <c r="PB16" s="175"/>
      <c r="PC16" s="175"/>
      <c r="PD16" s="175"/>
      <c r="PE16" s="175"/>
      <c r="PF16" s="175"/>
      <c r="PG16" s="175"/>
      <c r="PH16" s="175"/>
      <c r="PI16" s="175"/>
      <c r="PJ16" s="175"/>
      <c r="PK16" s="175"/>
      <c r="PL16" s="175"/>
      <c r="PM16" s="175"/>
      <c r="PN16" s="175"/>
      <c r="PO16" s="175"/>
      <c r="PP16" s="175"/>
      <c r="PQ16" s="175"/>
      <c r="PR16" s="175"/>
      <c r="PS16" s="175"/>
      <c r="PT16" s="175"/>
      <c r="PU16" s="175"/>
      <c r="PV16" s="175"/>
      <c r="PW16" s="175"/>
      <c r="PX16" s="175"/>
      <c r="PY16" s="175"/>
      <c r="PZ16" s="175"/>
      <c r="QA16" s="175"/>
      <c r="QB16" s="175"/>
      <c r="QC16" s="175"/>
      <c r="QD16" s="175"/>
      <c r="QE16" s="175"/>
      <c r="QF16" s="175"/>
      <c r="QG16" s="175"/>
      <c r="QH16" s="175"/>
      <c r="QI16" s="175"/>
      <c r="QJ16" s="175"/>
      <c r="QK16" s="175"/>
      <c r="QL16" s="175"/>
      <c r="QM16" s="175"/>
      <c r="QN16" s="175"/>
      <c r="QO16" s="175"/>
      <c r="QP16" s="175"/>
      <c r="QQ16" s="175"/>
      <c r="QR16" s="175"/>
      <c r="QS16" s="175"/>
      <c r="QT16" s="175"/>
      <c r="QU16" s="175"/>
      <c r="QV16" s="175"/>
      <c r="QW16" s="175"/>
      <c r="QX16" s="175"/>
      <c r="QY16" s="175"/>
      <c r="QZ16" s="175"/>
      <c r="RA16" s="175"/>
      <c r="RB16" s="175"/>
      <c r="RC16" s="175"/>
      <c r="RD16" s="175"/>
      <c r="RE16" s="175"/>
      <c r="RF16" s="175"/>
      <c r="RG16" s="175"/>
      <c r="RH16" s="175"/>
      <c r="RI16" s="175"/>
      <c r="RJ16" s="175"/>
      <c r="RK16" s="175"/>
      <c r="RL16" s="175"/>
      <c r="RM16" s="175"/>
      <c r="RN16" s="175"/>
      <c r="RO16" s="175"/>
      <c r="RP16" s="175"/>
      <c r="RQ16" s="175"/>
      <c r="RR16" s="175"/>
      <c r="RS16" s="175"/>
      <c r="RT16" s="175"/>
      <c r="RU16" s="175"/>
      <c r="RV16" s="175"/>
      <c r="RW16" s="175"/>
      <c r="RX16" s="175"/>
      <c r="RY16" s="175"/>
      <c r="RZ16" s="175"/>
      <c r="SA16" s="175"/>
      <c r="SB16" s="175"/>
      <c r="SC16" s="175"/>
      <c r="SD16" s="175"/>
      <c r="SE16" s="175"/>
      <c r="SF16" s="175"/>
      <c r="SG16" s="175"/>
      <c r="SH16" s="175"/>
      <c r="SI16" s="175"/>
      <c r="SJ16" s="175"/>
      <c r="SK16" s="175"/>
      <c r="SL16" s="175"/>
      <c r="SM16" s="175"/>
      <c r="SN16" s="175"/>
      <c r="SO16" s="175"/>
      <c r="SP16" s="175"/>
      <c r="SQ16" s="175"/>
      <c r="SR16" s="175"/>
      <c r="SS16" s="175"/>
      <c r="ST16" s="175"/>
      <c r="SU16" s="175"/>
      <c r="SV16" s="175"/>
      <c r="SW16" s="175"/>
      <c r="SX16" s="175"/>
      <c r="SY16" s="175"/>
      <c r="SZ16" s="175"/>
      <c r="TA16" s="175"/>
      <c r="TB16" s="175"/>
      <c r="TC16" s="175"/>
      <c r="TD16" s="175"/>
      <c r="TE16" s="175"/>
      <c r="TF16" s="175"/>
      <c r="TG16" s="175"/>
      <c r="TH16" s="175"/>
      <c r="TI16" s="175"/>
      <c r="TJ16" s="175"/>
      <c r="TK16" s="175"/>
      <c r="TL16" s="175"/>
      <c r="TM16" s="175"/>
      <c r="TN16" s="175"/>
      <c r="TO16" s="175"/>
      <c r="TP16" s="175"/>
      <c r="TQ16" s="175"/>
      <c r="TR16" s="175"/>
      <c r="TS16" s="175"/>
      <c r="TT16" s="175"/>
      <c r="TU16" s="175"/>
      <c r="TV16" s="175"/>
      <c r="TW16" s="175"/>
      <c r="TX16" s="175"/>
      <c r="TY16" s="175"/>
      <c r="TZ16" s="175"/>
      <c r="UA16" s="175"/>
      <c r="UB16" s="175"/>
      <c r="UC16" s="175"/>
      <c r="UD16" s="175"/>
      <c r="UE16" s="175"/>
      <c r="UF16" s="175"/>
      <c r="UG16" s="175"/>
      <c r="UH16" s="175"/>
      <c r="UI16" s="175"/>
      <c r="UJ16" s="175"/>
      <c r="UK16" s="175"/>
      <c r="UL16" s="175"/>
      <c r="UM16" s="175"/>
      <c r="UN16" s="175"/>
      <c r="UO16" s="175"/>
      <c r="UP16" s="175"/>
      <c r="UQ16" s="175"/>
      <c r="UR16" s="175"/>
      <c r="US16" s="175"/>
      <c r="UT16" s="175"/>
      <c r="UU16" s="175"/>
      <c r="UV16" s="175"/>
      <c r="UW16" s="175"/>
      <c r="UX16" s="175"/>
      <c r="UY16" s="175"/>
      <c r="UZ16" s="175"/>
      <c r="VA16" s="175"/>
      <c r="VB16" s="175"/>
      <c r="VC16" s="175"/>
      <c r="VD16" s="175"/>
      <c r="VE16" s="175"/>
      <c r="VF16" s="175"/>
      <c r="VG16" s="175"/>
      <c r="VH16" s="175"/>
      <c r="VI16" s="175"/>
      <c r="VJ16" s="175"/>
      <c r="VK16" s="175"/>
      <c r="VL16" s="175"/>
      <c r="VM16" s="175"/>
      <c r="VN16" s="175"/>
      <c r="VO16" s="175"/>
      <c r="VP16" s="175"/>
      <c r="VQ16" s="175"/>
      <c r="VR16" s="175"/>
      <c r="VS16" s="175"/>
      <c r="VT16" s="175"/>
      <c r="VU16" s="175"/>
      <c r="VV16" s="175"/>
      <c r="VW16" s="175"/>
      <c r="VX16" s="175"/>
      <c r="VY16" s="175"/>
      <c r="VZ16" s="175"/>
      <c r="WA16" s="175"/>
      <c r="WB16" s="175"/>
      <c r="WC16" s="175"/>
      <c r="WD16" s="175"/>
      <c r="WE16" s="175"/>
      <c r="WF16" s="175"/>
      <c r="WG16" s="175"/>
      <c r="WH16" s="175"/>
      <c r="WI16" s="175"/>
      <c r="WJ16" s="175"/>
      <c r="WK16" s="175"/>
      <c r="WL16" s="175"/>
      <c r="WM16" s="175"/>
      <c r="WN16" s="175"/>
      <c r="WO16" s="175"/>
      <c r="WP16" s="175"/>
      <c r="WQ16" s="175"/>
      <c r="WR16" s="175"/>
      <c r="WS16" s="175"/>
      <c r="WT16" s="175"/>
      <c r="WU16" s="175"/>
      <c r="WV16" s="175"/>
      <c r="WW16" s="175"/>
      <c r="WX16" s="175"/>
      <c r="WY16" s="175"/>
      <c r="WZ16" s="175"/>
      <c r="XA16" s="175"/>
      <c r="XB16" s="175"/>
      <c r="XC16" s="175"/>
      <c r="XD16" s="175"/>
      <c r="XE16" s="175"/>
      <c r="XF16" s="175"/>
      <c r="XG16" s="175"/>
      <c r="XH16" s="175"/>
      <c r="XI16" s="175"/>
      <c r="XJ16" s="175"/>
      <c r="XK16" s="175"/>
      <c r="XL16" s="175"/>
      <c r="XM16" s="175"/>
      <c r="XN16" s="175"/>
      <c r="XO16" s="175"/>
      <c r="XP16" s="175"/>
      <c r="XQ16" s="175"/>
      <c r="XR16" s="175"/>
      <c r="XS16" s="175"/>
      <c r="XT16" s="175"/>
      <c r="XU16" s="175"/>
      <c r="XV16" s="175"/>
      <c r="XW16" s="175"/>
      <c r="XX16" s="175"/>
      <c r="XY16" s="175"/>
      <c r="XZ16" s="175"/>
      <c r="YA16" s="175"/>
      <c r="YB16" s="175"/>
      <c r="YC16" s="175"/>
      <c r="YD16" s="175"/>
      <c r="YE16" s="175"/>
      <c r="YF16" s="175"/>
      <c r="YG16" s="175"/>
      <c r="YH16" s="175"/>
      <c r="YI16" s="175"/>
      <c r="YJ16" s="175"/>
      <c r="YK16" s="175"/>
      <c r="YL16" s="175"/>
      <c r="YM16" s="175"/>
      <c r="YN16" s="175"/>
      <c r="YO16" s="175"/>
      <c r="YP16" s="175"/>
      <c r="YQ16" s="175"/>
      <c r="YR16" s="175"/>
      <c r="YS16" s="175"/>
      <c r="YT16" s="175"/>
      <c r="YU16" s="175"/>
      <c r="YV16" s="175"/>
      <c r="YW16" s="175"/>
      <c r="YX16" s="175"/>
      <c r="YY16" s="175"/>
      <c r="YZ16" s="175"/>
      <c r="ZA16" s="175"/>
      <c r="ZB16" s="175"/>
      <c r="ZC16" s="175"/>
      <c r="ZD16" s="175"/>
      <c r="ZE16" s="175"/>
      <c r="ZF16" s="175"/>
      <c r="ZG16" s="175"/>
      <c r="ZH16" s="175"/>
      <c r="ZI16" s="175"/>
      <c r="ZJ16" s="175"/>
      <c r="ZK16" s="175"/>
      <c r="ZL16" s="175"/>
      <c r="ZM16" s="175"/>
      <c r="ZN16" s="175"/>
      <c r="ZO16" s="175"/>
      <c r="ZP16" s="175"/>
      <c r="ZQ16" s="175"/>
      <c r="ZR16" s="175"/>
      <c r="ZS16" s="175"/>
      <c r="ZT16" s="175"/>
      <c r="ZU16" s="175"/>
      <c r="ZV16" s="175"/>
      <c r="ZW16" s="175"/>
      <c r="ZX16" s="175"/>
      <c r="ZY16" s="175"/>
      <c r="ZZ16" s="175"/>
      <c r="AAA16" s="175"/>
      <c r="AAB16" s="175"/>
      <c r="AAC16" s="175"/>
      <c r="AAD16" s="175"/>
      <c r="AAE16" s="175"/>
      <c r="AAF16" s="175"/>
      <c r="AAG16" s="175"/>
      <c r="AAH16" s="175"/>
      <c r="AAI16" s="175"/>
      <c r="AAJ16" s="175"/>
      <c r="AAK16" s="175"/>
      <c r="AAL16" s="175"/>
      <c r="AAM16" s="175"/>
      <c r="AAN16" s="175"/>
      <c r="AAO16" s="175"/>
      <c r="AAP16" s="175"/>
      <c r="AAQ16" s="175"/>
      <c r="AAR16" s="175"/>
      <c r="AAS16" s="175"/>
      <c r="AAT16" s="175"/>
      <c r="AAU16" s="175"/>
      <c r="AAV16" s="175"/>
      <c r="AAW16" s="175"/>
      <c r="AAX16" s="175"/>
      <c r="AAY16" s="175"/>
      <c r="AAZ16" s="175"/>
      <c r="ABA16" s="175"/>
      <c r="ABB16" s="175"/>
      <c r="ABC16" s="175"/>
      <c r="ABD16" s="175"/>
      <c r="ABE16" s="175"/>
      <c r="ABF16" s="175"/>
      <c r="ABG16" s="175"/>
      <c r="ABH16" s="175"/>
      <c r="ABI16" s="175"/>
      <c r="ABJ16" s="175"/>
      <c r="ABK16" s="175"/>
      <c r="ABL16" s="175"/>
      <c r="ABM16" s="175"/>
      <c r="ABN16" s="175"/>
      <c r="ABO16" s="175"/>
      <c r="ABP16" s="175"/>
      <c r="ABQ16" s="175"/>
      <c r="ABR16" s="175"/>
      <c r="ABS16" s="175"/>
      <c r="ABT16" s="175"/>
      <c r="ABU16" s="175"/>
      <c r="ABV16" s="175"/>
      <c r="ABW16" s="175"/>
      <c r="ABX16" s="175"/>
      <c r="ABY16" s="175"/>
      <c r="ABZ16" s="175"/>
      <c r="ACA16" s="175"/>
      <c r="ACB16" s="175"/>
      <c r="ACC16" s="175"/>
      <c r="ACD16" s="175"/>
      <c r="ACE16" s="175"/>
      <c r="ACF16" s="175"/>
      <c r="ACG16" s="175"/>
      <c r="ACH16" s="175"/>
      <c r="ACI16" s="175"/>
      <c r="ACJ16" s="175"/>
      <c r="ACK16" s="175"/>
      <c r="ACL16" s="175"/>
      <c r="ACM16" s="175"/>
      <c r="ACN16" s="175"/>
      <c r="ACO16" s="175"/>
      <c r="ACP16" s="175"/>
      <c r="ACQ16" s="175"/>
      <c r="ACR16" s="175"/>
      <c r="ACS16" s="175"/>
      <c r="ACT16" s="175"/>
      <c r="ACU16" s="175"/>
      <c r="ACV16" s="175"/>
      <c r="ACW16" s="175"/>
      <c r="ACX16" s="175"/>
      <c r="ACY16" s="175"/>
      <c r="ACZ16" s="175"/>
      <c r="ADA16" s="175"/>
      <c r="ADB16" s="175"/>
      <c r="ADC16" s="175"/>
      <c r="ADD16" s="175"/>
      <c r="ADE16" s="175"/>
      <c r="ADF16" s="175"/>
      <c r="ADG16" s="175"/>
      <c r="ADH16" s="175"/>
      <c r="ADI16" s="175"/>
      <c r="ADJ16" s="175"/>
      <c r="ADK16" s="175"/>
      <c r="ADL16" s="175"/>
      <c r="ADM16" s="175"/>
      <c r="ADN16" s="175"/>
      <c r="ADO16" s="175"/>
      <c r="ADP16" s="175"/>
      <c r="ADQ16" s="175"/>
      <c r="ADR16" s="175"/>
      <c r="ADS16" s="175"/>
      <c r="ADT16" s="175"/>
      <c r="ADU16" s="175"/>
      <c r="ADV16" s="175"/>
      <c r="ADW16" s="175"/>
      <c r="ADX16" s="175"/>
      <c r="ADY16" s="175"/>
      <c r="ADZ16" s="175"/>
      <c r="AEA16" s="175"/>
      <c r="AEB16" s="175"/>
      <c r="AEC16" s="175"/>
      <c r="AED16" s="175"/>
      <c r="AEE16" s="175"/>
      <c r="AEF16" s="175"/>
      <c r="AEG16" s="175"/>
      <c r="AEH16" s="175"/>
      <c r="AEI16" s="175"/>
      <c r="AEJ16" s="175"/>
      <c r="AEK16" s="175"/>
      <c r="AEL16" s="175"/>
      <c r="AEM16" s="175"/>
      <c r="AEN16" s="175"/>
      <c r="AEO16" s="175"/>
      <c r="AEP16" s="175"/>
      <c r="AEQ16" s="175"/>
      <c r="AER16" s="175"/>
      <c r="AES16" s="175"/>
      <c r="AET16" s="175"/>
      <c r="AEU16" s="175"/>
      <c r="AEV16" s="175"/>
      <c r="AEW16" s="175"/>
      <c r="AEX16" s="175"/>
      <c r="AEY16" s="175"/>
      <c r="AEZ16" s="175"/>
      <c r="AFA16" s="175"/>
      <c r="AFB16" s="175"/>
      <c r="AFC16" s="175"/>
      <c r="AFD16" s="175"/>
      <c r="AFE16" s="175"/>
      <c r="AFF16" s="175"/>
      <c r="AFG16" s="175"/>
      <c r="AFH16" s="175"/>
      <c r="AFI16" s="175"/>
      <c r="AFJ16" s="175"/>
      <c r="AFK16" s="175"/>
      <c r="AFL16" s="175"/>
      <c r="AFM16" s="175"/>
      <c r="AFN16" s="175"/>
      <c r="AFO16" s="175"/>
      <c r="AFP16" s="175"/>
      <c r="AFQ16" s="175"/>
      <c r="AFR16" s="175"/>
      <c r="AFS16" s="175"/>
      <c r="AFT16" s="175"/>
      <c r="AFU16" s="175"/>
      <c r="AFV16" s="175"/>
      <c r="AFW16" s="175"/>
      <c r="AFX16" s="175"/>
      <c r="AFY16" s="175"/>
      <c r="AFZ16" s="175"/>
      <c r="AGA16" s="175"/>
      <c r="AGB16" s="175"/>
      <c r="AGC16" s="175"/>
      <c r="AGD16" s="175"/>
      <c r="AGE16" s="175"/>
      <c r="AGF16" s="175"/>
      <c r="AGG16" s="175"/>
      <c r="AGH16" s="175"/>
      <c r="AGI16" s="175"/>
      <c r="AGJ16" s="175"/>
      <c r="AGK16" s="175"/>
      <c r="AGL16" s="175"/>
      <c r="AGM16" s="175"/>
      <c r="AGN16" s="175"/>
      <c r="AGO16" s="175"/>
      <c r="AGP16" s="175"/>
      <c r="AGQ16" s="175"/>
      <c r="AGR16" s="175"/>
      <c r="AGS16" s="175"/>
      <c r="AGT16" s="175"/>
      <c r="AGU16" s="175"/>
      <c r="AGV16" s="175"/>
      <c r="AGW16" s="175"/>
      <c r="AGX16" s="175"/>
      <c r="AGY16" s="175"/>
      <c r="AGZ16" s="175"/>
      <c r="AHA16" s="175"/>
      <c r="AHB16" s="175"/>
      <c r="AHC16" s="175"/>
      <c r="AHD16" s="175"/>
      <c r="AHE16" s="175"/>
      <c r="AHF16" s="175"/>
      <c r="AHG16" s="175"/>
      <c r="AHH16" s="175"/>
      <c r="AHI16" s="175"/>
      <c r="AHJ16" s="175"/>
      <c r="AHK16" s="175"/>
      <c r="AHL16" s="175"/>
      <c r="AHM16" s="175"/>
      <c r="AHN16" s="175"/>
      <c r="AHO16" s="175"/>
      <c r="AHP16" s="175"/>
      <c r="AHQ16" s="175"/>
      <c r="AHR16" s="175"/>
      <c r="AHS16" s="175"/>
      <c r="AHT16" s="175"/>
      <c r="AHU16" s="175"/>
      <c r="AHV16" s="175"/>
      <c r="AHW16" s="175"/>
      <c r="AHX16" s="175"/>
      <c r="AHY16" s="175"/>
      <c r="AHZ16" s="175"/>
      <c r="AIA16" s="175"/>
      <c r="AIB16" s="175"/>
      <c r="AIC16" s="175"/>
      <c r="AID16" s="175"/>
      <c r="AIE16" s="175"/>
      <c r="AIF16" s="175"/>
      <c r="AIG16" s="175"/>
      <c r="AIH16" s="175"/>
      <c r="AII16" s="175"/>
      <c r="AIJ16" s="175"/>
      <c r="AIK16" s="175"/>
      <c r="AIL16" s="175"/>
      <c r="AIM16" s="175"/>
      <c r="AIN16" s="175"/>
      <c r="AIO16" s="175"/>
      <c r="AIP16" s="175"/>
      <c r="AIQ16" s="175"/>
      <c r="AIR16" s="175"/>
      <c r="AIS16" s="175"/>
      <c r="AIT16" s="175"/>
      <c r="AIU16" s="175"/>
      <c r="AIV16" s="175"/>
      <c r="AIW16" s="175"/>
      <c r="AIX16" s="175"/>
      <c r="AIY16" s="175"/>
      <c r="AIZ16" s="175"/>
      <c r="AJA16" s="175"/>
      <c r="AJB16" s="175"/>
      <c r="AJC16" s="175"/>
      <c r="AJD16" s="175"/>
      <c r="AJE16" s="175"/>
      <c r="AJF16" s="175"/>
      <c r="AJG16" s="175"/>
      <c r="AJH16" s="175"/>
      <c r="AJI16" s="175"/>
      <c r="AJJ16" s="175"/>
      <c r="AJK16" s="175"/>
      <c r="AJL16" s="175"/>
      <c r="AJM16" s="175"/>
      <c r="AJN16" s="175"/>
      <c r="AJO16" s="175"/>
      <c r="AJP16" s="175"/>
      <c r="AJQ16" s="175"/>
      <c r="AJR16" s="175"/>
      <c r="AJS16" s="175"/>
      <c r="AJT16" s="175"/>
      <c r="AJU16" s="175"/>
      <c r="AJV16" s="175"/>
      <c r="AJW16" s="175"/>
      <c r="AJX16" s="175"/>
      <c r="AJY16" s="175"/>
      <c r="AJZ16" s="175"/>
      <c r="AKA16" s="175"/>
      <c r="AKB16" s="175"/>
      <c r="AKC16" s="175"/>
      <c r="AKD16" s="175"/>
      <c r="AKE16" s="175"/>
      <c r="AKF16" s="175"/>
      <c r="AKG16" s="175"/>
      <c r="AKH16" s="175"/>
      <c r="AKI16" s="175"/>
      <c r="AKJ16" s="175"/>
      <c r="AKK16" s="175"/>
      <c r="AKL16" s="175"/>
      <c r="AKM16" s="175"/>
      <c r="AKN16" s="175"/>
      <c r="AKO16" s="175"/>
      <c r="AKP16" s="175"/>
      <c r="AKQ16" s="175"/>
      <c r="AKR16" s="175"/>
      <c r="AKS16" s="175"/>
      <c r="AKT16" s="175"/>
      <c r="AKU16" s="175"/>
      <c r="AKV16" s="175"/>
      <c r="AKW16" s="175"/>
      <c r="AKX16" s="175"/>
      <c r="AKY16" s="175"/>
      <c r="AKZ16" s="175"/>
      <c r="ALA16" s="175"/>
      <c r="ALB16" s="175"/>
      <c r="ALC16" s="175"/>
      <c r="ALD16" s="175"/>
      <c r="ALE16" s="175"/>
      <c r="ALF16" s="175"/>
      <c r="ALG16" s="175"/>
      <c r="ALH16" s="175"/>
      <c r="ALI16" s="175"/>
      <c r="ALJ16" s="175"/>
      <c r="ALK16" s="175"/>
      <c r="ALL16" s="175"/>
      <c r="ALM16" s="175"/>
      <c r="ALN16" s="175"/>
      <c r="ALO16" s="175"/>
      <c r="ALP16" s="175"/>
      <c r="ALQ16" s="175"/>
      <c r="ALR16" s="175"/>
      <c r="ALS16" s="175"/>
      <c r="ALT16" s="175"/>
      <c r="ALU16" s="175"/>
      <c r="ALV16" s="175"/>
      <c r="ALW16" s="175"/>
      <c r="ALX16" s="175"/>
      <c r="ALY16" s="175"/>
      <c r="ALZ16" s="175"/>
      <c r="AMA16" s="175"/>
      <c r="AMB16" s="175"/>
      <c r="AMC16" s="175"/>
      <c r="AMD16" s="175"/>
      <c r="AME16" s="175"/>
      <c r="AMF16" s="175"/>
      <c r="AMG16" s="175"/>
      <c r="AMH16" s="175"/>
      <c r="AMI16" s="175"/>
      <c r="AMJ16" s="175"/>
      <c r="AMK16" s="175"/>
      <c r="AML16" s="175"/>
      <c r="AMM16" s="175"/>
      <c r="AMN16" s="175"/>
      <c r="AMO16" s="175"/>
      <c r="AMP16" s="175"/>
      <c r="AMQ16" s="175"/>
      <c r="AMR16" s="175"/>
      <c r="AMS16" s="175"/>
      <c r="AMT16" s="175"/>
      <c r="AMU16" s="175"/>
      <c r="AMV16" s="175"/>
      <c r="AMW16" s="175"/>
      <c r="AMX16" s="175"/>
      <c r="AMY16" s="175"/>
      <c r="AMZ16" s="175"/>
      <c r="ANA16" s="175"/>
      <c r="ANB16" s="175"/>
      <c r="ANC16" s="175"/>
      <c r="AND16" s="175"/>
      <c r="ANE16" s="175"/>
      <c r="ANF16" s="175"/>
      <c r="ANG16" s="175"/>
      <c r="ANH16" s="175"/>
      <c r="ANI16" s="175"/>
      <c r="ANJ16" s="175"/>
      <c r="ANK16" s="175"/>
      <c r="ANL16" s="175"/>
      <c r="ANM16" s="175"/>
      <c r="ANN16" s="175"/>
      <c r="ANO16" s="175"/>
      <c r="ANP16" s="175"/>
      <c r="ANQ16" s="175"/>
      <c r="ANR16" s="175"/>
      <c r="ANS16" s="175"/>
      <c r="ANT16" s="175"/>
      <c r="ANU16" s="175"/>
      <c r="ANV16" s="175"/>
      <c r="ANW16" s="175"/>
      <c r="ANX16" s="175"/>
      <c r="ANY16" s="175"/>
      <c r="ANZ16" s="175"/>
      <c r="AOA16" s="175"/>
      <c r="AOB16" s="175"/>
      <c r="AOC16" s="175"/>
      <c r="AOD16" s="175"/>
      <c r="AOE16" s="175"/>
      <c r="AOF16" s="175"/>
      <c r="AOG16" s="175"/>
      <c r="AOH16" s="175"/>
      <c r="AOI16" s="175"/>
      <c r="AOJ16" s="175"/>
      <c r="AOK16" s="175"/>
      <c r="AOL16" s="175"/>
      <c r="AOM16" s="175"/>
      <c r="AON16" s="175"/>
      <c r="AOO16" s="175"/>
      <c r="AOP16" s="175"/>
      <c r="AOQ16" s="175"/>
      <c r="AOR16" s="175"/>
      <c r="AOS16" s="175"/>
      <c r="AOT16" s="175"/>
      <c r="AOU16" s="175"/>
      <c r="AOV16" s="175"/>
      <c r="AOW16" s="175"/>
      <c r="AOX16" s="175"/>
      <c r="AOY16" s="175"/>
      <c r="AOZ16" s="175"/>
      <c r="APA16" s="175"/>
      <c r="APB16" s="175"/>
      <c r="APC16" s="175"/>
      <c r="APD16" s="175"/>
      <c r="APE16" s="175"/>
      <c r="APF16" s="175"/>
      <c r="APG16" s="175"/>
      <c r="APH16" s="175"/>
      <c r="API16" s="175"/>
      <c r="APJ16" s="175"/>
      <c r="APK16" s="175"/>
      <c r="APL16" s="175"/>
      <c r="APM16" s="175"/>
      <c r="APN16" s="175"/>
      <c r="APO16" s="175"/>
      <c r="APP16" s="175"/>
      <c r="APQ16" s="175"/>
      <c r="APR16" s="175"/>
      <c r="APS16" s="175"/>
      <c r="APT16" s="175"/>
      <c r="APU16" s="175"/>
      <c r="APV16" s="175"/>
      <c r="APW16" s="175"/>
      <c r="APX16" s="175"/>
      <c r="APY16" s="175"/>
      <c r="APZ16" s="175"/>
      <c r="AQA16" s="175"/>
      <c r="AQB16" s="175"/>
      <c r="AQC16" s="175"/>
      <c r="AQD16" s="175"/>
      <c r="AQE16" s="175"/>
      <c r="AQF16" s="175"/>
      <c r="AQG16" s="175"/>
      <c r="AQH16" s="175"/>
      <c r="AQI16" s="175"/>
      <c r="AQJ16" s="175"/>
      <c r="AQK16" s="175"/>
      <c r="AQL16" s="175"/>
      <c r="AQM16" s="175"/>
      <c r="AQN16" s="175"/>
      <c r="AQO16" s="175"/>
      <c r="AQP16" s="175"/>
      <c r="AQQ16" s="175"/>
      <c r="AQR16" s="175"/>
      <c r="AQS16" s="175"/>
      <c r="AQT16" s="175"/>
      <c r="AQU16" s="175"/>
      <c r="AQV16" s="175"/>
      <c r="AQW16" s="175"/>
      <c r="AQX16" s="175"/>
      <c r="AQY16" s="175"/>
      <c r="AQZ16" s="175"/>
      <c r="ARA16" s="175"/>
      <c r="ARB16" s="175"/>
      <c r="ARC16" s="175"/>
      <c r="ARD16" s="175"/>
      <c r="ARE16" s="175"/>
      <c r="ARF16" s="175"/>
      <c r="ARG16" s="175"/>
      <c r="ARH16" s="175"/>
      <c r="ARI16" s="175"/>
      <c r="ARJ16" s="175"/>
      <c r="ARK16" s="175"/>
      <c r="ARL16" s="175"/>
      <c r="ARM16" s="175"/>
      <c r="ARN16" s="175"/>
      <c r="ARO16" s="175"/>
      <c r="ARP16" s="175"/>
      <c r="ARQ16" s="175"/>
      <c r="ARR16" s="175"/>
      <c r="ARS16" s="175"/>
      <c r="ART16" s="175"/>
      <c r="ARU16" s="175"/>
      <c r="ARV16" s="175"/>
      <c r="ARW16" s="175"/>
      <c r="ARX16" s="175"/>
      <c r="ARY16" s="175"/>
      <c r="ARZ16" s="175"/>
      <c r="ASA16" s="175"/>
      <c r="ASB16" s="175"/>
      <c r="ASC16" s="175"/>
      <c r="ASD16" s="175"/>
      <c r="ASE16" s="175"/>
      <c r="ASF16" s="175"/>
      <c r="ASG16" s="175"/>
      <c r="ASH16" s="175"/>
      <c r="ASI16" s="175"/>
      <c r="ASJ16" s="175"/>
      <c r="ASK16" s="175"/>
      <c r="ASL16" s="175"/>
      <c r="ASM16" s="175"/>
      <c r="ASN16" s="175"/>
      <c r="ASO16" s="175"/>
      <c r="ASP16" s="175"/>
      <c r="ASQ16" s="175"/>
      <c r="ASR16" s="175"/>
      <c r="ASS16" s="175"/>
      <c r="AST16" s="175"/>
      <c r="ASU16" s="175"/>
      <c r="ASV16" s="175"/>
      <c r="ASW16" s="175"/>
      <c r="ASX16" s="175"/>
      <c r="ASY16" s="175"/>
      <c r="ASZ16" s="175"/>
      <c r="ATA16" s="175"/>
      <c r="ATB16" s="175"/>
      <c r="ATC16" s="175"/>
      <c r="ATD16" s="175"/>
      <c r="ATE16" s="175"/>
      <c r="ATF16" s="175"/>
      <c r="ATG16" s="175"/>
      <c r="ATH16" s="175"/>
      <c r="ATI16" s="175"/>
      <c r="ATJ16" s="175"/>
      <c r="ATK16" s="175"/>
      <c r="ATL16" s="175"/>
      <c r="ATM16" s="175"/>
      <c r="ATN16" s="175"/>
      <c r="ATO16" s="175"/>
      <c r="ATP16" s="175"/>
      <c r="ATQ16" s="175"/>
      <c r="ATR16" s="175"/>
      <c r="ATS16" s="175"/>
      <c r="ATT16" s="175"/>
      <c r="ATU16" s="175"/>
      <c r="ATV16" s="175"/>
      <c r="ATW16" s="175"/>
      <c r="ATX16" s="175"/>
      <c r="ATY16" s="175"/>
      <c r="ATZ16" s="175"/>
      <c r="AUA16" s="175"/>
      <c r="AUB16" s="175"/>
      <c r="AUC16" s="175"/>
      <c r="AUD16" s="175"/>
      <c r="AUE16" s="175"/>
      <c r="AUF16" s="175"/>
      <c r="AUG16" s="175"/>
      <c r="AUH16" s="175"/>
      <c r="AUI16" s="175"/>
      <c r="AUJ16" s="175"/>
      <c r="AUK16" s="175"/>
      <c r="AUL16" s="175"/>
      <c r="AUM16" s="175"/>
      <c r="AUN16" s="175"/>
      <c r="AUO16" s="175"/>
      <c r="AUP16" s="175"/>
      <c r="AUQ16" s="175"/>
      <c r="AUR16" s="175"/>
      <c r="AUS16" s="175"/>
      <c r="AUT16" s="175"/>
      <c r="AUU16" s="175"/>
      <c r="AUV16" s="175"/>
      <c r="AUW16" s="175"/>
      <c r="AUX16" s="175"/>
      <c r="AUY16" s="175"/>
      <c r="AUZ16" s="175"/>
      <c r="AVA16" s="175"/>
      <c r="AVB16" s="175"/>
      <c r="AVC16" s="175"/>
      <c r="AVD16" s="175"/>
      <c r="AVE16" s="175"/>
      <c r="AVF16" s="175"/>
      <c r="AVG16" s="175"/>
      <c r="AVH16" s="175"/>
      <c r="AVI16" s="175"/>
      <c r="AVJ16" s="175"/>
      <c r="AVK16" s="175"/>
      <c r="AVL16" s="175"/>
      <c r="AVM16" s="175"/>
      <c r="AVN16" s="175"/>
      <c r="AVO16" s="175"/>
      <c r="AVP16" s="175"/>
      <c r="AVQ16" s="175"/>
      <c r="AVR16" s="175"/>
      <c r="AVS16" s="175"/>
      <c r="AVT16" s="175"/>
      <c r="AVU16" s="175"/>
      <c r="AVV16" s="175"/>
      <c r="AVW16" s="175"/>
      <c r="AVX16" s="175"/>
      <c r="AVY16" s="175"/>
      <c r="AVZ16" s="175"/>
      <c r="AWA16" s="175"/>
      <c r="AWB16" s="175"/>
      <c r="AWC16" s="175"/>
      <c r="AWD16" s="175"/>
      <c r="AWE16" s="175"/>
      <c r="AWF16" s="175"/>
      <c r="AWG16" s="175"/>
      <c r="AWH16" s="175"/>
      <c r="AWI16" s="175"/>
      <c r="AWJ16" s="175"/>
      <c r="AWK16" s="175"/>
      <c r="AWL16" s="175"/>
      <c r="AWM16" s="175"/>
      <c r="AWN16" s="175"/>
      <c r="AWO16" s="175"/>
      <c r="AWP16" s="175"/>
      <c r="AWQ16" s="175"/>
      <c r="AWR16" s="175"/>
      <c r="AWS16" s="175"/>
      <c r="AWT16" s="175"/>
      <c r="AWU16" s="175"/>
      <c r="AWV16" s="175"/>
      <c r="AWW16" s="175"/>
      <c r="AWX16" s="175"/>
      <c r="AWY16" s="175"/>
      <c r="AWZ16" s="175"/>
      <c r="AXA16" s="175"/>
      <c r="AXB16" s="175"/>
      <c r="AXC16" s="175"/>
      <c r="AXD16" s="175"/>
      <c r="AXE16" s="175"/>
      <c r="AXF16" s="175"/>
      <c r="AXG16" s="175"/>
      <c r="AXH16" s="175"/>
      <c r="AXI16" s="175"/>
      <c r="AXJ16" s="175"/>
      <c r="AXK16" s="175"/>
      <c r="AXL16" s="175"/>
      <c r="AXM16" s="175"/>
      <c r="AXN16" s="175"/>
      <c r="AXO16" s="175"/>
      <c r="AXP16" s="175"/>
      <c r="AXQ16" s="175"/>
      <c r="AXR16" s="175"/>
      <c r="AXS16" s="175"/>
      <c r="AXT16" s="175"/>
      <c r="AXU16" s="175"/>
      <c r="AXV16" s="175"/>
      <c r="AXW16" s="175"/>
      <c r="AXX16" s="175"/>
      <c r="AXY16" s="175"/>
      <c r="AXZ16" s="175"/>
      <c r="AYA16" s="175"/>
      <c r="AYB16" s="175"/>
      <c r="AYC16" s="175"/>
      <c r="AYD16" s="175"/>
      <c r="AYE16" s="175"/>
      <c r="AYF16" s="175"/>
      <c r="AYG16" s="175"/>
      <c r="AYH16" s="175"/>
      <c r="AYI16" s="175"/>
      <c r="AYJ16" s="175"/>
      <c r="AYK16" s="175"/>
      <c r="AYL16" s="175"/>
      <c r="AYM16" s="175"/>
      <c r="AYN16" s="175"/>
      <c r="AYO16" s="175"/>
      <c r="AYP16" s="175"/>
      <c r="AYQ16" s="175"/>
      <c r="AYR16" s="175"/>
      <c r="AYS16" s="175"/>
      <c r="AYT16" s="175"/>
      <c r="AYU16" s="175"/>
      <c r="AYV16" s="175"/>
      <c r="AYW16" s="175"/>
      <c r="AYX16" s="175"/>
      <c r="AYY16" s="175"/>
      <c r="AYZ16" s="175"/>
      <c r="AZA16" s="175"/>
      <c r="AZB16" s="175"/>
      <c r="AZC16" s="175"/>
      <c r="AZD16" s="175"/>
      <c r="AZE16" s="175"/>
      <c r="AZF16" s="175"/>
      <c r="AZG16" s="175"/>
      <c r="AZH16" s="175"/>
      <c r="AZI16" s="175"/>
      <c r="AZJ16" s="175"/>
      <c r="AZK16" s="175"/>
      <c r="AZL16" s="175"/>
      <c r="AZM16" s="175"/>
      <c r="AZN16" s="175"/>
      <c r="AZO16" s="175"/>
      <c r="AZP16" s="175"/>
      <c r="AZQ16" s="175"/>
      <c r="AZR16" s="175"/>
      <c r="AZS16" s="175"/>
      <c r="AZT16" s="175"/>
      <c r="AZU16" s="175"/>
      <c r="AZV16" s="175"/>
      <c r="AZW16" s="175"/>
      <c r="AZX16" s="175"/>
      <c r="AZY16" s="175"/>
      <c r="AZZ16" s="175"/>
      <c r="BAA16" s="175"/>
      <c r="BAB16" s="175"/>
      <c r="BAC16" s="175"/>
      <c r="BAD16" s="175"/>
      <c r="BAE16" s="175"/>
      <c r="BAF16" s="175"/>
      <c r="BAG16" s="175"/>
      <c r="BAH16" s="175"/>
      <c r="BAI16" s="175"/>
      <c r="BAJ16" s="175"/>
      <c r="BAK16" s="175"/>
      <c r="BAL16" s="175"/>
      <c r="BAM16" s="175"/>
      <c r="BAN16" s="175"/>
      <c r="BAO16" s="175"/>
      <c r="BAP16" s="175"/>
      <c r="BAQ16" s="175"/>
      <c r="BAR16" s="175"/>
      <c r="BAS16" s="175"/>
      <c r="BAT16" s="175"/>
      <c r="BAU16" s="175"/>
      <c r="BAV16" s="175"/>
      <c r="BAW16" s="175"/>
      <c r="BAX16" s="175"/>
      <c r="BAY16" s="175"/>
      <c r="BAZ16" s="175"/>
      <c r="BBA16" s="175"/>
      <c r="BBB16" s="175"/>
      <c r="BBC16" s="175"/>
      <c r="BBD16" s="175"/>
      <c r="BBE16" s="175"/>
      <c r="BBF16" s="175"/>
      <c r="BBG16" s="175"/>
      <c r="BBH16" s="175"/>
      <c r="BBI16" s="175"/>
      <c r="BBJ16" s="175"/>
      <c r="BBK16" s="175"/>
      <c r="BBL16" s="175"/>
      <c r="BBM16" s="175"/>
      <c r="BBN16" s="175"/>
      <c r="BBO16" s="175"/>
      <c r="BBP16" s="175"/>
      <c r="BBQ16" s="175"/>
      <c r="BBR16" s="175"/>
      <c r="BBS16" s="175"/>
      <c r="BBT16" s="175"/>
      <c r="BBU16" s="175"/>
      <c r="BBV16" s="175"/>
      <c r="BBW16" s="175"/>
      <c r="BBX16" s="175"/>
      <c r="BBY16" s="175"/>
      <c r="BBZ16" s="175"/>
      <c r="BCA16" s="175"/>
      <c r="BCB16" s="175"/>
      <c r="BCC16" s="175"/>
      <c r="BCD16" s="175"/>
      <c r="BCE16" s="175"/>
      <c r="BCF16" s="175"/>
      <c r="BCG16" s="175"/>
      <c r="BCH16" s="175"/>
      <c r="BCI16" s="175"/>
      <c r="BCJ16" s="175"/>
      <c r="BCK16" s="175"/>
      <c r="BCL16" s="175"/>
      <c r="BCM16" s="175"/>
      <c r="BCN16" s="175"/>
      <c r="BCO16" s="175"/>
      <c r="BCP16" s="175"/>
      <c r="BCQ16" s="175"/>
      <c r="BCR16" s="175"/>
      <c r="BCS16" s="175"/>
      <c r="BCT16" s="175"/>
      <c r="BCU16" s="175"/>
      <c r="BCV16" s="175"/>
      <c r="BCW16" s="175"/>
      <c r="BCX16" s="175"/>
      <c r="BCY16" s="175"/>
      <c r="BCZ16" s="175"/>
      <c r="BDA16" s="175"/>
      <c r="BDB16" s="175"/>
      <c r="BDC16" s="175"/>
      <c r="BDD16" s="175"/>
      <c r="BDE16" s="175"/>
      <c r="BDF16" s="175"/>
      <c r="BDG16" s="175"/>
      <c r="BDH16" s="175"/>
      <c r="BDI16" s="175"/>
      <c r="BDJ16" s="175"/>
      <c r="BDK16" s="175"/>
      <c r="BDL16" s="175"/>
      <c r="BDM16" s="175"/>
      <c r="BDN16" s="175"/>
      <c r="BDO16" s="175"/>
      <c r="BDP16" s="175"/>
      <c r="BDQ16" s="175"/>
      <c r="BDR16" s="175"/>
      <c r="BDS16" s="175"/>
      <c r="BDT16" s="175"/>
      <c r="BDU16" s="175"/>
      <c r="BDV16" s="175"/>
      <c r="BDW16" s="175"/>
      <c r="BDX16" s="175"/>
      <c r="BDY16" s="175"/>
      <c r="BDZ16" s="175"/>
      <c r="BEA16" s="175"/>
      <c r="BEB16" s="175"/>
      <c r="BEC16" s="175"/>
      <c r="BED16" s="175"/>
      <c r="BEE16" s="175"/>
      <c r="BEF16" s="175"/>
      <c r="BEG16" s="175"/>
      <c r="BEH16" s="175"/>
      <c r="BEI16" s="175"/>
      <c r="BEJ16" s="175"/>
      <c r="BEK16" s="175"/>
      <c r="BEL16" s="175"/>
      <c r="BEM16" s="175"/>
      <c r="BEN16" s="175"/>
      <c r="BEO16" s="175"/>
      <c r="BEP16" s="175"/>
      <c r="BEQ16" s="175"/>
      <c r="BER16" s="175"/>
      <c r="BES16" s="175"/>
      <c r="BET16" s="175"/>
      <c r="BEU16" s="175"/>
      <c r="BEV16" s="175"/>
      <c r="BEW16" s="175"/>
      <c r="BEX16" s="175"/>
      <c r="BEY16" s="175"/>
      <c r="BEZ16" s="175"/>
      <c r="BFA16" s="175"/>
      <c r="BFB16" s="175"/>
      <c r="BFC16" s="175"/>
      <c r="BFD16" s="175"/>
      <c r="BFE16" s="175"/>
      <c r="BFF16" s="175"/>
      <c r="BFG16" s="175"/>
      <c r="BFH16" s="175"/>
      <c r="BFI16" s="175"/>
      <c r="BFJ16" s="175"/>
      <c r="BFK16" s="175"/>
      <c r="BFL16" s="175"/>
      <c r="BFM16" s="175"/>
      <c r="BFN16" s="175"/>
      <c r="BFO16" s="175"/>
      <c r="BFP16" s="175"/>
      <c r="BFQ16" s="175"/>
      <c r="BFR16" s="175"/>
      <c r="BFS16" s="175"/>
      <c r="BFT16" s="175"/>
      <c r="BFU16" s="175"/>
      <c r="BFV16" s="175"/>
      <c r="BFW16" s="175"/>
      <c r="BFX16" s="175"/>
      <c r="BFY16" s="175"/>
      <c r="BFZ16" s="175"/>
      <c r="BGA16" s="175"/>
      <c r="BGB16" s="175"/>
      <c r="BGC16" s="175"/>
      <c r="BGD16" s="175"/>
      <c r="BGE16" s="175"/>
      <c r="BGF16" s="175"/>
      <c r="BGG16" s="175"/>
      <c r="BGH16" s="175"/>
      <c r="BGI16" s="175"/>
      <c r="BGJ16" s="175"/>
      <c r="BGK16" s="175"/>
      <c r="BGL16" s="175"/>
      <c r="BGM16" s="175"/>
      <c r="BGN16" s="175"/>
      <c r="BGO16" s="175"/>
      <c r="BGP16" s="175"/>
      <c r="BGQ16" s="175"/>
      <c r="BGR16" s="175"/>
      <c r="BGS16" s="175"/>
      <c r="BGT16" s="175"/>
      <c r="BGU16" s="175"/>
      <c r="BGV16" s="175"/>
      <c r="BGW16" s="175"/>
      <c r="BGX16" s="175"/>
      <c r="BGY16" s="175"/>
      <c r="BGZ16" s="175"/>
      <c r="BHA16" s="175"/>
      <c r="BHB16" s="175"/>
      <c r="BHC16" s="175"/>
      <c r="BHD16" s="175"/>
      <c r="BHE16" s="175"/>
      <c r="BHF16" s="175"/>
      <c r="BHG16" s="175"/>
      <c r="BHH16" s="175"/>
      <c r="BHI16" s="175"/>
      <c r="BHJ16" s="175"/>
      <c r="BHK16" s="175"/>
      <c r="BHL16" s="175"/>
      <c r="BHM16" s="175"/>
      <c r="BHN16" s="175"/>
      <c r="BHO16" s="175"/>
      <c r="BHP16" s="175"/>
      <c r="BHQ16" s="175"/>
      <c r="BHR16" s="175"/>
      <c r="BHS16" s="175"/>
      <c r="BHT16" s="175"/>
      <c r="BHU16" s="175"/>
      <c r="BHV16" s="175"/>
      <c r="BHW16" s="175"/>
      <c r="BHX16" s="175"/>
      <c r="BHY16" s="175"/>
      <c r="BHZ16" s="175"/>
      <c r="BIA16" s="175"/>
      <c r="BIB16" s="175"/>
      <c r="BIC16" s="175"/>
      <c r="BID16" s="175"/>
      <c r="BIE16" s="175"/>
      <c r="BIF16" s="175"/>
      <c r="BIG16" s="175"/>
      <c r="BIH16" s="175"/>
      <c r="BII16" s="175"/>
      <c r="BIJ16" s="175"/>
      <c r="BIK16" s="175"/>
      <c r="BIL16" s="175"/>
      <c r="BIM16" s="175"/>
      <c r="BIN16" s="175"/>
      <c r="BIO16" s="175"/>
      <c r="BIP16" s="175"/>
      <c r="BIQ16" s="175"/>
      <c r="BIR16" s="175"/>
      <c r="BIS16" s="175"/>
      <c r="BIT16" s="175"/>
      <c r="BIU16" s="175"/>
      <c r="BIV16" s="175"/>
      <c r="BIW16" s="175"/>
      <c r="BIX16" s="175"/>
      <c r="BIY16" s="175"/>
      <c r="BIZ16" s="175"/>
      <c r="BJA16" s="175"/>
      <c r="BJB16" s="175"/>
      <c r="BJC16" s="175"/>
      <c r="BJD16" s="175"/>
      <c r="BJE16" s="175"/>
      <c r="BJF16" s="175"/>
      <c r="BJG16" s="175"/>
      <c r="BJH16" s="175"/>
      <c r="BJI16" s="175"/>
      <c r="BJJ16" s="175"/>
      <c r="BJK16" s="175"/>
      <c r="BJL16" s="175"/>
      <c r="BJM16" s="175"/>
      <c r="BJN16" s="175"/>
      <c r="BJO16" s="175"/>
      <c r="BJP16" s="175"/>
      <c r="BJQ16" s="175"/>
      <c r="BJR16" s="175"/>
      <c r="BJS16" s="175"/>
      <c r="BJT16" s="175"/>
      <c r="BJU16" s="175"/>
      <c r="BJV16" s="175"/>
      <c r="BJW16" s="175"/>
      <c r="BJX16" s="175"/>
      <c r="BJY16" s="175"/>
      <c r="BJZ16" s="175"/>
      <c r="BKA16" s="175"/>
      <c r="BKB16" s="175"/>
      <c r="BKC16" s="175"/>
      <c r="BKD16" s="175"/>
      <c r="BKE16" s="175"/>
      <c r="BKF16" s="175"/>
      <c r="BKG16" s="175"/>
      <c r="BKH16" s="175"/>
      <c r="BKI16" s="175"/>
      <c r="BKJ16" s="175"/>
      <c r="BKK16" s="175"/>
      <c r="BKL16" s="175"/>
      <c r="BKM16" s="175"/>
      <c r="BKN16" s="175"/>
      <c r="BKO16" s="175"/>
      <c r="BKP16" s="175"/>
      <c r="BKQ16" s="175"/>
      <c r="BKR16" s="175"/>
      <c r="BKS16" s="175"/>
      <c r="BKT16" s="175"/>
      <c r="BKU16" s="175"/>
      <c r="BKV16" s="175"/>
      <c r="BKW16" s="175"/>
      <c r="BKX16" s="175"/>
      <c r="BKY16" s="175"/>
      <c r="BKZ16" s="175"/>
      <c r="BLA16" s="175"/>
      <c r="BLB16" s="175"/>
      <c r="BLC16" s="175"/>
      <c r="BLD16" s="175"/>
      <c r="BLE16" s="175"/>
      <c r="BLF16" s="175"/>
      <c r="BLG16" s="175"/>
      <c r="BLH16" s="175"/>
      <c r="BLI16" s="175"/>
      <c r="BLJ16" s="175"/>
      <c r="BLK16" s="175"/>
      <c r="BLL16" s="175"/>
      <c r="BLM16" s="175"/>
      <c r="BLN16" s="175"/>
      <c r="BLO16" s="175"/>
      <c r="BLP16" s="175"/>
      <c r="BLQ16" s="175"/>
      <c r="BLR16" s="175"/>
      <c r="BLS16" s="175"/>
      <c r="BLT16" s="175"/>
      <c r="BLU16" s="175"/>
      <c r="BLV16" s="175"/>
      <c r="BLW16" s="175"/>
      <c r="BLX16" s="175"/>
      <c r="BLY16" s="175"/>
      <c r="BLZ16" s="175"/>
      <c r="BMA16" s="175"/>
      <c r="BMB16" s="175"/>
      <c r="BMC16" s="175"/>
      <c r="BMD16" s="175"/>
      <c r="BME16" s="175"/>
      <c r="BMF16" s="175"/>
      <c r="BMG16" s="175"/>
      <c r="BMH16" s="175"/>
      <c r="BMI16" s="175"/>
      <c r="BMJ16" s="175"/>
      <c r="BMK16" s="175"/>
      <c r="BML16" s="175"/>
      <c r="BMM16" s="175"/>
      <c r="BMN16" s="175"/>
      <c r="BMO16" s="175"/>
      <c r="BMP16" s="175"/>
      <c r="BMQ16" s="175"/>
      <c r="BMR16" s="175"/>
      <c r="BMS16" s="175"/>
      <c r="BMT16" s="175"/>
      <c r="BMU16" s="175"/>
      <c r="BMV16" s="175"/>
      <c r="BMW16" s="175"/>
      <c r="BMX16" s="175"/>
      <c r="BMY16" s="175"/>
      <c r="BMZ16" s="175"/>
      <c r="BNA16" s="175"/>
      <c r="BNB16" s="175"/>
      <c r="BNC16" s="175"/>
      <c r="BND16" s="175"/>
      <c r="BNE16" s="175"/>
      <c r="BNF16" s="175"/>
      <c r="BNG16" s="175"/>
      <c r="BNH16" s="175"/>
      <c r="BNI16" s="175"/>
      <c r="BNJ16" s="175"/>
      <c r="BNK16" s="175"/>
      <c r="BNL16" s="175"/>
      <c r="BNM16" s="175"/>
      <c r="BNN16" s="175"/>
      <c r="BNO16" s="175"/>
      <c r="BNP16" s="175"/>
      <c r="BNQ16" s="175"/>
      <c r="BNR16" s="175"/>
      <c r="BNS16" s="175"/>
      <c r="BNT16" s="175"/>
      <c r="BNU16" s="175"/>
      <c r="BNV16" s="175"/>
      <c r="BNW16" s="175"/>
      <c r="BNX16" s="175"/>
      <c r="BNY16" s="175"/>
      <c r="BNZ16" s="175"/>
      <c r="BOA16" s="175"/>
      <c r="BOB16" s="175"/>
      <c r="BOC16" s="175"/>
      <c r="BOD16" s="175"/>
      <c r="BOE16" s="175"/>
      <c r="BOF16" s="175"/>
      <c r="BOG16" s="175"/>
      <c r="BOH16" s="175"/>
      <c r="BOI16" s="175"/>
      <c r="BOJ16" s="175"/>
      <c r="BOK16" s="175"/>
      <c r="BOL16" s="175"/>
      <c r="BOM16" s="175"/>
      <c r="BON16" s="175"/>
      <c r="BOO16" s="175"/>
      <c r="BOP16" s="175"/>
      <c r="BOQ16" s="175"/>
      <c r="BOR16" s="175"/>
      <c r="BOS16" s="175"/>
      <c r="BOT16" s="175"/>
      <c r="BOU16" s="175"/>
      <c r="BOV16" s="175"/>
      <c r="BOW16" s="175"/>
      <c r="BOX16" s="175"/>
      <c r="BOY16" s="175"/>
      <c r="BOZ16" s="175"/>
      <c r="BPA16" s="175"/>
      <c r="BPB16" s="175"/>
      <c r="BPC16" s="175"/>
      <c r="BPD16" s="175"/>
      <c r="BPE16" s="175"/>
      <c r="BPF16" s="175"/>
      <c r="BPG16" s="175"/>
      <c r="BPH16" s="175"/>
      <c r="BPI16" s="175"/>
      <c r="BPJ16" s="175"/>
      <c r="BPK16" s="175"/>
      <c r="BPL16" s="175"/>
      <c r="BPM16" s="175"/>
      <c r="BPN16" s="175"/>
      <c r="BPO16" s="175"/>
      <c r="BPP16" s="175"/>
      <c r="BPQ16" s="175"/>
      <c r="BPR16" s="175"/>
      <c r="BPS16" s="175"/>
      <c r="BPT16" s="175"/>
      <c r="BPU16" s="175"/>
      <c r="BPV16" s="175"/>
      <c r="BPW16" s="175"/>
      <c r="BPX16" s="175"/>
      <c r="BPY16" s="175"/>
      <c r="BPZ16" s="175"/>
      <c r="BQA16" s="175"/>
      <c r="BQB16" s="175"/>
      <c r="BQC16" s="175"/>
      <c r="BQD16" s="175"/>
      <c r="BQE16" s="175"/>
      <c r="BQF16" s="175"/>
      <c r="BQG16" s="175"/>
      <c r="BQH16" s="175"/>
      <c r="BQI16" s="175"/>
      <c r="BQJ16" s="175"/>
      <c r="BQK16" s="175"/>
      <c r="BQL16" s="175"/>
      <c r="BQM16" s="175"/>
      <c r="BQN16" s="175"/>
      <c r="BQO16" s="175"/>
      <c r="BQP16" s="175"/>
      <c r="BQQ16" s="175"/>
      <c r="BQR16" s="175"/>
      <c r="BQS16" s="175"/>
      <c r="BQT16" s="175"/>
      <c r="BQU16" s="175"/>
      <c r="BQV16" s="175"/>
      <c r="BQW16" s="175"/>
      <c r="BQX16" s="175"/>
      <c r="BQY16" s="175"/>
      <c r="BQZ16" s="175"/>
      <c r="BRA16" s="175"/>
      <c r="BRB16" s="175"/>
      <c r="BRC16" s="175"/>
      <c r="BRD16" s="175"/>
      <c r="BRE16" s="175"/>
      <c r="BRF16" s="175"/>
      <c r="BRG16" s="175"/>
      <c r="BRH16" s="175"/>
      <c r="BRI16" s="175"/>
      <c r="BRJ16" s="175"/>
      <c r="BRK16" s="175"/>
      <c r="BRL16" s="175"/>
      <c r="BRM16" s="175"/>
      <c r="BRN16" s="175"/>
      <c r="BRO16" s="175"/>
      <c r="BRP16" s="175"/>
      <c r="BRQ16" s="175"/>
      <c r="BRR16" s="175"/>
      <c r="BRS16" s="175"/>
      <c r="BRT16" s="175"/>
      <c r="BRU16" s="175"/>
      <c r="BRV16" s="175"/>
      <c r="BRW16" s="175"/>
      <c r="BRX16" s="175"/>
      <c r="BRY16" s="175"/>
      <c r="BRZ16" s="175"/>
      <c r="BSA16" s="175"/>
      <c r="BSB16" s="175"/>
      <c r="BSC16" s="175"/>
      <c r="BSD16" s="175"/>
      <c r="BSE16" s="175"/>
      <c r="BSF16" s="175"/>
      <c r="BSG16" s="175"/>
      <c r="BSH16" s="175"/>
      <c r="BSI16" s="175"/>
      <c r="BSJ16" s="175"/>
      <c r="BSK16" s="175"/>
      <c r="BSL16" s="175"/>
      <c r="BSM16" s="175"/>
      <c r="BSN16" s="175"/>
      <c r="BSO16" s="175"/>
      <c r="BSP16" s="175"/>
      <c r="BSQ16" s="175"/>
      <c r="BSR16" s="175"/>
      <c r="BSS16" s="175"/>
      <c r="BST16" s="175"/>
      <c r="BSU16" s="175"/>
      <c r="BSV16" s="175"/>
      <c r="BSW16" s="175"/>
      <c r="BSX16" s="175"/>
      <c r="BSY16" s="175"/>
      <c r="BSZ16" s="175"/>
      <c r="BTA16" s="175"/>
      <c r="BTB16" s="175"/>
      <c r="BTC16" s="175"/>
      <c r="BTD16" s="175"/>
      <c r="BTE16" s="175"/>
      <c r="BTF16" s="175"/>
      <c r="BTG16" s="175"/>
      <c r="BTH16" s="175"/>
      <c r="BTI16" s="175"/>
      <c r="BTJ16" s="175"/>
      <c r="BTK16" s="175"/>
      <c r="BTL16" s="175"/>
      <c r="BTM16" s="175"/>
      <c r="BTN16" s="175"/>
      <c r="BTO16" s="175"/>
      <c r="BTP16" s="175"/>
      <c r="BTQ16" s="175"/>
      <c r="BTR16" s="175"/>
      <c r="BTS16" s="175"/>
      <c r="BTT16" s="175"/>
      <c r="BTU16" s="175"/>
      <c r="BTV16" s="175"/>
      <c r="BTW16" s="175"/>
      <c r="BTX16" s="175"/>
      <c r="BTY16" s="175"/>
      <c r="BTZ16" s="175"/>
      <c r="BUA16" s="175"/>
      <c r="BUB16" s="175"/>
      <c r="BUC16" s="175"/>
      <c r="BUD16" s="175"/>
      <c r="BUE16" s="175"/>
      <c r="BUF16" s="175"/>
      <c r="BUG16" s="175"/>
      <c r="BUH16" s="175"/>
      <c r="BUI16" s="175"/>
      <c r="BUJ16" s="175"/>
      <c r="BUK16" s="175"/>
      <c r="BUL16" s="175"/>
      <c r="BUM16" s="175"/>
      <c r="BUN16" s="175"/>
      <c r="BUO16" s="175"/>
      <c r="BUP16" s="175"/>
      <c r="BUQ16" s="175"/>
      <c r="BUR16" s="175"/>
      <c r="BUS16" s="175"/>
      <c r="BUT16" s="175"/>
      <c r="BUU16" s="175"/>
      <c r="BUV16" s="175"/>
      <c r="BUW16" s="175"/>
      <c r="BUX16" s="175"/>
      <c r="BUY16" s="175"/>
      <c r="BUZ16" s="175"/>
      <c r="BVA16" s="175"/>
      <c r="BVB16" s="175"/>
      <c r="BVC16" s="175"/>
      <c r="BVD16" s="175"/>
      <c r="BVE16" s="175"/>
      <c r="BVF16" s="175"/>
      <c r="BVG16" s="175"/>
      <c r="BVH16" s="175"/>
      <c r="BVI16" s="175"/>
      <c r="BVJ16" s="175"/>
      <c r="BVK16" s="175"/>
      <c r="BVL16" s="175"/>
      <c r="BVM16" s="175"/>
      <c r="BVN16" s="175"/>
      <c r="BVO16" s="175"/>
      <c r="BVP16" s="175"/>
      <c r="BVQ16" s="175"/>
      <c r="BVR16" s="175"/>
      <c r="BVS16" s="175"/>
      <c r="BVT16" s="175"/>
      <c r="BVU16" s="175"/>
      <c r="BVV16" s="175"/>
      <c r="BVW16" s="175"/>
      <c r="BVX16" s="175"/>
      <c r="BVY16" s="175"/>
      <c r="BVZ16" s="175"/>
      <c r="BWA16" s="175"/>
      <c r="BWB16" s="175"/>
      <c r="BWC16" s="175"/>
      <c r="BWD16" s="175"/>
      <c r="BWE16" s="175"/>
      <c r="BWF16" s="175"/>
      <c r="BWG16" s="175"/>
      <c r="BWH16" s="175"/>
      <c r="BWI16" s="175"/>
      <c r="BWJ16" s="175"/>
      <c r="BWK16" s="175"/>
      <c r="BWL16" s="175"/>
      <c r="BWM16" s="175"/>
      <c r="BWN16" s="175"/>
      <c r="BWO16" s="175"/>
      <c r="BWP16" s="175"/>
      <c r="BWQ16" s="175"/>
      <c r="BWR16" s="175"/>
      <c r="BWS16" s="175"/>
      <c r="BWT16" s="175"/>
      <c r="BWU16" s="175"/>
      <c r="BWV16" s="175"/>
      <c r="BWW16" s="175"/>
      <c r="BWX16" s="175"/>
      <c r="BWY16" s="175"/>
      <c r="BWZ16" s="175"/>
      <c r="BXA16" s="175"/>
      <c r="BXB16" s="175"/>
      <c r="BXC16" s="175"/>
      <c r="BXD16" s="175"/>
      <c r="BXE16" s="175"/>
      <c r="BXF16" s="175"/>
      <c r="BXG16" s="175"/>
      <c r="BXH16" s="175"/>
      <c r="BXI16" s="175"/>
      <c r="BXJ16" s="175"/>
      <c r="BXK16" s="175"/>
      <c r="BXL16" s="175"/>
      <c r="BXM16" s="175"/>
      <c r="BXN16" s="175"/>
      <c r="BXO16" s="175"/>
      <c r="BXP16" s="175"/>
      <c r="BXQ16" s="175"/>
      <c r="BXR16" s="175"/>
      <c r="BXS16" s="175"/>
      <c r="BXT16" s="175"/>
      <c r="BXU16" s="175"/>
      <c r="BXV16" s="175"/>
      <c r="BXW16" s="175"/>
      <c r="BXX16" s="175"/>
      <c r="BXY16" s="175"/>
      <c r="BXZ16" s="175"/>
      <c r="BYA16" s="175"/>
      <c r="BYB16" s="175"/>
      <c r="BYC16" s="175"/>
      <c r="BYD16" s="175"/>
      <c r="BYE16" s="175"/>
      <c r="BYF16" s="175"/>
      <c r="BYG16" s="175"/>
      <c r="BYH16" s="175"/>
      <c r="BYI16" s="175"/>
      <c r="BYJ16" s="175"/>
      <c r="BYK16" s="175"/>
      <c r="BYL16" s="175"/>
      <c r="BYM16" s="175"/>
      <c r="BYN16" s="175"/>
      <c r="BYO16" s="175"/>
      <c r="BYP16" s="175"/>
      <c r="BYQ16" s="175"/>
      <c r="BYR16" s="175"/>
      <c r="BYS16" s="175"/>
      <c r="BYT16" s="175"/>
      <c r="BYU16" s="175"/>
      <c r="BYV16" s="175"/>
      <c r="BYW16" s="175"/>
      <c r="BYX16" s="175"/>
      <c r="BYY16" s="175"/>
      <c r="BYZ16" s="175"/>
      <c r="BZA16" s="175"/>
      <c r="BZB16" s="175"/>
      <c r="BZC16" s="175"/>
      <c r="BZD16" s="175"/>
      <c r="BZE16" s="175"/>
      <c r="BZF16" s="175"/>
      <c r="BZG16" s="175"/>
      <c r="BZH16" s="175"/>
      <c r="BZI16" s="175"/>
      <c r="BZJ16" s="175"/>
      <c r="BZK16" s="175"/>
      <c r="BZL16" s="175"/>
      <c r="BZM16" s="175"/>
      <c r="BZN16" s="175"/>
      <c r="BZO16" s="175"/>
      <c r="BZP16" s="175"/>
      <c r="BZQ16" s="175"/>
      <c r="BZR16" s="175"/>
      <c r="BZS16" s="175"/>
      <c r="BZT16" s="175"/>
      <c r="BZU16" s="175"/>
      <c r="BZV16" s="175"/>
      <c r="BZW16" s="175"/>
      <c r="BZX16" s="175"/>
      <c r="BZY16" s="175"/>
      <c r="BZZ16" s="175"/>
      <c r="CAA16" s="175"/>
      <c r="CAB16" s="175"/>
      <c r="CAC16" s="175"/>
      <c r="CAD16" s="175"/>
      <c r="CAE16" s="175"/>
      <c r="CAF16" s="175"/>
      <c r="CAG16" s="175"/>
      <c r="CAH16" s="175"/>
      <c r="CAI16" s="175"/>
      <c r="CAJ16" s="175"/>
      <c r="CAK16" s="175"/>
      <c r="CAL16" s="175"/>
      <c r="CAM16" s="175"/>
      <c r="CAN16" s="175"/>
      <c r="CAO16" s="175"/>
      <c r="CAP16" s="175"/>
      <c r="CAQ16" s="175"/>
      <c r="CAR16" s="175"/>
      <c r="CAS16" s="175"/>
      <c r="CAT16" s="175"/>
      <c r="CAU16" s="175"/>
      <c r="CAV16" s="175"/>
      <c r="CAW16" s="175"/>
      <c r="CAX16" s="175"/>
      <c r="CAY16" s="175"/>
      <c r="CAZ16" s="175"/>
      <c r="CBA16" s="175"/>
      <c r="CBB16" s="175"/>
      <c r="CBC16" s="175"/>
      <c r="CBD16" s="175"/>
      <c r="CBE16" s="175"/>
      <c r="CBF16" s="175"/>
      <c r="CBG16" s="175"/>
      <c r="CBH16" s="175"/>
      <c r="CBI16" s="175"/>
      <c r="CBJ16" s="175"/>
      <c r="CBK16" s="175"/>
      <c r="CBL16" s="175"/>
      <c r="CBM16" s="175"/>
      <c r="CBN16" s="175"/>
      <c r="CBO16" s="175"/>
      <c r="CBP16" s="175"/>
      <c r="CBQ16" s="175"/>
      <c r="CBR16" s="175"/>
      <c r="CBS16" s="175"/>
      <c r="CBT16" s="175"/>
      <c r="CBU16" s="175"/>
      <c r="CBV16" s="175"/>
      <c r="CBW16" s="175"/>
      <c r="CBX16" s="175"/>
      <c r="CBY16" s="175"/>
      <c r="CBZ16" s="175"/>
      <c r="CCA16" s="175"/>
      <c r="CCB16" s="175"/>
      <c r="CCC16" s="175"/>
      <c r="CCD16" s="175"/>
      <c r="CCE16" s="175"/>
      <c r="CCF16" s="175"/>
      <c r="CCG16" s="175"/>
      <c r="CCH16" s="175"/>
      <c r="CCI16" s="175"/>
      <c r="CCJ16" s="175"/>
      <c r="CCK16" s="175"/>
      <c r="CCL16" s="175"/>
      <c r="CCM16" s="175"/>
      <c r="CCN16" s="175"/>
      <c r="CCO16" s="175"/>
      <c r="CCP16" s="175"/>
      <c r="CCQ16" s="175"/>
      <c r="CCR16" s="175"/>
      <c r="CCS16" s="175"/>
      <c r="CCT16" s="175"/>
      <c r="CCU16" s="175"/>
      <c r="CCV16" s="175"/>
      <c r="CCW16" s="175"/>
      <c r="CCX16" s="175"/>
      <c r="CCY16" s="175"/>
      <c r="CCZ16" s="175"/>
      <c r="CDA16" s="175"/>
      <c r="CDB16" s="175"/>
      <c r="CDC16" s="175"/>
      <c r="CDD16" s="175"/>
      <c r="CDE16" s="175"/>
      <c r="CDF16" s="175"/>
      <c r="CDG16" s="175"/>
      <c r="CDH16" s="175"/>
      <c r="CDI16" s="175"/>
      <c r="CDJ16" s="175"/>
      <c r="CDK16" s="175"/>
      <c r="CDL16" s="175"/>
      <c r="CDM16" s="175"/>
      <c r="CDN16" s="175"/>
      <c r="CDO16" s="175"/>
      <c r="CDP16" s="175"/>
      <c r="CDQ16" s="175"/>
      <c r="CDR16" s="175"/>
      <c r="CDS16" s="175"/>
      <c r="CDT16" s="175"/>
      <c r="CDU16" s="175"/>
      <c r="CDV16" s="175"/>
      <c r="CDW16" s="175"/>
      <c r="CDX16" s="175"/>
      <c r="CDY16" s="175"/>
      <c r="CDZ16" s="175"/>
      <c r="CEA16" s="175"/>
      <c r="CEB16" s="175"/>
      <c r="CEC16" s="175"/>
      <c r="CED16" s="175"/>
      <c r="CEE16" s="175"/>
      <c r="CEF16" s="175"/>
      <c r="CEG16" s="175"/>
      <c r="CEH16" s="175"/>
      <c r="CEI16" s="175"/>
      <c r="CEJ16" s="175"/>
      <c r="CEK16" s="175"/>
      <c r="CEL16" s="175"/>
      <c r="CEM16" s="175"/>
      <c r="CEN16" s="175"/>
      <c r="CEO16" s="175"/>
      <c r="CEP16" s="175"/>
      <c r="CEQ16" s="175"/>
      <c r="CER16" s="175"/>
      <c r="CES16" s="175"/>
      <c r="CET16" s="175"/>
      <c r="CEU16" s="175"/>
      <c r="CEV16" s="175"/>
      <c r="CEW16" s="175"/>
      <c r="CEX16" s="175"/>
      <c r="CEY16" s="175"/>
      <c r="CEZ16" s="175"/>
      <c r="CFA16" s="175"/>
      <c r="CFB16" s="175"/>
      <c r="CFC16" s="175"/>
      <c r="CFD16" s="175"/>
      <c r="CFE16" s="175"/>
      <c r="CFF16" s="175"/>
      <c r="CFG16" s="175"/>
      <c r="CFH16" s="175"/>
      <c r="CFI16" s="175"/>
      <c r="CFJ16" s="175"/>
      <c r="CFK16" s="175"/>
      <c r="CFL16" s="175"/>
      <c r="CFM16" s="175"/>
      <c r="CFN16" s="175"/>
      <c r="CFO16" s="175"/>
      <c r="CFP16" s="175"/>
      <c r="CFQ16" s="175"/>
      <c r="CFR16" s="175"/>
      <c r="CFS16" s="175"/>
      <c r="CFT16" s="175"/>
      <c r="CFU16" s="175"/>
      <c r="CFV16" s="175"/>
      <c r="CFW16" s="175"/>
      <c r="CFX16" s="175"/>
      <c r="CFY16" s="175"/>
      <c r="CFZ16" s="175"/>
      <c r="CGA16" s="175"/>
      <c r="CGB16" s="175"/>
      <c r="CGC16" s="175"/>
      <c r="CGD16" s="175"/>
      <c r="CGE16" s="175"/>
      <c r="CGF16" s="175"/>
      <c r="CGG16" s="175"/>
      <c r="CGH16" s="175"/>
      <c r="CGI16" s="175"/>
      <c r="CGJ16" s="175"/>
      <c r="CGK16" s="175"/>
      <c r="CGL16" s="175"/>
      <c r="CGM16" s="175"/>
      <c r="CGN16" s="175"/>
      <c r="CGO16" s="175"/>
      <c r="CGP16" s="175"/>
      <c r="CGQ16" s="175"/>
      <c r="CGR16" s="175"/>
      <c r="CGS16" s="175"/>
      <c r="CGT16" s="175"/>
      <c r="CGU16" s="175"/>
      <c r="CGV16" s="175"/>
      <c r="CGW16" s="175"/>
      <c r="CGX16" s="175"/>
      <c r="CGY16" s="175"/>
      <c r="CGZ16" s="175"/>
      <c r="CHA16" s="175"/>
      <c r="CHB16" s="175"/>
      <c r="CHC16" s="175"/>
      <c r="CHD16" s="175"/>
      <c r="CHE16" s="175"/>
      <c r="CHF16" s="175"/>
      <c r="CHG16" s="175"/>
      <c r="CHH16" s="175"/>
      <c r="CHI16" s="175"/>
      <c r="CHJ16" s="175"/>
      <c r="CHK16" s="175"/>
      <c r="CHL16" s="175"/>
      <c r="CHM16" s="175"/>
      <c r="CHN16" s="175"/>
      <c r="CHO16" s="175"/>
      <c r="CHP16" s="175"/>
      <c r="CHQ16" s="175"/>
      <c r="CHR16" s="175"/>
      <c r="CHS16" s="175"/>
      <c r="CHT16" s="175"/>
      <c r="CHU16" s="175"/>
      <c r="CHV16" s="175"/>
      <c r="CHW16" s="175"/>
      <c r="CHX16" s="175"/>
      <c r="CHY16" s="175"/>
      <c r="CHZ16" s="175"/>
      <c r="CIA16" s="175"/>
      <c r="CIB16" s="175"/>
      <c r="CIC16" s="175"/>
      <c r="CID16" s="175"/>
      <c r="CIE16" s="175"/>
      <c r="CIF16" s="175"/>
      <c r="CIG16" s="175"/>
      <c r="CIH16" s="175"/>
      <c r="CII16" s="175"/>
      <c r="CIJ16" s="175"/>
      <c r="CIK16" s="175"/>
      <c r="CIL16" s="175"/>
      <c r="CIM16" s="175"/>
      <c r="CIN16" s="175"/>
      <c r="CIO16" s="175"/>
      <c r="CIP16" s="175"/>
      <c r="CIQ16" s="175"/>
      <c r="CIR16" s="175"/>
      <c r="CIS16" s="175"/>
      <c r="CIT16" s="175"/>
      <c r="CIU16" s="175"/>
      <c r="CIV16" s="175"/>
      <c r="CIW16" s="175"/>
      <c r="CIX16" s="175"/>
      <c r="CIY16" s="175"/>
      <c r="CIZ16" s="175"/>
      <c r="CJA16" s="175"/>
      <c r="CJB16" s="175"/>
      <c r="CJC16" s="175"/>
      <c r="CJD16" s="175"/>
      <c r="CJE16" s="175"/>
      <c r="CJF16" s="175"/>
      <c r="CJG16" s="175"/>
      <c r="CJH16" s="175"/>
      <c r="CJI16" s="175"/>
      <c r="CJJ16" s="175"/>
      <c r="CJK16" s="175"/>
      <c r="CJL16" s="175"/>
      <c r="CJM16" s="175"/>
      <c r="CJN16" s="175"/>
      <c r="CJO16" s="175"/>
      <c r="CJP16" s="175"/>
      <c r="CJQ16" s="175"/>
      <c r="CJR16" s="175"/>
      <c r="CJS16" s="175"/>
      <c r="CJT16" s="175"/>
      <c r="CJU16" s="175"/>
      <c r="CJV16" s="175"/>
      <c r="CJW16" s="175"/>
      <c r="CJX16" s="175"/>
      <c r="CJY16" s="175"/>
      <c r="CJZ16" s="175"/>
      <c r="CKA16" s="175"/>
      <c r="CKB16" s="175"/>
      <c r="CKC16" s="175"/>
      <c r="CKD16" s="175"/>
      <c r="CKE16" s="175"/>
      <c r="CKF16" s="175"/>
      <c r="CKG16" s="175"/>
      <c r="CKH16" s="175"/>
      <c r="CKI16" s="175"/>
      <c r="CKJ16" s="175"/>
      <c r="CKK16" s="175"/>
      <c r="CKL16" s="175"/>
      <c r="CKM16" s="175"/>
      <c r="CKN16" s="175"/>
      <c r="CKO16" s="175"/>
      <c r="CKP16" s="175"/>
      <c r="CKQ16" s="175"/>
      <c r="CKR16" s="175"/>
      <c r="CKS16" s="175"/>
      <c r="CKT16" s="175"/>
      <c r="CKU16" s="175"/>
      <c r="CKV16" s="175"/>
      <c r="CKW16" s="175"/>
      <c r="CKX16" s="175"/>
      <c r="CKY16" s="175"/>
      <c r="CKZ16" s="175"/>
      <c r="CLA16" s="175"/>
      <c r="CLB16" s="175"/>
      <c r="CLC16" s="175"/>
      <c r="CLD16" s="175"/>
      <c r="CLE16" s="175"/>
      <c r="CLF16" s="175"/>
      <c r="CLG16" s="175"/>
      <c r="CLH16" s="175"/>
      <c r="CLI16" s="175"/>
      <c r="CLJ16" s="175"/>
      <c r="CLK16" s="175"/>
      <c r="CLL16" s="175"/>
      <c r="CLM16" s="175"/>
      <c r="CLN16" s="175"/>
      <c r="CLO16" s="175"/>
      <c r="CLP16" s="175"/>
      <c r="CLQ16" s="175"/>
      <c r="CLR16" s="175"/>
      <c r="CLS16" s="175"/>
      <c r="CLT16" s="175"/>
      <c r="CLU16" s="175"/>
      <c r="CLV16" s="175"/>
      <c r="CLW16" s="175"/>
      <c r="CLX16" s="175"/>
      <c r="CLY16" s="175"/>
      <c r="CLZ16" s="175"/>
      <c r="CMA16" s="175"/>
      <c r="CMB16" s="175"/>
      <c r="CMC16" s="175"/>
      <c r="CMD16" s="175"/>
      <c r="CME16" s="175"/>
      <c r="CMF16" s="175"/>
      <c r="CMG16" s="175"/>
      <c r="CMH16" s="175"/>
      <c r="CMI16" s="175"/>
      <c r="CMJ16" s="175"/>
      <c r="CMK16" s="175"/>
      <c r="CML16" s="175"/>
      <c r="CMM16" s="175"/>
      <c r="CMN16" s="175"/>
      <c r="CMO16" s="175"/>
      <c r="CMP16" s="175"/>
      <c r="CMQ16" s="175"/>
      <c r="CMR16" s="175"/>
      <c r="CMS16" s="175"/>
      <c r="CMT16" s="175"/>
      <c r="CMU16" s="175"/>
      <c r="CMV16" s="175"/>
      <c r="CMW16" s="175"/>
      <c r="CMX16" s="175"/>
      <c r="CMY16" s="175"/>
      <c r="CMZ16" s="175"/>
      <c r="CNA16" s="175"/>
      <c r="CNB16" s="175"/>
      <c r="CNC16" s="175"/>
      <c r="CND16" s="175"/>
      <c r="CNE16" s="175"/>
      <c r="CNF16" s="175"/>
      <c r="CNG16" s="175"/>
      <c r="CNH16" s="175"/>
      <c r="CNI16" s="175"/>
      <c r="CNJ16" s="175"/>
      <c r="CNK16" s="175"/>
      <c r="CNL16" s="175"/>
      <c r="CNM16" s="175"/>
      <c r="CNN16" s="175"/>
      <c r="CNO16" s="175"/>
      <c r="CNP16" s="175"/>
      <c r="CNQ16" s="175"/>
      <c r="CNR16" s="175"/>
      <c r="CNS16" s="175"/>
      <c r="CNT16" s="175"/>
      <c r="CNU16" s="175"/>
      <c r="CNV16" s="175"/>
      <c r="CNW16" s="175"/>
      <c r="CNX16" s="175"/>
      <c r="CNY16" s="175"/>
      <c r="CNZ16" s="175"/>
      <c r="COA16" s="175"/>
      <c r="COB16" s="175"/>
      <c r="COC16" s="175"/>
      <c r="COD16" s="175"/>
      <c r="COE16" s="175"/>
      <c r="COF16" s="175"/>
      <c r="COG16" s="175"/>
      <c r="COH16" s="175"/>
      <c r="COI16" s="175"/>
      <c r="COJ16" s="175"/>
      <c r="COK16" s="175"/>
      <c r="COL16" s="175"/>
      <c r="COM16" s="175"/>
      <c r="CON16" s="175"/>
      <c r="COO16" s="175"/>
      <c r="COP16" s="175"/>
      <c r="COQ16" s="175"/>
      <c r="COR16" s="175"/>
      <c r="COS16" s="175"/>
      <c r="COT16" s="175"/>
      <c r="COU16" s="175"/>
      <c r="COV16" s="175"/>
      <c r="COW16" s="175"/>
      <c r="COX16" s="175"/>
      <c r="COY16" s="175"/>
      <c r="COZ16" s="175"/>
      <c r="CPA16" s="175"/>
      <c r="CPB16" s="175"/>
      <c r="CPC16" s="175"/>
      <c r="CPD16" s="175"/>
      <c r="CPE16" s="175"/>
      <c r="CPF16" s="175"/>
      <c r="CPG16" s="175"/>
      <c r="CPH16" s="175"/>
      <c r="CPI16" s="175"/>
      <c r="CPJ16" s="175"/>
      <c r="CPK16" s="175"/>
      <c r="CPL16" s="175"/>
      <c r="CPM16" s="175"/>
      <c r="CPN16" s="175"/>
      <c r="CPO16" s="175"/>
      <c r="CPP16" s="175"/>
      <c r="CPQ16" s="175"/>
      <c r="CPR16" s="175"/>
      <c r="CPS16" s="175"/>
      <c r="CPT16" s="175"/>
      <c r="CPU16" s="175"/>
      <c r="CPV16" s="175"/>
      <c r="CPW16" s="175"/>
      <c r="CPX16" s="175"/>
      <c r="CPY16" s="175"/>
      <c r="CPZ16" s="175"/>
      <c r="CQA16" s="175"/>
      <c r="CQB16" s="175"/>
      <c r="CQC16" s="175"/>
      <c r="CQD16" s="175"/>
      <c r="CQE16" s="175"/>
      <c r="CQF16" s="175"/>
      <c r="CQG16" s="175"/>
      <c r="CQH16" s="175"/>
      <c r="CQI16" s="175"/>
      <c r="CQJ16" s="175"/>
      <c r="CQK16" s="175"/>
      <c r="CQL16" s="175"/>
      <c r="CQM16" s="175"/>
      <c r="CQN16" s="175"/>
      <c r="CQO16" s="175"/>
      <c r="CQP16" s="175"/>
      <c r="CQQ16" s="175"/>
      <c r="CQR16" s="175"/>
      <c r="CQS16" s="175"/>
      <c r="CQT16" s="175"/>
      <c r="CQU16" s="175"/>
      <c r="CQV16" s="175"/>
      <c r="CQW16" s="175"/>
      <c r="CQX16" s="175"/>
      <c r="CQY16" s="175"/>
      <c r="CQZ16" s="175"/>
      <c r="CRA16" s="175"/>
      <c r="CRB16" s="175"/>
      <c r="CRC16" s="175"/>
      <c r="CRD16" s="175"/>
      <c r="CRE16" s="175"/>
      <c r="CRF16" s="175"/>
      <c r="CRG16" s="175"/>
      <c r="CRH16" s="175"/>
      <c r="CRI16" s="175"/>
      <c r="CRJ16" s="175"/>
      <c r="CRK16" s="175"/>
      <c r="CRL16" s="175"/>
      <c r="CRM16" s="175"/>
      <c r="CRN16" s="175"/>
      <c r="CRO16" s="175"/>
      <c r="CRP16" s="175"/>
      <c r="CRQ16" s="175"/>
      <c r="CRR16" s="175"/>
      <c r="CRS16" s="175"/>
      <c r="CRT16" s="175"/>
      <c r="CRU16" s="175"/>
      <c r="CRV16" s="175"/>
      <c r="CRW16" s="175"/>
      <c r="CRX16" s="175"/>
      <c r="CRY16" s="175"/>
      <c r="CRZ16" s="175"/>
      <c r="CSA16" s="175"/>
      <c r="CSB16" s="175"/>
      <c r="CSC16" s="175"/>
      <c r="CSD16" s="175"/>
      <c r="CSE16" s="175"/>
      <c r="CSF16" s="175"/>
      <c r="CSG16" s="175"/>
      <c r="CSH16" s="175"/>
      <c r="CSI16" s="175"/>
      <c r="CSJ16" s="175"/>
      <c r="CSK16" s="175"/>
      <c r="CSL16" s="175"/>
      <c r="CSM16" s="175"/>
      <c r="CSN16" s="175"/>
      <c r="CSO16" s="175"/>
      <c r="CSP16" s="175"/>
      <c r="CSQ16" s="175"/>
      <c r="CSR16" s="175"/>
      <c r="CSS16" s="175"/>
      <c r="CST16" s="175"/>
      <c r="CSU16" s="175"/>
      <c r="CSV16" s="175"/>
      <c r="CSW16" s="175"/>
      <c r="CSX16" s="175"/>
      <c r="CSY16" s="175"/>
      <c r="CSZ16" s="175"/>
      <c r="CTA16" s="175"/>
      <c r="CTB16" s="175"/>
      <c r="CTC16" s="175"/>
      <c r="CTD16" s="175"/>
      <c r="CTE16" s="175"/>
      <c r="CTF16" s="175"/>
      <c r="CTG16" s="175"/>
      <c r="CTH16" s="175"/>
      <c r="CTI16" s="175"/>
      <c r="CTJ16" s="175"/>
      <c r="CTK16" s="175"/>
      <c r="CTL16" s="175"/>
      <c r="CTM16" s="175"/>
      <c r="CTN16" s="175"/>
      <c r="CTO16" s="175"/>
      <c r="CTP16" s="175"/>
      <c r="CTQ16" s="175"/>
      <c r="CTR16" s="175"/>
      <c r="CTS16" s="175"/>
      <c r="CTT16" s="175"/>
      <c r="CTU16" s="175"/>
      <c r="CTV16" s="175"/>
      <c r="CTW16" s="175"/>
      <c r="CTX16" s="175"/>
      <c r="CTY16" s="175"/>
      <c r="CTZ16" s="175"/>
      <c r="CUA16" s="175"/>
      <c r="CUB16" s="175"/>
      <c r="CUC16" s="175"/>
      <c r="CUD16" s="175"/>
      <c r="CUE16" s="175"/>
      <c r="CUF16" s="175"/>
      <c r="CUG16" s="175"/>
      <c r="CUH16" s="175"/>
      <c r="CUI16" s="175"/>
      <c r="CUJ16" s="175"/>
      <c r="CUK16" s="175"/>
      <c r="CUL16" s="175"/>
      <c r="CUM16" s="175"/>
      <c r="CUN16" s="175"/>
      <c r="CUO16" s="175"/>
      <c r="CUP16" s="175"/>
      <c r="CUQ16" s="175"/>
      <c r="CUR16" s="175"/>
      <c r="CUS16" s="175"/>
      <c r="CUT16" s="175"/>
      <c r="CUU16" s="175"/>
      <c r="CUV16" s="175"/>
      <c r="CUW16" s="175"/>
      <c r="CUX16" s="175"/>
      <c r="CUY16" s="175"/>
      <c r="CUZ16" s="175"/>
      <c r="CVA16" s="175"/>
      <c r="CVB16" s="175"/>
      <c r="CVC16" s="175"/>
      <c r="CVD16" s="175"/>
      <c r="CVE16" s="175"/>
      <c r="CVF16" s="175"/>
      <c r="CVG16" s="175"/>
      <c r="CVH16" s="175"/>
      <c r="CVI16" s="175"/>
      <c r="CVJ16" s="175"/>
      <c r="CVK16" s="175"/>
      <c r="CVL16" s="175"/>
      <c r="CVM16" s="175"/>
      <c r="CVN16" s="175"/>
      <c r="CVO16" s="175"/>
      <c r="CVP16" s="175"/>
      <c r="CVQ16" s="175"/>
      <c r="CVR16" s="175"/>
      <c r="CVS16" s="175"/>
      <c r="CVT16" s="175"/>
      <c r="CVU16" s="175"/>
      <c r="CVV16" s="175"/>
      <c r="CVW16" s="175"/>
      <c r="CVX16" s="175"/>
      <c r="CVY16" s="175"/>
      <c r="CVZ16" s="175"/>
      <c r="CWA16" s="175"/>
      <c r="CWB16" s="175"/>
      <c r="CWC16" s="175"/>
      <c r="CWD16" s="175"/>
      <c r="CWE16" s="175"/>
      <c r="CWF16" s="175"/>
      <c r="CWG16" s="175"/>
      <c r="CWH16" s="175"/>
      <c r="CWI16" s="175"/>
      <c r="CWJ16" s="175"/>
      <c r="CWK16" s="175"/>
      <c r="CWL16" s="175"/>
      <c r="CWM16" s="175"/>
      <c r="CWN16" s="175"/>
      <c r="CWO16" s="175"/>
      <c r="CWP16" s="175"/>
      <c r="CWQ16" s="175"/>
      <c r="CWR16" s="175"/>
      <c r="CWS16" s="175"/>
      <c r="CWT16" s="175"/>
      <c r="CWU16" s="175"/>
      <c r="CWV16" s="175"/>
      <c r="CWW16" s="175"/>
      <c r="CWX16" s="175"/>
      <c r="CWY16" s="175"/>
      <c r="CWZ16" s="175"/>
      <c r="CXA16" s="175"/>
      <c r="CXB16" s="175"/>
      <c r="CXC16" s="175"/>
      <c r="CXD16" s="175"/>
      <c r="CXE16" s="175"/>
      <c r="CXF16" s="175"/>
      <c r="CXG16" s="175"/>
      <c r="CXH16" s="175"/>
      <c r="CXI16" s="175"/>
      <c r="CXJ16" s="175"/>
      <c r="CXK16" s="175"/>
      <c r="CXL16" s="175"/>
      <c r="CXM16" s="175"/>
      <c r="CXN16" s="175"/>
      <c r="CXO16" s="175"/>
      <c r="CXP16" s="175"/>
      <c r="CXQ16" s="175"/>
      <c r="CXR16" s="175"/>
      <c r="CXS16" s="175"/>
      <c r="CXT16" s="175"/>
      <c r="CXU16" s="175"/>
      <c r="CXV16" s="175"/>
      <c r="CXW16" s="175"/>
      <c r="CXX16" s="175"/>
      <c r="CXY16" s="175"/>
      <c r="CXZ16" s="175"/>
      <c r="CYA16" s="175"/>
      <c r="CYB16" s="175"/>
      <c r="CYC16" s="175"/>
      <c r="CYD16" s="175"/>
      <c r="CYE16" s="175"/>
      <c r="CYF16" s="175"/>
      <c r="CYG16" s="175"/>
      <c r="CYH16" s="175"/>
      <c r="CYI16" s="175"/>
      <c r="CYJ16" s="175"/>
      <c r="CYK16" s="175"/>
      <c r="CYL16" s="175"/>
      <c r="CYM16" s="175"/>
      <c r="CYN16" s="175"/>
      <c r="CYO16" s="175"/>
      <c r="CYP16" s="175"/>
      <c r="CYQ16" s="175"/>
      <c r="CYR16" s="175"/>
      <c r="CYS16" s="175"/>
      <c r="CYT16" s="175"/>
      <c r="CYU16" s="175"/>
      <c r="CYV16" s="175"/>
      <c r="CYW16" s="175"/>
      <c r="CYX16" s="175"/>
      <c r="CYY16" s="175"/>
      <c r="CYZ16" s="175"/>
      <c r="CZA16" s="175"/>
      <c r="CZB16" s="175"/>
      <c r="CZC16" s="175"/>
      <c r="CZD16" s="175"/>
      <c r="CZE16" s="175"/>
      <c r="CZF16" s="175"/>
      <c r="CZG16" s="175"/>
      <c r="CZH16" s="175"/>
      <c r="CZI16" s="175"/>
      <c r="CZJ16" s="175"/>
      <c r="CZK16" s="175"/>
      <c r="CZL16" s="175"/>
      <c r="CZM16" s="175"/>
      <c r="CZN16" s="175"/>
      <c r="CZO16" s="175"/>
      <c r="CZP16" s="175"/>
      <c r="CZQ16" s="175"/>
      <c r="CZR16" s="175"/>
      <c r="CZS16" s="175"/>
      <c r="CZT16" s="175"/>
      <c r="CZU16" s="175"/>
      <c r="CZV16" s="175"/>
      <c r="CZW16" s="175"/>
      <c r="CZX16" s="175"/>
      <c r="CZY16" s="175"/>
      <c r="CZZ16" s="175"/>
      <c r="DAA16" s="175"/>
      <c r="DAB16" s="175"/>
      <c r="DAC16" s="175"/>
      <c r="DAD16" s="175"/>
      <c r="DAE16" s="175"/>
      <c r="DAF16" s="175"/>
      <c r="DAG16" s="175"/>
      <c r="DAH16" s="175"/>
      <c r="DAI16" s="175"/>
      <c r="DAJ16" s="175"/>
      <c r="DAK16" s="175"/>
      <c r="DAL16" s="175"/>
      <c r="DAM16" s="175"/>
      <c r="DAN16" s="175"/>
      <c r="DAO16" s="175"/>
      <c r="DAP16" s="175"/>
      <c r="DAQ16" s="175"/>
      <c r="DAR16" s="175"/>
      <c r="DAS16" s="175"/>
      <c r="DAT16" s="175"/>
      <c r="DAU16" s="175"/>
      <c r="DAV16" s="175"/>
      <c r="DAW16" s="175"/>
      <c r="DAX16" s="175"/>
      <c r="DAY16" s="175"/>
      <c r="DAZ16" s="175"/>
      <c r="DBA16" s="175"/>
      <c r="DBB16" s="175"/>
      <c r="DBC16" s="175"/>
      <c r="DBD16" s="175"/>
      <c r="DBE16" s="175"/>
      <c r="DBF16" s="175"/>
      <c r="DBG16" s="175"/>
      <c r="DBH16" s="175"/>
      <c r="DBI16" s="175"/>
      <c r="DBJ16" s="175"/>
      <c r="DBK16" s="175"/>
      <c r="DBL16" s="175"/>
      <c r="DBM16" s="175"/>
      <c r="DBN16" s="175"/>
      <c r="DBO16" s="175"/>
      <c r="DBP16" s="175"/>
      <c r="DBQ16" s="175"/>
      <c r="DBR16" s="175"/>
      <c r="DBS16" s="175"/>
      <c r="DBT16" s="175"/>
      <c r="DBU16" s="175"/>
      <c r="DBV16" s="175"/>
      <c r="DBW16" s="175"/>
      <c r="DBX16" s="175"/>
      <c r="DBY16" s="175"/>
      <c r="DBZ16" s="175"/>
      <c r="DCA16" s="175"/>
      <c r="DCB16" s="175"/>
      <c r="DCC16" s="175"/>
      <c r="DCD16" s="175"/>
      <c r="DCE16" s="175"/>
      <c r="DCF16" s="175"/>
      <c r="DCG16" s="175"/>
      <c r="DCH16" s="175"/>
      <c r="DCI16" s="175"/>
      <c r="DCJ16" s="175"/>
      <c r="DCK16" s="175"/>
      <c r="DCL16" s="175"/>
      <c r="DCM16" s="175"/>
      <c r="DCN16" s="175"/>
      <c r="DCO16" s="175"/>
      <c r="DCP16" s="175"/>
      <c r="DCQ16" s="175"/>
      <c r="DCR16" s="175"/>
      <c r="DCS16" s="175"/>
      <c r="DCT16" s="175"/>
      <c r="DCU16" s="175"/>
      <c r="DCV16" s="175"/>
      <c r="DCW16" s="175"/>
      <c r="DCX16" s="175"/>
      <c r="DCY16" s="175"/>
      <c r="DCZ16" s="175"/>
      <c r="DDA16" s="175"/>
      <c r="DDB16" s="175"/>
      <c r="DDC16" s="175"/>
      <c r="DDD16" s="175"/>
      <c r="DDE16" s="175"/>
      <c r="DDF16" s="175"/>
      <c r="DDG16" s="175"/>
      <c r="DDH16" s="175"/>
      <c r="DDI16" s="175"/>
      <c r="DDJ16" s="175"/>
      <c r="DDK16" s="175"/>
      <c r="DDL16" s="175"/>
      <c r="DDM16" s="175"/>
      <c r="DDN16" s="175"/>
      <c r="DDO16" s="175"/>
      <c r="DDP16" s="175"/>
      <c r="DDQ16" s="175"/>
      <c r="DDR16" s="175"/>
      <c r="DDS16" s="175"/>
      <c r="DDT16" s="175"/>
      <c r="DDU16" s="175"/>
      <c r="DDV16" s="175"/>
      <c r="DDW16" s="175"/>
      <c r="DDX16" s="175"/>
      <c r="DDY16" s="175"/>
      <c r="DDZ16" s="175"/>
      <c r="DEA16" s="175"/>
      <c r="DEB16" s="175"/>
      <c r="DEC16" s="175"/>
      <c r="DED16" s="175"/>
      <c r="DEE16" s="175"/>
      <c r="DEF16" s="175"/>
      <c r="DEG16" s="175"/>
      <c r="DEH16" s="175"/>
      <c r="DEI16" s="175"/>
      <c r="DEJ16" s="175"/>
      <c r="DEK16" s="175"/>
      <c r="DEL16" s="175"/>
      <c r="DEM16" s="175"/>
      <c r="DEN16" s="175"/>
      <c r="DEO16" s="175"/>
      <c r="DEP16" s="175"/>
      <c r="DEQ16" s="175"/>
      <c r="DER16" s="175"/>
      <c r="DES16" s="175"/>
      <c r="DET16" s="175"/>
      <c r="DEU16" s="175"/>
      <c r="DEV16" s="175"/>
      <c r="DEW16" s="175"/>
      <c r="DEX16" s="175"/>
      <c r="DEY16" s="175"/>
      <c r="DEZ16" s="175"/>
      <c r="DFA16" s="175"/>
      <c r="DFB16" s="175"/>
      <c r="DFC16" s="175"/>
      <c r="DFD16" s="175"/>
      <c r="DFE16" s="175"/>
      <c r="DFF16" s="175"/>
      <c r="DFG16" s="175"/>
      <c r="DFH16" s="175"/>
      <c r="DFI16" s="175"/>
      <c r="DFJ16" s="175"/>
      <c r="DFK16" s="175"/>
      <c r="DFL16" s="175"/>
      <c r="DFM16" s="175"/>
      <c r="DFN16" s="175"/>
      <c r="DFO16" s="175"/>
      <c r="DFP16" s="175"/>
      <c r="DFQ16" s="175"/>
      <c r="DFR16" s="175"/>
      <c r="DFS16" s="175"/>
      <c r="DFT16" s="175"/>
      <c r="DFU16" s="175"/>
      <c r="DFV16" s="175"/>
      <c r="DFW16" s="175"/>
      <c r="DFX16" s="175"/>
      <c r="DFY16" s="175"/>
      <c r="DFZ16" s="175"/>
      <c r="DGA16" s="175"/>
      <c r="DGB16" s="175"/>
      <c r="DGC16" s="175"/>
      <c r="DGD16" s="175"/>
      <c r="DGE16" s="175"/>
      <c r="DGF16" s="175"/>
      <c r="DGG16" s="175"/>
      <c r="DGH16" s="175"/>
      <c r="DGI16" s="175"/>
      <c r="DGJ16" s="175"/>
      <c r="DGK16" s="175"/>
      <c r="DGL16" s="175"/>
      <c r="DGM16" s="175"/>
      <c r="DGN16" s="175"/>
      <c r="DGO16" s="175"/>
      <c r="DGP16" s="175"/>
      <c r="DGQ16" s="175"/>
      <c r="DGR16" s="175"/>
      <c r="DGS16" s="175"/>
      <c r="DGT16" s="175"/>
      <c r="DGU16" s="175"/>
      <c r="DGV16" s="175"/>
      <c r="DGW16" s="175"/>
      <c r="DGX16" s="175"/>
      <c r="DGY16" s="175"/>
      <c r="DGZ16" s="175"/>
      <c r="DHA16" s="175"/>
      <c r="DHB16" s="175"/>
      <c r="DHC16" s="175"/>
      <c r="DHD16" s="175"/>
      <c r="DHE16" s="175"/>
      <c r="DHF16" s="175"/>
      <c r="DHG16" s="175"/>
      <c r="DHH16" s="175"/>
      <c r="DHI16" s="175"/>
      <c r="DHJ16" s="175"/>
      <c r="DHK16" s="175"/>
      <c r="DHL16" s="175"/>
      <c r="DHM16" s="175"/>
      <c r="DHN16" s="175"/>
      <c r="DHO16" s="175"/>
      <c r="DHP16" s="175"/>
      <c r="DHQ16" s="175"/>
      <c r="DHR16" s="175"/>
      <c r="DHS16" s="175"/>
      <c r="DHT16" s="175"/>
      <c r="DHU16" s="175"/>
      <c r="DHV16" s="175"/>
      <c r="DHW16" s="175"/>
      <c r="DHX16" s="175"/>
      <c r="DHY16" s="175"/>
      <c r="DHZ16" s="175"/>
      <c r="DIA16" s="175"/>
      <c r="DIB16" s="175"/>
      <c r="DIC16" s="175"/>
      <c r="DID16" s="175"/>
      <c r="DIE16" s="175"/>
      <c r="DIF16" s="175"/>
      <c r="DIG16" s="175"/>
      <c r="DIH16" s="175"/>
      <c r="DII16" s="175"/>
      <c r="DIJ16" s="175"/>
      <c r="DIK16" s="175"/>
      <c r="DIL16" s="175"/>
      <c r="DIM16" s="175"/>
      <c r="DIN16" s="175"/>
      <c r="DIO16" s="175"/>
      <c r="DIP16" s="175"/>
      <c r="DIQ16" s="175"/>
      <c r="DIR16" s="175"/>
      <c r="DIS16" s="175"/>
      <c r="DIT16" s="175"/>
      <c r="DIU16" s="175"/>
      <c r="DIV16" s="175"/>
      <c r="DIW16" s="175"/>
      <c r="DIX16" s="175"/>
      <c r="DIY16" s="175"/>
      <c r="DIZ16" s="175"/>
      <c r="DJA16" s="175"/>
      <c r="DJB16" s="175"/>
      <c r="DJC16" s="175"/>
      <c r="DJD16" s="175"/>
      <c r="DJE16" s="175"/>
      <c r="DJF16" s="175"/>
      <c r="DJG16" s="175"/>
      <c r="DJH16" s="175"/>
      <c r="DJI16" s="175"/>
      <c r="DJJ16" s="175"/>
      <c r="DJK16" s="175"/>
      <c r="DJL16" s="175"/>
      <c r="DJM16" s="175"/>
      <c r="DJN16" s="175"/>
      <c r="DJO16" s="175"/>
      <c r="DJP16" s="175"/>
      <c r="DJQ16" s="175"/>
      <c r="DJR16" s="175"/>
      <c r="DJS16" s="175"/>
      <c r="DJT16" s="175"/>
      <c r="DJU16" s="175"/>
      <c r="DJV16" s="175"/>
      <c r="DJW16" s="175"/>
      <c r="DJX16" s="175"/>
      <c r="DJY16" s="175"/>
      <c r="DJZ16" s="175"/>
      <c r="DKA16" s="175"/>
      <c r="DKB16" s="175"/>
      <c r="DKC16" s="175"/>
      <c r="DKD16" s="175"/>
      <c r="DKE16" s="175"/>
      <c r="DKF16" s="175"/>
      <c r="DKG16" s="175"/>
      <c r="DKH16" s="175"/>
      <c r="DKI16" s="175"/>
      <c r="DKJ16" s="175"/>
      <c r="DKK16" s="175"/>
      <c r="DKL16" s="175"/>
      <c r="DKM16" s="175"/>
      <c r="DKN16" s="175"/>
      <c r="DKO16" s="175"/>
      <c r="DKP16" s="175"/>
      <c r="DKQ16" s="175"/>
      <c r="DKR16" s="175"/>
      <c r="DKS16" s="175"/>
      <c r="DKT16" s="175"/>
      <c r="DKU16" s="175"/>
      <c r="DKV16" s="175"/>
      <c r="DKW16" s="175"/>
      <c r="DKX16" s="175"/>
      <c r="DKY16" s="175"/>
      <c r="DKZ16" s="175"/>
      <c r="DLA16" s="175"/>
      <c r="DLB16" s="175"/>
      <c r="DLC16" s="175"/>
      <c r="DLD16" s="175"/>
      <c r="DLE16" s="175"/>
      <c r="DLF16" s="175"/>
      <c r="DLG16" s="175"/>
      <c r="DLH16" s="175"/>
      <c r="DLI16" s="175"/>
      <c r="DLJ16" s="175"/>
      <c r="DLK16" s="175"/>
      <c r="DLL16" s="175"/>
      <c r="DLM16" s="175"/>
      <c r="DLN16" s="175"/>
      <c r="DLO16" s="175"/>
      <c r="DLP16" s="175"/>
      <c r="DLQ16" s="175"/>
      <c r="DLR16" s="175"/>
      <c r="DLS16" s="175"/>
      <c r="DLT16" s="175"/>
      <c r="DLU16" s="175"/>
      <c r="DLV16" s="175"/>
      <c r="DLW16" s="175"/>
      <c r="DLX16" s="175"/>
      <c r="DLY16" s="175"/>
      <c r="DLZ16" s="175"/>
      <c r="DMA16" s="175"/>
      <c r="DMB16" s="175"/>
      <c r="DMC16" s="175"/>
      <c r="DMD16" s="175"/>
      <c r="DME16" s="175"/>
      <c r="DMF16" s="175"/>
      <c r="DMG16" s="175"/>
      <c r="DMH16" s="175"/>
      <c r="DMI16" s="175"/>
      <c r="DMJ16" s="175"/>
      <c r="DMK16" s="175"/>
      <c r="DML16" s="175"/>
      <c r="DMM16" s="175"/>
      <c r="DMN16" s="175"/>
      <c r="DMO16" s="175"/>
      <c r="DMP16" s="175"/>
      <c r="DMQ16" s="175"/>
      <c r="DMR16" s="175"/>
      <c r="DMS16" s="175"/>
      <c r="DMT16" s="175"/>
      <c r="DMU16" s="175"/>
      <c r="DMV16" s="175"/>
      <c r="DMW16" s="175"/>
      <c r="DMX16" s="175"/>
      <c r="DMY16" s="175"/>
      <c r="DMZ16" s="175"/>
      <c r="DNA16" s="175"/>
      <c r="DNB16" s="175"/>
      <c r="DNC16" s="175"/>
      <c r="DND16" s="175"/>
      <c r="DNE16" s="175"/>
      <c r="DNF16" s="175"/>
      <c r="DNG16" s="175"/>
      <c r="DNH16" s="175"/>
      <c r="DNI16" s="175"/>
      <c r="DNJ16" s="175"/>
      <c r="DNK16" s="175"/>
      <c r="DNL16" s="175"/>
      <c r="DNM16" s="175"/>
      <c r="DNN16" s="175"/>
      <c r="DNO16" s="175"/>
      <c r="DNP16" s="175"/>
      <c r="DNQ16" s="175"/>
      <c r="DNR16" s="175"/>
      <c r="DNS16" s="175"/>
      <c r="DNT16" s="175"/>
      <c r="DNU16" s="175"/>
      <c r="DNV16" s="175"/>
      <c r="DNW16" s="175"/>
      <c r="DNX16" s="175"/>
      <c r="DNY16" s="175"/>
      <c r="DNZ16" s="175"/>
      <c r="DOA16" s="175"/>
      <c r="DOB16" s="175"/>
      <c r="DOC16" s="175"/>
      <c r="DOD16" s="175"/>
      <c r="DOE16" s="175"/>
      <c r="DOF16" s="175"/>
      <c r="DOG16" s="175"/>
      <c r="DOH16" s="175"/>
      <c r="DOI16" s="175"/>
      <c r="DOJ16" s="175"/>
      <c r="DOK16" s="175"/>
      <c r="DOL16" s="175"/>
      <c r="DOM16" s="175"/>
      <c r="DON16" s="175"/>
      <c r="DOO16" s="175"/>
      <c r="DOP16" s="175"/>
      <c r="DOQ16" s="175"/>
      <c r="DOR16" s="175"/>
      <c r="DOS16" s="175"/>
      <c r="DOT16" s="175"/>
      <c r="DOU16" s="175"/>
      <c r="DOV16" s="175"/>
      <c r="DOW16" s="175"/>
      <c r="DOX16" s="175"/>
      <c r="DOY16" s="175"/>
      <c r="DOZ16" s="175"/>
      <c r="DPA16" s="175"/>
      <c r="DPB16" s="175"/>
      <c r="DPC16" s="175"/>
      <c r="DPD16" s="175"/>
      <c r="DPE16" s="175"/>
      <c r="DPF16" s="175"/>
      <c r="DPG16" s="175"/>
      <c r="DPH16" s="175"/>
      <c r="DPI16" s="175"/>
      <c r="DPJ16" s="175"/>
      <c r="DPK16" s="175"/>
      <c r="DPL16" s="175"/>
      <c r="DPM16" s="175"/>
      <c r="DPN16" s="175"/>
      <c r="DPO16" s="175"/>
      <c r="DPP16" s="175"/>
      <c r="DPQ16" s="175"/>
      <c r="DPR16" s="175"/>
      <c r="DPS16" s="175"/>
      <c r="DPT16" s="175"/>
      <c r="DPU16" s="175"/>
      <c r="DPV16" s="175"/>
      <c r="DPW16" s="175"/>
      <c r="DPX16" s="175"/>
      <c r="DPY16" s="175"/>
      <c r="DPZ16" s="175"/>
      <c r="DQA16" s="175"/>
      <c r="DQB16" s="175"/>
      <c r="DQC16" s="175"/>
      <c r="DQD16" s="175"/>
      <c r="DQE16" s="175"/>
      <c r="DQF16" s="175"/>
      <c r="DQG16" s="175"/>
      <c r="DQH16" s="175"/>
      <c r="DQI16" s="175"/>
      <c r="DQJ16" s="175"/>
      <c r="DQK16" s="175"/>
      <c r="DQL16" s="175"/>
      <c r="DQM16" s="175"/>
      <c r="DQN16" s="175"/>
      <c r="DQO16" s="175"/>
      <c r="DQP16" s="175"/>
      <c r="DQQ16" s="175"/>
      <c r="DQR16" s="175"/>
      <c r="DQS16" s="175"/>
      <c r="DQT16" s="175"/>
      <c r="DQU16" s="175"/>
      <c r="DQV16" s="175"/>
      <c r="DQW16" s="175"/>
      <c r="DQX16" s="175"/>
      <c r="DQY16" s="175"/>
      <c r="DQZ16" s="175"/>
      <c r="DRA16" s="175"/>
      <c r="DRB16" s="175"/>
      <c r="DRC16" s="175"/>
      <c r="DRD16" s="175"/>
      <c r="DRE16" s="175"/>
      <c r="DRF16" s="175"/>
      <c r="DRG16" s="175"/>
      <c r="DRH16" s="175"/>
      <c r="DRI16" s="175"/>
      <c r="DRJ16" s="175"/>
      <c r="DRK16" s="175"/>
      <c r="DRL16" s="175"/>
      <c r="DRM16" s="175"/>
      <c r="DRN16" s="175"/>
      <c r="DRO16" s="175"/>
      <c r="DRP16" s="175"/>
      <c r="DRQ16" s="175"/>
      <c r="DRR16" s="175"/>
      <c r="DRS16" s="175"/>
      <c r="DRT16" s="175"/>
      <c r="DRU16" s="175"/>
      <c r="DRV16" s="175"/>
      <c r="DRW16" s="175"/>
      <c r="DRX16" s="175"/>
      <c r="DRY16" s="175"/>
      <c r="DRZ16" s="175"/>
      <c r="DSA16" s="175"/>
      <c r="DSB16" s="175"/>
      <c r="DSC16" s="175"/>
      <c r="DSD16" s="175"/>
      <c r="DSE16" s="175"/>
      <c r="DSF16" s="175"/>
      <c r="DSG16" s="175"/>
      <c r="DSH16" s="175"/>
      <c r="DSI16" s="175"/>
      <c r="DSJ16" s="175"/>
      <c r="DSK16" s="175"/>
      <c r="DSL16" s="175"/>
      <c r="DSM16" s="175"/>
      <c r="DSN16" s="175"/>
      <c r="DSO16" s="175"/>
      <c r="DSP16" s="175"/>
      <c r="DSQ16" s="175"/>
      <c r="DSR16" s="175"/>
      <c r="DSS16" s="175"/>
      <c r="DST16" s="175"/>
      <c r="DSU16" s="175"/>
      <c r="DSV16" s="175"/>
      <c r="DSW16" s="175"/>
      <c r="DSX16" s="175"/>
      <c r="DSY16" s="175"/>
      <c r="DSZ16" s="175"/>
      <c r="DTA16" s="175"/>
      <c r="DTB16" s="175"/>
      <c r="DTC16" s="175"/>
      <c r="DTD16" s="175"/>
      <c r="DTE16" s="175"/>
      <c r="DTF16" s="175"/>
      <c r="DTG16" s="175"/>
      <c r="DTH16" s="175"/>
      <c r="DTI16" s="175"/>
      <c r="DTJ16" s="175"/>
      <c r="DTK16" s="175"/>
      <c r="DTL16" s="175"/>
      <c r="DTM16" s="175"/>
      <c r="DTN16" s="175"/>
      <c r="DTO16" s="175"/>
      <c r="DTP16" s="175"/>
      <c r="DTQ16" s="175"/>
      <c r="DTR16" s="175"/>
      <c r="DTS16" s="175"/>
      <c r="DTT16" s="175"/>
      <c r="DTU16" s="175"/>
      <c r="DTV16" s="175"/>
      <c r="DTW16" s="175"/>
      <c r="DTX16" s="175"/>
      <c r="DTY16" s="175"/>
      <c r="DTZ16" s="175"/>
      <c r="DUA16" s="175"/>
      <c r="DUB16" s="175"/>
      <c r="DUC16" s="175"/>
      <c r="DUD16" s="175"/>
      <c r="DUE16" s="175"/>
      <c r="DUF16" s="175"/>
      <c r="DUG16" s="175"/>
      <c r="DUH16" s="175"/>
      <c r="DUI16" s="175"/>
      <c r="DUJ16" s="175"/>
      <c r="DUK16" s="175"/>
      <c r="DUL16" s="175"/>
      <c r="DUM16" s="175"/>
      <c r="DUN16" s="175"/>
      <c r="DUO16" s="175"/>
      <c r="DUP16" s="175"/>
      <c r="DUQ16" s="175"/>
      <c r="DUR16" s="175"/>
      <c r="DUS16" s="175"/>
      <c r="DUT16" s="175"/>
      <c r="DUU16" s="175"/>
      <c r="DUV16" s="175"/>
      <c r="DUW16" s="175"/>
      <c r="DUX16" s="175"/>
      <c r="DUY16" s="175"/>
      <c r="DUZ16" s="175"/>
      <c r="DVA16" s="175"/>
      <c r="DVB16" s="175"/>
      <c r="DVC16" s="175"/>
      <c r="DVD16" s="175"/>
      <c r="DVE16" s="175"/>
      <c r="DVF16" s="175"/>
      <c r="DVG16" s="175"/>
      <c r="DVH16" s="175"/>
      <c r="DVI16" s="175"/>
      <c r="DVJ16" s="175"/>
      <c r="DVK16" s="175"/>
      <c r="DVL16" s="175"/>
      <c r="DVM16" s="175"/>
      <c r="DVN16" s="175"/>
      <c r="DVO16" s="175"/>
      <c r="DVP16" s="175"/>
      <c r="DVQ16" s="175"/>
      <c r="DVR16" s="175"/>
      <c r="DVS16" s="175"/>
      <c r="DVT16" s="175"/>
      <c r="DVU16" s="175"/>
      <c r="DVV16" s="175"/>
      <c r="DVW16" s="175"/>
      <c r="DVX16" s="175"/>
      <c r="DVY16" s="175"/>
      <c r="DVZ16" s="175"/>
      <c r="DWA16" s="175"/>
      <c r="DWB16" s="175"/>
      <c r="DWC16" s="175"/>
      <c r="DWD16" s="175"/>
      <c r="DWE16" s="175"/>
      <c r="DWF16" s="175"/>
      <c r="DWG16" s="175"/>
      <c r="DWH16" s="175"/>
      <c r="DWI16" s="175"/>
      <c r="DWJ16" s="175"/>
      <c r="DWK16" s="175"/>
      <c r="DWL16" s="175"/>
      <c r="DWM16" s="175"/>
      <c r="DWN16" s="175"/>
      <c r="DWO16" s="175"/>
      <c r="DWP16" s="175"/>
      <c r="DWQ16" s="175"/>
      <c r="DWR16" s="175"/>
      <c r="DWS16" s="175"/>
      <c r="DWT16" s="175"/>
      <c r="DWU16" s="175"/>
      <c r="DWV16" s="175"/>
      <c r="DWW16" s="175"/>
      <c r="DWX16" s="175"/>
      <c r="DWY16" s="175"/>
      <c r="DWZ16" s="175"/>
      <c r="DXA16" s="175"/>
      <c r="DXB16" s="175"/>
      <c r="DXC16" s="175"/>
      <c r="DXD16" s="175"/>
      <c r="DXE16" s="175"/>
      <c r="DXF16" s="175"/>
      <c r="DXG16" s="175"/>
      <c r="DXH16" s="175"/>
      <c r="DXI16" s="175"/>
      <c r="DXJ16" s="175"/>
      <c r="DXK16" s="175"/>
      <c r="DXL16" s="175"/>
      <c r="DXM16" s="175"/>
      <c r="DXN16" s="175"/>
      <c r="DXO16" s="175"/>
      <c r="DXP16" s="175"/>
      <c r="DXQ16" s="175"/>
      <c r="DXR16" s="175"/>
      <c r="DXS16" s="175"/>
      <c r="DXT16" s="175"/>
      <c r="DXU16" s="175"/>
      <c r="DXV16" s="175"/>
      <c r="DXW16" s="175"/>
      <c r="DXX16" s="175"/>
      <c r="DXY16" s="175"/>
      <c r="DXZ16" s="175"/>
      <c r="DYA16" s="175"/>
      <c r="DYB16" s="175"/>
      <c r="DYC16" s="175"/>
      <c r="DYD16" s="175"/>
      <c r="DYE16" s="175"/>
      <c r="DYF16" s="175"/>
      <c r="DYG16" s="175"/>
      <c r="DYH16" s="175"/>
      <c r="DYI16" s="175"/>
      <c r="DYJ16" s="175"/>
      <c r="DYK16" s="175"/>
      <c r="DYL16" s="175"/>
      <c r="DYM16" s="175"/>
      <c r="DYN16" s="175"/>
      <c r="DYO16" s="175"/>
      <c r="DYP16" s="175"/>
      <c r="DYQ16" s="175"/>
      <c r="DYR16" s="175"/>
      <c r="DYS16" s="175"/>
      <c r="DYT16" s="175"/>
      <c r="DYU16" s="175"/>
      <c r="DYV16" s="175"/>
      <c r="DYW16" s="175"/>
      <c r="DYX16" s="175"/>
      <c r="DYY16" s="175"/>
      <c r="DYZ16" s="175"/>
      <c r="DZA16" s="175"/>
      <c r="DZB16" s="175"/>
      <c r="DZC16" s="175"/>
      <c r="DZD16" s="175"/>
      <c r="DZE16" s="175"/>
      <c r="DZF16" s="175"/>
      <c r="DZG16" s="175"/>
      <c r="DZH16" s="175"/>
      <c r="DZI16" s="175"/>
      <c r="DZJ16" s="175"/>
      <c r="DZK16" s="175"/>
      <c r="DZL16" s="175"/>
      <c r="DZM16" s="175"/>
      <c r="DZN16" s="175"/>
      <c r="DZO16" s="175"/>
      <c r="DZP16" s="175"/>
      <c r="DZQ16" s="175"/>
      <c r="DZR16" s="175"/>
      <c r="DZS16" s="175"/>
      <c r="DZT16" s="175"/>
      <c r="DZU16" s="175"/>
      <c r="DZV16" s="175"/>
      <c r="DZW16" s="175"/>
      <c r="DZX16" s="175"/>
      <c r="DZY16" s="175"/>
      <c r="DZZ16" s="175"/>
      <c r="EAA16" s="175"/>
      <c r="EAB16" s="175"/>
      <c r="EAC16" s="175"/>
      <c r="EAD16" s="175"/>
      <c r="EAE16" s="175"/>
      <c r="EAF16" s="175"/>
      <c r="EAG16" s="175"/>
      <c r="EAH16" s="175"/>
      <c r="EAI16" s="175"/>
      <c r="EAJ16" s="175"/>
      <c r="EAK16" s="175"/>
      <c r="EAL16" s="175"/>
      <c r="EAM16" s="175"/>
      <c r="EAN16" s="175"/>
      <c r="EAO16" s="175"/>
      <c r="EAP16" s="175"/>
      <c r="EAQ16" s="175"/>
      <c r="EAR16" s="175"/>
      <c r="EAS16" s="175"/>
      <c r="EAT16" s="175"/>
      <c r="EAU16" s="175"/>
      <c r="EAV16" s="175"/>
      <c r="EAW16" s="175"/>
      <c r="EAX16" s="175"/>
      <c r="EAY16" s="175"/>
      <c r="EAZ16" s="175"/>
      <c r="EBA16" s="175"/>
      <c r="EBB16" s="175"/>
      <c r="EBC16" s="175"/>
      <c r="EBD16" s="175"/>
      <c r="EBE16" s="175"/>
      <c r="EBF16" s="175"/>
      <c r="EBG16" s="175"/>
      <c r="EBH16" s="175"/>
      <c r="EBI16" s="175"/>
      <c r="EBJ16" s="175"/>
      <c r="EBK16" s="175"/>
      <c r="EBL16" s="175"/>
      <c r="EBM16" s="175"/>
      <c r="EBN16" s="175"/>
      <c r="EBO16" s="175"/>
      <c r="EBP16" s="175"/>
      <c r="EBQ16" s="175"/>
      <c r="EBR16" s="175"/>
      <c r="EBS16" s="175"/>
      <c r="EBT16" s="175"/>
      <c r="EBU16" s="175"/>
      <c r="EBV16" s="175"/>
      <c r="EBW16" s="175"/>
      <c r="EBX16" s="175"/>
      <c r="EBY16" s="175"/>
      <c r="EBZ16" s="175"/>
      <c r="ECA16" s="175"/>
      <c r="ECB16" s="175"/>
      <c r="ECC16" s="175"/>
      <c r="ECD16" s="175"/>
      <c r="ECE16" s="175"/>
      <c r="ECF16" s="175"/>
      <c r="ECG16" s="175"/>
      <c r="ECH16" s="175"/>
      <c r="ECI16" s="175"/>
      <c r="ECJ16" s="175"/>
      <c r="ECK16" s="175"/>
      <c r="ECL16" s="175"/>
      <c r="ECM16" s="175"/>
      <c r="ECN16" s="175"/>
      <c r="ECO16" s="175"/>
      <c r="ECP16" s="175"/>
      <c r="ECQ16" s="175"/>
      <c r="ECR16" s="175"/>
      <c r="ECS16" s="175"/>
      <c r="ECT16" s="175"/>
      <c r="ECU16" s="175"/>
      <c r="ECV16" s="175"/>
      <c r="ECW16" s="175"/>
      <c r="ECX16" s="175"/>
      <c r="ECY16" s="175"/>
      <c r="ECZ16" s="175"/>
      <c r="EDA16" s="175"/>
      <c r="EDB16" s="175"/>
      <c r="EDC16" s="175"/>
      <c r="EDD16" s="175"/>
      <c r="EDE16" s="175"/>
      <c r="EDF16" s="175"/>
      <c r="EDG16" s="175"/>
      <c r="EDH16" s="175"/>
      <c r="EDI16" s="175"/>
      <c r="EDJ16" s="175"/>
      <c r="EDK16" s="175"/>
      <c r="EDL16" s="175"/>
      <c r="EDM16" s="175"/>
      <c r="EDN16" s="175"/>
      <c r="EDO16" s="175"/>
      <c r="EDP16" s="175"/>
      <c r="EDQ16" s="175"/>
      <c r="EDR16" s="175"/>
      <c r="EDS16" s="175"/>
      <c r="EDT16" s="175"/>
      <c r="EDU16" s="175"/>
      <c r="EDV16" s="175"/>
      <c r="EDW16" s="175"/>
      <c r="EDX16" s="175"/>
      <c r="EDY16" s="175"/>
      <c r="EDZ16" s="175"/>
      <c r="EEA16" s="175"/>
      <c r="EEB16" s="175"/>
      <c r="EEC16" s="175"/>
      <c r="EED16" s="175"/>
      <c r="EEE16" s="175"/>
      <c r="EEF16" s="175"/>
      <c r="EEG16" s="175"/>
      <c r="EEH16" s="175"/>
      <c r="EEI16" s="175"/>
      <c r="EEJ16" s="175"/>
      <c r="EEK16" s="175"/>
      <c r="EEL16" s="175"/>
      <c r="EEM16" s="175"/>
      <c r="EEN16" s="175"/>
      <c r="EEO16" s="175"/>
      <c r="EEP16" s="175"/>
      <c r="EEQ16" s="175"/>
      <c r="EER16" s="175"/>
      <c r="EES16" s="175"/>
      <c r="EET16" s="175"/>
      <c r="EEU16" s="175"/>
      <c r="EEV16" s="175"/>
      <c r="EEW16" s="175"/>
      <c r="EEX16" s="175"/>
      <c r="EEY16" s="175"/>
      <c r="EEZ16" s="175"/>
      <c r="EFA16" s="175"/>
      <c r="EFB16" s="175"/>
      <c r="EFC16" s="175"/>
      <c r="EFD16" s="175"/>
      <c r="EFE16" s="175"/>
      <c r="EFF16" s="175"/>
      <c r="EFG16" s="175"/>
      <c r="EFH16" s="175"/>
      <c r="EFI16" s="175"/>
      <c r="EFJ16" s="175"/>
      <c r="EFK16" s="175"/>
      <c r="EFL16" s="175"/>
      <c r="EFM16" s="175"/>
      <c r="EFN16" s="175"/>
      <c r="EFO16" s="175"/>
      <c r="EFP16" s="175"/>
      <c r="EFQ16" s="175"/>
      <c r="EFR16" s="175"/>
      <c r="EFS16" s="175"/>
      <c r="EFT16" s="175"/>
      <c r="EFU16" s="175"/>
      <c r="EFV16" s="175"/>
      <c r="EFW16" s="175"/>
      <c r="EFX16" s="175"/>
      <c r="EFY16" s="175"/>
      <c r="EFZ16" s="175"/>
      <c r="EGA16" s="175"/>
      <c r="EGB16" s="175"/>
      <c r="EGC16" s="175"/>
      <c r="EGD16" s="175"/>
      <c r="EGE16" s="175"/>
      <c r="EGF16" s="175"/>
      <c r="EGG16" s="175"/>
      <c r="EGH16" s="175"/>
      <c r="EGI16" s="175"/>
      <c r="EGJ16" s="175"/>
      <c r="EGK16" s="175"/>
      <c r="EGL16" s="175"/>
      <c r="EGM16" s="175"/>
      <c r="EGN16" s="175"/>
      <c r="EGO16" s="175"/>
      <c r="EGP16" s="175"/>
      <c r="EGQ16" s="175"/>
      <c r="EGR16" s="175"/>
      <c r="EGS16" s="175"/>
      <c r="EGT16" s="175"/>
      <c r="EGU16" s="175"/>
      <c r="EGV16" s="175"/>
      <c r="EGW16" s="175"/>
      <c r="EGX16" s="175"/>
      <c r="EGY16" s="175"/>
      <c r="EGZ16" s="175"/>
      <c r="EHA16" s="175"/>
      <c r="EHB16" s="175"/>
      <c r="EHC16" s="175"/>
      <c r="EHD16" s="175"/>
      <c r="EHE16" s="175"/>
      <c r="EHF16" s="175"/>
      <c r="EHG16" s="175"/>
      <c r="EHH16" s="175"/>
      <c r="EHI16" s="175"/>
      <c r="EHJ16" s="175"/>
      <c r="EHK16" s="175"/>
      <c r="EHL16" s="175"/>
      <c r="EHM16" s="175"/>
      <c r="EHN16" s="175"/>
      <c r="EHO16" s="175"/>
      <c r="EHP16" s="175"/>
      <c r="EHQ16" s="175"/>
      <c r="EHR16" s="175"/>
      <c r="EHS16" s="175"/>
      <c r="EHT16" s="175"/>
      <c r="EHU16" s="175"/>
      <c r="EHV16" s="175"/>
      <c r="EHW16" s="175"/>
      <c r="EHX16" s="175"/>
      <c r="EHY16" s="175"/>
      <c r="EHZ16" s="175"/>
      <c r="EIA16" s="175"/>
      <c r="EIB16" s="175"/>
      <c r="EIC16" s="175"/>
      <c r="EID16" s="175"/>
      <c r="EIE16" s="175"/>
      <c r="EIF16" s="175"/>
      <c r="EIG16" s="175"/>
      <c r="EIH16" s="175"/>
      <c r="EII16" s="175"/>
      <c r="EIJ16" s="175"/>
      <c r="EIK16" s="175"/>
      <c r="EIL16" s="175"/>
      <c r="EIM16" s="175"/>
      <c r="EIN16" s="175"/>
      <c r="EIO16" s="175"/>
      <c r="EIP16" s="175"/>
      <c r="EIQ16" s="175"/>
      <c r="EIR16" s="175"/>
      <c r="EIS16" s="175"/>
      <c r="EIT16" s="175"/>
      <c r="EIU16" s="175"/>
      <c r="EIV16" s="175"/>
      <c r="EIW16" s="175"/>
      <c r="EIX16" s="175"/>
      <c r="EIY16" s="175"/>
      <c r="EIZ16" s="175"/>
      <c r="EJA16" s="175"/>
      <c r="EJB16" s="175"/>
      <c r="EJC16" s="175"/>
      <c r="EJD16" s="175"/>
      <c r="EJE16" s="175"/>
      <c r="EJF16" s="175"/>
      <c r="EJG16" s="175"/>
      <c r="EJH16" s="175"/>
      <c r="EJI16" s="175"/>
      <c r="EJJ16" s="175"/>
      <c r="EJK16" s="175"/>
      <c r="EJL16" s="175"/>
      <c r="EJM16" s="175"/>
      <c r="EJN16" s="175"/>
      <c r="EJO16" s="175"/>
      <c r="EJP16" s="175"/>
      <c r="EJQ16" s="175"/>
      <c r="EJR16" s="175"/>
      <c r="EJS16" s="175"/>
      <c r="EJT16" s="175"/>
      <c r="EJU16" s="175"/>
      <c r="EJV16" s="175"/>
      <c r="EJW16" s="175"/>
      <c r="EJX16" s="175"/>
      <c r="EJY16" s="175"/>
      <c r="EJZ16" s="175"/>
      <c r="EKA16" s="175"/>
      <c r="EKB16" s="175"/>
      <c r="EKC16" s="175"/>
      <c r="EKD16" s="175"/>
      <c r="EKE16" s="175"/>
      <c r="EKF16" s="175"/>
      <c r="EKG16" s="175"/>
      <c r="EKH16" s="175"/>
      <c r="EKI16" s="175"/>
      <c r="EKJ16" s="175"/>
      <c r="EKK16" s="175"/>
      <c r="EKL16" s="175"/>
      <c r="EKM16" s="175"/>
      <c r="EKN16" s="175"/>
      <c r="EKO16" s="175"/>
      <c r="EKP16" s="175"/>
      <c r="EKQ16" s="175"/>
      <c r="EKR16" s="175"/>
      <c r="EKS16" s="175"/>
      <c r="EKT16" s="175"/>
      <c r="EKU16" s="175"/>
      <c r="EKV16" s="175"/>
      <c r="EKW16" s="175"/>
      <c r="EKX16" s="175"/>
      <c r="EKY16" s="175"/>
      <c r="EKZ16" s="175"/>
      <c r="ELA16" s="175"/>
      <c r="ELB16" s="175"/>
      <c r="ELC16" s="175"/>
      <c r="ELD16" s="175"/>
      <c r="ELE16" s="175"/>
      <c r="ELF16" s="175"/>
      <c r="ELG16" s="175"/>
      <c r="ELH16" s="175"/>
      <c r="ELI16" s="175"/>
      <c r="ELJ16" s="175"/>
      <c r="ELK16" s="175"/>
      <c r="ELL16" s="175"/>
      <c r="ELM16" s="175"/>
      <c r="ELN16" s="175"/>
      <c r="ELO16" s="175"/>
      <c r="ELP16" s="175"/>
      <c r="ELQ16" s="175"/>
      <c r="ELR16" s="175"/>
      <c r="ELS16" s="175"/>
      <c r="ELT16" s="175"/>
      <c r="ELU16" s="175"/>
      <c r="ELV16" s="175"/>
      <c r="ELW16" s="175"/>
      <c r="ELX16" s="175"/>
      <c r="ELY16" s="175"/>
      <c r="ELZ16" s="175"/>
      <c r="EMA16" s="175"/>
      <c r="EMB16" s="175"/>
      <c r="EMC16" s="175"/>
      <c r="EMD16" s="175"/>
      <c r="EME16" s="175"/>
      <c r="EMF16" s="175"/>
      <c r="EMG16" s="175"/>
      <c r="EMH16" s="175"/>
      <c r="EMI16" s="175"/>
      <c r="EMJ16" s="175"/>
      <c r="EMK16" s="175"/>
      <c r="EML16" s="175"/>
      <c r="EMM16" s="175"/>
      <c r="EMN16" s="175"/>
      <c r="EMO16" s="175"/>
      <c r="EMP16" s="175"/>
      <c r="EMQ16" s="175"/>
      <c r="EMR16" s="175"/>
      <c r="EMS16" s="175"/>
      <c r="EMT16" s="175"/>
      <c r="EMU16" s="175"/>
      <c r="EMV16" s="175"/>
      <c r="EMW16" s="175"/>
      <c r="EMX16" s="175"/>
      <c r="EMY16" s="175"/>
      <c r="EMZ16" s="175"/>
      <c r="ENA16" s="175"/>
      <c r="ENB16" s="175"/>
      <c r="ENC16" s="175"/>
      <c r="END16" s="175"/>
      <c r="ENE16" s="175"/>
      <c r="ENF16" s="175"/>
      <c r="ENG16" s="175"/>
      <c r="ENH16" s="175"/>
      <c r="ENI16" s="175"/>
      <c r="ENJ16" s="175"/>
      <c r="ENK16" s="175"/>
      <c r="ENL16" s="175"/>
      <c r="ENM16" s="175"/>
      <c r="ENN16" s="175"/>
      <c r="ENO16" s="175"/>
      <c r="ENP16" s="175"/>
      <c r="ENQ16" s="175"/>
      <c r="ENR16" s="175"/>
      <c r="ENS16" s="175"/>
      <c r="ENT16" s="175"/>
      <c r="ENU16" s="175"/>
      <c r="ENV16" s="175"/>
      <c r="ENW16" s="175"/>
      <c r="ENX16" s="175"/>
      <c r="ENY16" s="175"/>
      <c r="ENZ16" s="175"/>
      <c r="EOA16" s="175"/>
      <c r="EOB16" s="175"/>
      <c r="EOC16" s="175"/>
      <c r="EOD16" s="175"/>
      <c r="EOE16" s="175"/>
      <c r="EOF16" s="175"/>
      <c r="EOG16" s="175"/>
      <c r="EOH16" s="175"/>
      <c r="EOI16" s="175"/>
      <c r="EOJ16" s="175"/>
      <c r="EOK16" s="175"/>
      <c r="EOL16" s="175"/>
      <c r="EOM16" s="175"/>
      <c r="EON16" s="175"/>
      <c r="EOO16" s="175"/>
      <c r="EOP16" s="175"/>
      <c r="EOQ16" s="175"/>
      <c r="EOR16" s="175"/>
      <c r="EOS16" s="175"/>
      <c r="EOT16" s="175"/>
      <c r="EOU16" s="175"/>
      <c r="EOV16" s="175"/>
      <c r="EOW16" s="175"/>
      <c r="EOX16" s="175"/>
      <c r="EOY16" s="175"/>
      <c r="EOZ16" s="175"/>
      <c r="EPA16" s="175"/>
      <c r="EPB16" s="175"/>
      <c r="EPC16" s="175"/>
      <c r="EPD16" s="175"/>
      <c r="EPE16" s="175"/>
      <c r="EPF16" s="175"/>
      <c r="EPG16" s="175"/>
      <c r="EPH16" s="175"/>
      <c r="EPI16" s="175"/>
      <c r="EPJ16" s="175"/>
      <c r="EPK16" s="175"/>
      <c r="EPL16" s="175"/>
      <c r="EPM16" s="175"/>
      <c r="EPN16" s="175"/>
      <c r="EPO16" s="175"/>
      <c r="EPP16" s="175"/>
      <c r="EPQ16" s="175"/>
      <c r="EPR16" s="175"/>
      <c r="EPS16" s="175"/>
      <c r="EPT16" s="175"/>
      <c r="EPU16" s="175"/>
      <c r="EPV16" s="175"/>
      <c r="EPW16" s="175"/>
      <c r="EPX16" s="175"/>
      <c r="EPY16" s="175"/>
      <c r="EPZ16" s="175"/>
      <c r="EQA16" s="175"/>
      <c r="EQB16" s="175"/>
      <c r="EQC16" s="175"/>
      <c r="EQD16" s="175"/>
      <c r="EQE16" s="175"/>
      <c r="EQF16" s="175"/>
      <c r="EQG16" s="175"/>
      <c r="EQH16" s="175"/>
      <c r="EQI16" s="175"/>
      <c r="EQJ16" s="175"/>
      <c r="EQK16" s="175"/>
      <c r="EQL16" s="175"/>
      <c r="EQM16" s="175"/>
      <c r="EQN16" s="175"/>
      <c r="EQO16" s="175"/>
      <c r="EQP16" s="175"/>
      <c r="EQQ16" s="175"/>
      <c r="EQR16" s="175"/>
      <c r="EQS16" s="175"/>
      <c r="EQT16" s="175"/>
      <c r="EQU16" s="175"/>
      <c r="EQV16" s="175"/>
      <c r="EQW16" s="175"/>
      <c r="EQX16" s="175"/>
      <c r="EQY16" s="175"/>
      <c r="EQZ16" s="175"/>
      <c r="ERA16" s="175"/>
      <c r="ERB16" s="175"/>
      <c r="ERC16" s="175"/>
      <c r="ERD16" s="175"/>
      <c r="ERE16" s="175"/>
      <c r="ERF16" s="175"/>
      <c r="ERG16" s="175"/>
      <c r="ERH16" s="175"/>
      <c r="ERI16" s="175"/>
      <c r="ERJ16" s="175"/>
      <c r="ERK16" s="175"/>
      <c r="ERL16" s="175"/>
      <c r="ERM16" s="175"/>
      <c r="ERN16" s="175"/>
      <c r="ERO16" s="175"/>
      <c r="ERP16" s="175"/>
      <c r="ERQ16" s="175"/>
      <c r="ERR16" s="175"/>
      <c r="ERS16" s="175"/>
      <c r="ERT16" s="175"/>
      <c r="ERU16" s="175"/>
      <c r="ERV16" s="175"/>
      <c r="ERW16" s="175"/>
      <c r="ERX16" s="175"/>
      <c r="ERY16" s="175"/>
      <c r="ERZ16" s="175"/>
      <c r="ESA16" s="175"/>
      <c r="ESB16" s="175"/>
      <c r="ESC16" s="175"/>
      <c r="ESD16" s="175"/>
      <c r="ESE16" s="175"/>
      <c r="ESF16" s="175"/>
      <c r="ESG16" s="175"/>
      <c r="ESH16" s="175"/>
      <c r="ESI16" s="175"/>
      <c r="ESJ16" s="175"/>
      <c r="ESK16" s="175"/>
      <c r="ESL16" s="175"/>
      <c r="ESM16" s="175"/>
      <c r="ESN16" s="175"/>
      <c r="ESO16" s="175"/>
      <c r="ESP16" s="175"/>
      <c r="ESQ16" s="175"/>
      <c r="ESR16" s="175"/>
      <c r="ESS16" s="175"/>
      <c r="EST16" s="175"/>
      <c r="ESU16" s="175"/>
      <c r="ESV16" s="175"/>
      <c r="ESW16" s="175"/>
      <c r="ESX16" s="175"/>
      <c r="ESY16" s="175"/>
      <c r="ESZ16" s="175"/>
      <c r="ETA16" s="175"/>
      <c r="ETB16" s="175"/>
      <c r="ETC16" s="175"/>
      <c r="ETD16" s="175"/>
      <c r="ETE16" s="175"/>
      <c r="ETF16" s="175"/>
      <c r="ETG16" s="175"/>
      <c r="ETH16" s="175"/>
      <c r="ETI16" s="175"/>
      <c r="ETJ16" s="175"/>
      <c r="ETK16" s="175"/>
      <c r="ETL16" s="175"/>
      <c r="ETM16" s="175"/>
      <c r="ETN16" s="175"/>
      <c r="ETO16" s="175"/>
      <c r="ETP16" s="175"/>
      <c r="ETQ16" s="175"/>
      <c r="ETR16" s="175"/>
      <c r="ETS16" s="175"/>
      <c r="ETT16" s="175"/>
      <c r="ETU16" s="175"/>
      <c r="ETV16" s="175"/>
      <c r="ETW16" s="175"/>
      <c r="ETX16" s="175"/>
      <c r="ETY16" s="175"/>
      <c r="ETZ16" s="175"/>
      <c r="EUA16" s="175"/>
      <c r="EUB16" s="175"/>
      <c r="EUC16" s="175"/>
      <c r="EUD16" s="175"/>
      <c r="EUE16" s="175"/>
      <c r="EUF16" s="175"/>
      <c r="EUG16" s="175"/>
      <c r="EUH16" s="175"/>
      <c r="EUI16" s="175"/>
      <c r="EUJ16" s="175"/>
      <c r="EUK16" s="175"/>
      <c r="EUL16" s="175"/>
      <c r="EUM16" s="175"/>
      <c r="EUN16" s="175"/>
      <c r="EUO16" s="175"/>
      <c r="EUP16" s="175"/>
      <c r="EUQ16" s="175"/>
      <c r="EUR16" s="175"/>
      <c r="EUS16" s="175"/>
      <c r="EUT16" s="175"/>
      <c r="EUU16" s="175"/>
      <c r="EUV16" s="175"/>
      <c r="EUW16" s="175"/>
      <c r="EUX16" s="175"/>
      <c r="EUY16" s="175"/>
      <c r="EUZ16" s="175"/>
      <c r="EVA16" s="175"/>
      <c r="EVB16" s="175"/>
      <c r="EVC16" s="175"/>
      <c r="EVD16" s="175"/>
      <c r="EVE16" s="175"/>
      <c r="EVF16" s="175"/>
      <c r="EVG16" s="175"/>
      <c r="EVH16" s="175"/>
      <c r="EVI16" s="175"/>
      <c r="EVJ16" s="175"/>
      <c r="EVK16" s="175"/>
      <c r="EVL16" s="175"/>
      <c r="EVM16" s="175"/>
      <c r="EVN16" s="175"/>
      <c r="EVO16" s="175"/>
      <c r="EVP16" s="175"/>
      <c r="EVQ16" s="175"/>
      <c r="EVR16" s="175"/>
      <c r="EVS16" s="175"/>
      <c r="EVT16" s="175"/>
      <c r="EVU16" s="175"/>
      <c r="EVV16" s="175"/>
      <c r="EVW16" s="175"/>
      <c r="EVX16" s="175"/>
      <c r="EVY16" s="175"/>
      <c r="EVZ16" s="175"/>
      <c r="EWA16" s="175"/>
      <c r="EWB16" s="175"/>
      <c r="EWC16" s="175"/>
      <c r="EWD16" s="175"/>
      <c r="EWE16" s="175"/>
      <c r="EWF16" s="175"/>
      <c r="EWG16" s="175"/>
      <c r="EWH16" s="175"/>
      <c r="EWI16" s="175"/>
      <c r="EWJ16" s="175"/>
      <c r="EWK16" s="175"/>
      <c r="EWL16" s="175"/>
      <c r="EWM16" s="175"/>
      <c r="EWN16" s="175"/>
      <c r="EWO16" s="175"/>
      <c r="EWP16" s="175"/>
      <c r="EWQ16" s="175"/>
      <c r="EWR16" s="175"/>
      <c r="EWS16" s="175"/>
      <c r="EWT16" s="175"/>
      <c r="EWU16" s="175"/>
      <c r="EWV16" s="175"/>
      <c r="EWW16" s="175"/>
      <c r="EWX16" s="175"/>
      <c r="EWY16" s="175"/>
      <c r="EWZ16" s="175"/>
      <c r="EXA16" s="175"/>
      <c r="EXB16" s="175"/>
      <c r="EXC16" s="175"/>
      <c r="EXD16" s="175"/>
      <c r="EXE16" s="175"/>
      <c r="EXF16" s="175"/>
      <c r="EXG16" s="175"/>
      <c r="EXH16" s="175"/>
      <c r="EXI16" s="175"/>
      <c r="EXJ16" s="175"/>
      <c r="EXK16" s="175"/>
      <c r="EXL16" s="175"/>
      <c r="EXM16" s="175"/>
      <c r="EXN16" s="175"/>
      <c r="EXO16" s="175"/>
      <c r="EXP16" s="175"/>
      <c r="EXQ16" s="175"/>
      <c r="EXR16" s="175"/>
      <c r="EXS16" s="175"/>
      <c r="EXT16" s="175"/>
      <c r="EXU16" s="175"/>
      <c r="EXV16" s="175"/>
      <c r="EXW16" s="175"/>
      <c r="EXX16" s="175"/>
      <c r="EXY16" s="175"/>
      <c r="EXZ16" s="175"/>
      <c r="EYA16" s="175"/>
      <c r="EYB16" s="175"/>
      <c r="EYC16" s="175"/>
      <c r="EYD16" s="175"/>
      <c r="EYE16" s="175"/>
      <c r="EYF16" s="175"/>
      <c r="EYG16" s="175"/>
      <c r="EYH16" s="175"/>
      <c r="EYI16" s="175"/>
      <c r="EYJ16" s="175"/>
      <c r="EYK16" s="175"/>
      <c r="EYL16" s="175"/>
      <c r="EYM16" s="175"/>
      <c r="EYN16" s="175"/>
      <c r="EYO16" s="175"/>
      <c r="EYP16" s="175"/>
      <c r="EYQ16" s="175"/>
      <c r="EYR16" s="175"/>
      <c r="EYS16" s="175"/>
      <c r="EYT16" s="175"/>
      <c r="EYU16" s="175"/>
      <c r="EYV16" s="175"/>
      <c r="EYW16" s="175"/>
      <c r="EYX16" s="175"/>
      <c r="EYY16" s="175"/>
      <c r="EYZ16" s="175"/>
      <c r="EZA16" s="175"/>
      <c r="EZB16" s="175"/>
      <c r="EZC16" s="175"/>
      <c r="EZD16" s="175"/>
      <c r="EZE16" s="175"/>
      <c r="EZF16" s="175"/>
      <c r="EZG16" s="175"/>
      <c r="EZH16" s="175"/>
      <c r="EZI16" s="175"/>
      <c r="EZJ16" s="175"/>
      <c r="EZK16" s="175"/>
      <c r="EZL16" s="175"/>
      <c r="EZM16" s="175"/>
      <c r="EZN16" s="175"/>
      <c r="EZO16" s="175"/>
      <c r="EZP16" s="175"/>
      <c r="EZQ16" s="175"/>
      <c r="EZR16" s="175"/>
      <c r="EZS16" s="175"/>
      <c r="EZT16" s="175"/>
      <c r="EZU16" s="175"/>
      <c r="EZV16" s="175"/>
      <c r="EZW16" s="175"/>
      <c r="EZX16" s="175"/>
      <c r="EZY16" s="175"/>
      <c r="EZZ16" s="175"/>
      <c r="FAA16" s="175"/>
      <c r="FAB16" s="175"/>
      <c r="FAC16" s="175"/>
      <c r="FAD16" s="175"/>
      <c r="FAE16" s="175"/>
      <c r="FAF16" s="175"/>
      <c r="FAG16" s="175"/>
      <c r="FAH16" s="175"/>
      <c r="FAI16" s="175"/>
      <c r="FAJ16" s="175"/>
      <c r="FAK16" s="175"/>
      <c r="FAL16" s="175"/>
      <c r="FAM16" s="175"/>
      <c r="FAN16" s="175"/>
      <c r="FAO16" s="175"/>
      <c r="FAP16" s="175"/>
      <c r="FAQ16" s="175"/>
      <c r="FAR16" s="175"/>
      <c r="FAS16" s="175"/>
      <c r="FAT16" s="175"/>
      <c r="FAU16" s="175"/>
      <c r="FAV16" s="175"/>
      <c r="FAW16" s="175"/>
      <c r="FAX16" s="175"/>
      <c r="FAY16" s="175"/>
      <c r="FAZ16" s="175"/>
      <c r="FBA16" s="175"/>
      <c r="FBB16" s="175"/>
      <c r="FBC16" s="175"/>
      <c r="FBD16" s="175"/>
      <c r="FBE16" s="175"/>
      <c r="FBF16" s="175"/>
      <c r="FBG16" s="175"/>
      <c r="FBH16" s="175"/>
      <c r="FBI16" s="175"/>
      <c r="FBJ16" s="175"/>
      <c r="FBK16" s="175"/>
      <c r="FBL16" s="175"/>
      <c r="FBM16" s="175"/>
      <c r="FBN16" s="175"/>
      <c r="FBO16" s="175"/>
      <c r="FBP16" s="175"/>
      <c r="FBQ16" s="175"/>
      <c r="FBR16" s="175"/>
      <c r="FBS16" s="175"/>
      <c r="FBT16" s="175"/>
      <c r="FBU16" s="175"/>
      <c r="FBV16" s="175"/>
      <c r="FBW16" s="175"/>
      <c r="FBX16" s="175"/>
      <c r="FBY16" s="175"/>
      <c r="FBZ16" s="175"/>
      <c r="FCA16" s="175"/>
      <c r="FCB16" s="175"/>
      <c r="FCC16" s="175"/>
      <c r="FCD16" s="175"/>
      <c r="FCE16" s="175"/>
      <c r="FCF16" s="175"/>
      <c r="FCG16" s="175"/>
      <c r="FCH16" s="175"/>
      <c r="FCI16" s="175"/>
      <c r="FCJ16" s="175"/>
      <c r="FCK16" s="175"/>
      <c r="FCL16" s="175"/>
      <c r="FCM16" s="175"/>
      <c r="FCN16" s="175"/>
      <c r="FCO16" s="175"/>
      <c r="FCP16" s="175"/>
      <c r="FCQ16" s="175"/>
      <c r="FCR16" s="175"/>
      <c r="FCS16" s="175"/>
      <c r="FCT16" s="175"/>
      <c r="FCU16" s="175"/>
      <c r="FCV16" s="175"/>
      <c r="FCW16" s="175"/>
      <c r="FCX16" s="175"/>
      <c r="FCY16" s="175"/>
      <c r="FCZ16" s="175"/>
      <c r="FDA16" s="175"/>
      <c r="FDB16" s="175"/>
      <c r="FDC16" s="175"/>
      <c r="FDD16" s="175"/>
      <c r="FDE16" s="175"/>
      <c r="FDF16" s="175"/>
      <c r="FDG16" s="175"/>
      <c r="FDH16" s="175"/>
      <c r="FDI16" s="175"/>
      <c r="FDJ16" s="175"/>
      <c r="FDK16" s="175"/>
      <c r="FDL16" s="175"/>
      <c r="FDM16" s="175"/>
      <c r="FDN16" s="175"/>
      <c r="FDO16" s="175"/>
      <c r="FDP16" s="175"/>
      <c r="FDQ16" s="175"/>
      <c r="FDR16" s="175"/>
      <c r="FDS16" s="175"/>
      <c r="FDT16" s="175"/>
      <c r="FDU16" s="175"/>
      <c r="FDV16" s="175"/>
      <c r="FDW16" s="175"/>
      <c r="FDX16" s="175"/>
      <c r="FDY16" s="175"/>
      <c r="FDZ16" s="175"/>
      <c r="FEA16" s="175"/>
      <c r="FEB16" s="175"/>
      <c r="FEC16" s="175"/>
      <c r="FED16" s="175"/>
      <c r="FEE16" s="175"/>
      <c r="FEF16" s="175"/>
      <c r="FEG16" s="175"/>
      <c r="FEH16" s="175"/>
      <c r="FEI16" s="175"/>
      <c r="FEJ16" s="175"/>
      <c r="FEK16" s="175"/>
      <c r="FEL16" s="175"/>
      <c r="FEM16" s="175"/>
      <c r="FEN16" s="175"/>
      <c r="FEO16" s="175"/>
      <c r="FEP16" s="175"/>
      <c r="FEQ16" s="175"/>
      <c r="FER16" s="175"/>
      <c r="FES16" s="175"/>
      <c r="FET16" s="175"/>
      <c r="FEU16" s="175"/>
      <c r="FEV16" s="175"/>
      <c r="FEW16" s="175"/>
      <c r="FEX16" s="175"/>
      <c r="FEY16" s="175"/>
      <c r="FEZ16" s="175"/>
      <c r="FFA16" s="175"/>
      <c r="FFB16" s="175"/>
      <c r="FFC16" s="175"/>
      <c r="FFD16" s="175"/>
      <c r="FFE16" s="175"/>
      <c r="FFF16" s="175"/>
      <c r="FFG16" s="175"/>
      <c r="FFH16" s="175"/>
      <c r="FFI16" s="175"/>
      <c r="FFJ16" s="175"/>
      <c r="FFK16" s="175"/>
      <c r="FFL16" s="175"/>
      <c r="FFM16" s="175"/>
      <c r="FFN16" s="175"/>
      <c r="FFO16" s="175"/>
      <c r="FFP16" s="175"/>
      <c r="FFQ16" s="175"/>
      <c r="FFR16" s="175"/>
      <c r="FFS16" s="175"/>
      <c r="FFT16" s="175"/>
      <c r="FFU16" s="175"/>
      <c r="FFV16" s="175"/>
      <c r="FFW16" s="175"/>
      <c r="FFX16" s="175"/>
      <c r="FFY16" s="175"/>
      <c r="FFZ16" s="175"/>
      <c r="FGA16" s="175"/>
      <c r="FGB16" s="175"/>
      <c r="FGC16" s="175"/>
      <c r="FGD16" s="175"/>
      <c r="FGE16" s="175"/>
      <c r="FGF16" s="175"/>
      <c r="FGG16" s="175"/>
      <c r="FGH16" s="175"/>
      <c r="FGI16" s="175"/>
      <c r="FGJ16" s="175"/>
      <c r="FGK16" s="175"/>
      <c r="FGL16" s="175"/>
      <c r="FGM16" s="175"/>
      <c r="FGN16" s="175"/>
      <c r="FGO16" s="175"/>
      <c r="FGP16" s="175"/>
      <c r="FGQ16" s="175"/>
      <c r="FGR16" s="175"/>
      <c r="FGS16" s="175"/>
      <c r="FGT16" s="175"/>
      <c r="FGU16" s="175"/>
      <c r="FGV16" s="175"/>
      <c r="FGW16" s="175"/>
      <c r="FGX16" s="175"/>
      <c r="FGY16" s="175"/>
      <c r="FGZ16" s="175"/>
      <c r="FHA16" s="175"/>
      <c r="FHB16" s="175"/>
      <c r="FHC16" s="175"/>
      <c r="FHD16" s="175"/>
      <c r="FHE16" s="175"/>
      <c r="FHF16" s="175"/>
      <c r="FHG16" s="175"/>
      <c r="FHH16" s="175"/>
      <c r="FHI16" s="175"/>
      <c r="FHJ16" s="175"/>
      <c r="FHK16" s="175"/>
      <c r="FHL16" s="175"/>
      <c r="FHM16" s="175"/>
      <c r="FHN16" s="175"/>
      <c r="FHO16" s="175"/>
      <c r="FHP16" s="175"/>
      <c r="FHQ16" s="175"/>
      <c r="FHR16" s="175"/>
      <c r="FHS16" s="175"/>
      <c r="FHT16" s="175"/>
      <c r="FHU16" s="175"/>
      <c r="FHV16" s="175"/>
      <c r="FHW16" s="175"/>
      <c r="FHX16" s="175"/>
      <c r="FHY16" s="175"/>
      <c r="FHZ16" s="175"/>
      <c r="FIA16" s="175"/>
      <c r="FIB16" s="175"/>
      <c r="FIC16" s="175"/>
      <c r="FID16" s="175"/>
      <c r="FIE16" s="175"/>
      <c r="FIF16" s="175"/>
      <c r="FIG16" s="175"/>
      <c r="FIH16" s="175"/>
      <c r="FII16" s="175"/>
      <c r="FIJ16" s="175"/>
      <c r="FIK16" s="175"/>
      <c r="FIL16" s="175"/>
      <c r="FIM16" s="175"/>
      <c r="FIN16" s="175"/>
      <c r="FIO16" s="175"/>
      <c r="FIP16" s="175"/>
      <c r="FIQ16" s="175"/>
      <c r="FIR16" s="175"/>
      <c r="FIS16" s="175"/>
      <c r="FIT16" s="175"/>
      <c r="FIU16" s="175"/>
      <c r="FIV16" s="175"/>
      <c r="FIW16" s="175"/>
      <c r="FIX16" s="175"/>
      <c r="FIY16" s="175"/>
      <c r="FIZ16" s="175"/>
      <c r="FJA16" s="175"/>
      <c r="FJB16" s="175"/>
      <c r="FJC16" s="175"/>
      <c r="FJD16" s="175"/>
      <c r="FJE16" s="175"/>
      <c r="FJF16" s="175"/>
      <c r="FJG16" s="175"/>
      <c r="FJH16" s="175"/>
      <c r="FJI16" s="175"/>
      <c r="FJJ16" s="175"/>
      <c r="FJK16" s="175"/>
      <c r="FJL16" s="175"/>
      <c r="FJM16" s="175"/>
      <c r="FJN16" s="175"/>
      <c r="FJO16" s="175"/>
      <c r="FJP16" s="175"/>
      <c r="FJQ16" s="175"/>
      <c r="FJR16" s="175"/>
      <c r="FJS16" s="175"/>
      <c r="FJT16" s="175"/>
      <c r="FJU16" s="175"/>
      <c r="FJV16" s="175"/>
      <c r="FJW16" s="175"/>
      <c r="FJX16" s="175"/>
      <c r="FJY16" s="175"/>
      <c r="FJZ16" s="175"/>
      <c r="FKA16" s="175"/>
      <c r="FKB16" s="175"/>
      <c r="FKC16" s="175"/>
      <c r="FKD16" s="175"/>
      <c r="FKE16" s="175"/>
      <c r="FKF16" s="175"/>
      <c r="FKG16" s="175"/>
      <c r="FKH16" s="175"/>
      <c r="FKI16" s="175"/>
      <c r="FKJ16" s="175"/>
      <c r="FKK16" s="175"/>
      <c r="FKL16" s="175"/>
      <c r="FKM16" s="175"/>
      <c r="FKN16" s="175"/>
      <c r="FKO16" s="175"/>
      <c r="FKP16" s="175"/>
      <c r="FKQ16" s="175"/>
      <c r="FKR16" s="175"/>
      <c r="FKS16" s="175"/>
      <c r="FKT16" s="175"/>
      <c r="FKU16" s="175"/>
      <c r="FKV16" s="175"/>
      <c r="FKW16" s="175"/>
      <c r="FKX16" s="175"/>
      <c r="FKY16" s="175"/>
      <c r="FKZ16" s="175"/>
      <c r="FLA16" s="175"/>
      <c r="FLB16" s="175"/>
      <c r="FLC16" s="175"/>
      <c r="FLD16" s="175"/>
      <c r="FLE16" s="175"/>
      <c r="FLF16" s="175"/>
      <c r="FLG16" s="175"/>
      <c r="FLH16" s="175"/>
      <c r="FLI16" s="175"/>
      <c r="FLJ16" s="175"/>
      <c r="FLK16" s="175"/>
      <c r="FLL16" s="175"/>
      <c r="FLM16" s="175"/>
      <c r="FLN16" s="175"/>
      <c r="FLO16" s="175"/>
      <c r="FLP16" s="175"/>
      <c r="FLQ16" s="175"/>
      <c r="FLR16" s="175"/>
      <c r="FLS16" s="175"/>
      <c r="FLT16" s="175"/>
      <c r="FLU16" s="175"/>
      <c r="FLV16" s="175"/>
      <c r="FLW16" s="175"/>
      <c r="FLX16" s="175"/>
      <c r="FLY16" s="175"/>
      <c r="FLZ16" s="175"/>
      <c r="FMA16" s="175"/>
      <c r="FMB16" s="175"/>
      <c r="FMC16" s="175"/>
      <c r="FMD16" s="175"/>
      <c r="FME16" s="175"/>
      <c r="FMF16" s="175"/>
      <c r="FMG16" s="175"/>
      <c r="FMH16" s="175"/>
      <c r="FMI16" s="175"/>
      <c r="FMJ16" s="175"/>
      <c r="FMK16" s="175"/>
      <c r="FML16" s="175"/>
      <c r="FMM16" s="175"/>
      <c r="FMN16" s="175"/>
      <c r="FMO16" s="175"/>
      <c r="FMP16" s="175"/>
      <c r="FMQ16" s="175"/>
      <c r="FMR16" s="175"/>
      <c r="FMS16" s="175"/>
      <c r="FMT16" s="175"/>
      <c r="FMU16" s="175"/>
      <c r="FMV16" s="175"/>
      <c r="FMW16" s="175"/>
      <c r="FMX16" s="175"/>
      <c r="FMY16" s="175"/>
      <c r="FMZ16" s="175"/>
      <c r="FNA16" s="175"/>
      <c r="FNB16" s="175"/>
      <c r="FNC16" s="175"/>
      <c r="FND16" s="175"/>
      <c r="FNE16" s="175"/>
      <c r="FNF16" s="175"/>
      <c r="FNG16" s="175"/>
      <c r="FNH16" s="175"/>
      <c r="FNI16" s="175"/>
      <c r="FNJ16" s="175"/>
      <c r="FNK16" s="175"/>
      <c r="FNL16" s="175"/>
      <c r="FNM16" s="175"/>
      <c r="FNN16" s="175"/>
      <c r="FNO16" s="175"/>
      <c r="FNP16" s="175"/>
      <c r="FNQ16" s="175"/>
      <c r="FNR16" s="175"/>
      <c r="FNS16" s="175"/>
      <c r="FNT16" s="175"/>
      <c r="FNU16" s="175"/>
      <c r="FNV16" s="175"/>
      <c r="FNW16" s="175"/>
      <c r="FNX16" s="175"/>
      <c r="FNY16" s="175"/>
      <c r="FNZ16" s="175"/>
      <c r="FOA16" s="175"/>
      <c r="FOB16" s="175"/>
      <c r="FOC16" s="175"/>
      <c r="FOD16" s="175"/>
      <c r="FOE16" s="175"/>
      <c r="FOF16" s="175"/>
      <c r="FOG16" s="175"/>
      <c r="FOH16" s="175"/>
      <c r="FOI16" s="175"/>
      <c r="FOJ16" s="175"/>
      <c r="FOK16" s="175"/>
      <c r="FOL16" s="175"/>
      <c r="FOM16" s="175"/>
      <c r="FON16" s="175"/>
      <c r="FOO16" s="175"/>
      <c r="FOP16" s="175"/>
      <c r="FOQ16" s="175"/>
      <c r="FOR16" s="175"/>
      <c r="FOS16" s="175"/>
      <c r="FOT16" s="175"/>
      <c r="FOU16" s="175"/>
      <c r="FOV16" s="175"/>
      <c r="FOW16" s="175"/>
      <c r="FOX16" s="175"/>
      <c r="FOY16" s="175"/>
      <c r="FOZ16" s="175"/>
      <c r="FPA16" s="175"/>
      <c r="FPB16" s="175"/>
      <c r="FPC16" s="175"/>
      <c r="FPD16" s="175"/>
      <c r="FPE16" s="175"/>
      <c r="FPF16" s="175"/>
      <c r="FPG16" s="175"/>
      <c r="FPH16" s="175"/>
      <c r="FPI16" s="175"/>
      <c r="FPJ16" s="175"/>
      <c r="FPK16" s="175"/>
      <c r="FPL16" s="175"/>
      <c r="FPM16" s="175"/>
      <c r="FPN16" s="175"/>
      <c r="FPO16" s="175"/>
      <c r="FPP16" s="175"/>
      <c r="FPQ16" s="175"/>
      <c r="FPR16" s="175"/>
      <c r="FPS16" s="175"/>
      <c r="FPT16" s="175"/>
      <c r="FPU16" s="175"/>
      <c r="FPV16" s="175"/>
      <c r="FPW16" s="175"/>
      <c r="FPX16" s="175"/>
      <c r="FPY16" s="175"/>
      <c r="FPZ16" s="175"/>
      <c r="FQA16" s="175"/>
      <c r="FQB16" s="175"/>
      <c r="FQC16" s="175"/>
      <c r="FQD16" s="175"/>
      <c r="FQE16" s="175"/>
      <c r="FQF16" s="175"/>
      <c r="FQG16" s="175"/>
      <c r="FQH16" s="175"/>
      <c r="FQI16" s="175"/>
      <c r="FQJ16" s="175"/>
      <c r="FQK16" s="175"/>
      <c r="FQL16" s="175"/>
      <c r="FQM16" s="175"/>
      <c r="FQN16" s="175"/>
      <c r="FQO16" s="175"/>
      <c r="FQP16" s="175"/>
      <c r="FQQ16" s="175"/>
      <c r="FQR16" s="175"/>
      <c r="FQS16" s="175"/>
      <c r="FQT16" s="175"/>
      <c r="FQU16" s="175"/>
      <c r="FQV16" s="175"/>
      <c r="FQW16" s="175"/>
      <c r="FQX16" s="175"/>
      <c r="FQY16" s="175"/>
      <c r="FQZ16" s="175"/>
      <c r="FRA16" s="175"/>
      <c r="FRB16" s="175"/>
      <c r="FRC16" s="175"/>
      <c r="FRD16" s="175"/>
      <c r="FRE16" s="175"/>
      <c r="FRF16" s="175"/>
      <c r="FRG16" s="175"/>
      <c r="FRH16" s="175"/>
      <c r="FRI16" s="175"/>
      <c r="FRJ16" s="175"/>
      <c r="FRK16" s="175"/>
      <c r="FRL16" s="175"/>
      <c r="FRM16" s="175"/>
      <c r="FRN16" s="175"/>
      <c r="FRO16" s="175"/>
      <c r="FRP16" s="175"/>
      <c r="FRQ16" s="175"/>
      <c r="FRR16" s="175"/>
      <c r="FRS16" s="175"/>
      <c r="FRT16" s="175"/>
      <c r="FRU16" s="175"/>
      <c r="FRV16" s="175"/>
      <c r="FRW16" s="175"/>
      <c r="FRX16" s="175"/>
      <c r="FRY16" s="175"/>
      <c r="FRZ16" s="175"/>
      <c r="FSA16" s="175"/>
      <c r="FSB16" s="175"/>
      <c r="FSC16" s="175"/>
      <c r="FSD16" s="175"/>
      <c r="FSE16" s="175"/>
      <c r="FSF16" s="175"/>
      <c r="FSG16" s="175"/>
      <c r="FSH16" s="175"/>
      <c r="FSI16" s="175"/>
      <c r="FSJ16" s="175"/>
      <c r="FSK16" s="175"/>
      <c r="FSL16" s="175"/>
      <c r="FSM16" s="175"/>
      <c r="FSN16" s="175"/>
      <c r="FSO16" s="175"/>
      <c r="FSP16" s="175"/>
      <c r="FSQ16" s="175"/>
      <c r="FSR16" s="175"/>
      <c r="FSS16" s="175"/>
      <c r="FST16" s="175"/>
      <c r="FSU16" s="175"/>
      <c r="FSV16" s="175"/>
      <c r="FSW16" s="175"/>
      <c r="FSX16" s="175"/>
      <c r="FSY16" s="175"/>
      <c r="FSZ16" s="175"/>
      <c r="FTA16" s="175"/>
      <c r="FTB16" s="175"/>
      <c r="FTC16" s="175"/>
      <c r="FTD16" s="175"/>
      <c r="FTE16" s="175"/>
      <c r="FTF16" s="175"/>
      <c r="FTG16" s="175"/>
      <c r="FTH16" s="175"/>
      <c r="FTI16" s="175"/>
      <c r="FTJ16" s="175"/>
      <c r="FTK16" s="175"/>
      <c r="FTL16" s="175"/>
      <c r="FTM16" s="175"/>
      <c r="FTN16" s="175"/>
      <c r="FTO16" s="175"/>
      <c r="FTP16" s="175"/>
      <c r="FTQ16" s="175"/>
      <c r="FTR16" s="175"/>
      <c r="FTS16" s="175"/>
      <c r="FTT16" s="175"/>
      <c r="FTU16" s="175"/>
      <c r="FTV16" s="175"/>
      <c r="FTW16" s="175"/>
      <c r="FTX16" s="175"/>
      <c r="FTY16" s="175"/>
      <c r="FTZ16" s="175"/>
      <c r="FUA16" s="175"/>
      <c r="FUB16" s="175"/>
      <c r="FUC16" s="175"/>
      <c r="FUD16" s="175"/>
      <c r="FUE16" s="175"/>
      <c r="FUF16" s="175"/>
      <c r="FUG16" s="175"/>
      <c r="FUH16" s="175"/>
      <c r="FUI16" s="175"/>
      <c r="FUJ16" s="175"/>
      <c r="FUK16" s="175"/>
      <c r="FUL16" s="175"/>
      <c r="FUM16" s="175"/>
      <c r="FUN16" s="175"/>
      <c r="FUO16" s="175"/>
      <c r="FUP16" s="175"/>
      <c r="FUQ16" s="175"/>
      <c r="FUR16" s="175"/>
      <c r="FUS16" s="175"/>
      <c r="FUT16" s="175"/>
      <c r="FUU16" s="175"/>
      <c r="FUV16" s="175"/>
      <c r="FUW16" s="175"/>
      <c r="FUX16" s="175"/>
      <c r="FUY16" s="175"/>
      <c r="FUZ16" s="175"/>
      <c r="FVA16" s="175"/>
      <c r="FVB16" s="175"/>
      <c r="FVC16" s="175"/>
      <c r="FVD16" s="175"/>
      <c r="FVE16" s="175"/>
      <c r="FVF16" s="175"/>
      <c r="FVG16" s="175"/>
      <c r="FVH16" s="175"/>
      <c r="FVI16" s="175"/>
      <c r="FVJ16" s="175"/>
      <c r="FVK16" s="175"/>
      <c r="FVL16" s="175"/>
      <c r="FVM16" s="175"/>
      <c r="FVN16" s="175"/>
      <c r="FVO16" s="175"/>
      <c r="FVP16" s="175"/>
      <c r="FVQ16" s="175"/>
      <c r="FVR16" s="175"/>
      <c r="FVS16" s="175"/>
      <c r="FVT16" s="175"/>
      <c r="FVU16" s="175"/>
      <c r="FVV16" s="175"/>
      <c r="FVW16" s="175"/>
      <c r="FVX16" s="175"/>
      <c r="FVY16" s="175"/>
      <c r="FVZ16" s="175"/>
      <c r="FWA16" s="175"/>
      <c r="FWB16" s="175"/>
      <c r="FWC16" s="175"/>
      <c r="FWD16" s="175"/>
      <c r="FWE16" s="175"/>
      <c r="FWF16" s="175"/>
      <c r="FWG16" s="175"/>
      <c r="FWH16" s="175"/>
      <c r="FWI16" s="175"/>
      <c r="FWJ16" s="175"/>
      <c r="FWK16" s="175"/>
      <c r="FWL16" s="175"/>
      <c r="FWM16" s="175"/>
      <c r="FWN16" s="175"/>
      <c r="FWO16" s="175"/>
      <c r="FWP16" s="175"/>
      <c r="FWQ16" s="175"/>
      <c r="FWR16" s="175"/>
      <c r="FWS16" s="175"/>
      <c r="FWT16" s="175"/>
      <c r="FWU16" s="175"/>
      <c r="FWV16" s="175"/>
      <c r="FWW16" s="175"/>
      <c r="FWX16" s="175"/>
      <c r="FWY16" s="175"/>
      <c r="FWZ16" s="175"/>
      <c r="FXA16" s="175"/>
      <c r="FXB16" s="175"/>
      <c r="FXC16" s="175"/>
      <c r="FXD16" s="175"/>
      <c r="FXE16" s="175"/>
      <c r="FXF16" s="175"/>
      <c r="FXG16" s="175"/>
      <c r="FXH16" s="175"/>
      <c r="FXI16" s="175"/>
      <c r="FXJ16" s="175"/>
      <c r="FXK16" s="175"/>
      <c r="FXL16" s="175"/>
      <c r="FXM16" s="175"/>
      <c r="FXN16" s="175"/>
      <c r="FXO16" s="175"/>
      <c r="FXP16" s="175"/>
      <c r="FXQ16" s="175"/>
      <c r="FXR16" s="175"/>
      <c r="FXS16" s="175"/>
      <c r="FXT16" s="175"/>
      <c r="FXU16" s="175"/>
      <c r="FXV16" s="175"/>
      <c r="FXW16" s="175"/>
      <c r="FXX16" s="175"/>
      <c r="FXY16" s="175"/>
      <c r="FXZ16" s="175"/>
      <c r="FYA16" s="175"/>
      <c r="FYB16" s="175"/>
      <c r="FYC16" s="175"/>
      <c r="FYD16" s="175"/>
      <c r="FYE16" s="175"/>
      <c r="FYF16" s="175"/>
      <c r="FYG16" s="175"/>
      <c r="FYH16" s="175"/>
      <c r="FYI16" s="175"/>
      <c r="FYJ16" s="175"/>
      <c r="FYK16" s="175"/>
      <c r="FYL16" s="175"/>
      <c r="FYM16" s="175"/>
      <c r="FYN16" s="175"/>
      <c r="FYO16" s="175"/>
      <c r="FYP16" s="175"/>
      <c r="FYQ16" s="175"/>
      <c r="FYR16" s="175"/>
      <c r="FYS16" s="175"/>
      <c r="FYT16" s="175"/>
      <c r="FYU16" s="175"/>
      <c r="FYV16" s="175"/>
      <c r="FYW16" s="175"/>
      <c r="FYX16" s="175"/>
      <c r="FYY16" s="175"/>
      <c r="FYZ16" s="175"/>
      <c r="FZA16" s="175"/>
      <c r="FZB16" s="175"/>
      <c r="FZC16" s="175"/>
      <c r="FZD16" s="175"/>
      <c r="FZE16" s="175"/>
      <c r="FZF16" s="175"/>
      <c r="FZG16" s="175"/>
      <c r="FZH16" s="175"/>
      <c r="FZI16" s="175"/>
      <c r="FZJ16" s="175"/>
      <c r="FZK16" s="175"/>
      <c r="FZL16" s="175"/>
      <c r="FZM16" s="175"/>
      <c r="FZN16" s="175"/>
      <c r="FZO16" s="175"/>
      <c r="FZP16" s="175"/>
      <c r="FZQ16" s="175"/>
      <c r="FZR16" s="175"/>
      <c r="FZS16" s="175"/>
      <c r="FZT16" s="175"/>
      <c r="FZU16" s="175"/>
      <c r="FZV16" s="175"/>
      <c r="FZW16" s="175"/>
      <c r="FZX16" s="175"/>
      <c r="FZY16" s="175"/>
      <c r="FZZ16" s="175"/>
      <c r="GAA16" s="175"/>
      <c r="GAB16" s="175"/>
      <c r="GAC16" s="175"/>
      <c r="GAD16" s="175"/>
      <c r="GAE16" s="175"/>
      <c r="GAF16" s="175"/>
      <c r="GAG16" s="175"/>
      <c r="GAH16" s="175"/>
      <c r="GAI16" s="175"/>
      <c r="GAJ16" s="175"/>
      <c r="GAK16" s="175"/>
      <c r="GAL16" s="175"/>
      <c r="GAM16" s="175"/>
      <c r="GAN16" s="175"/>
      <c r="GAO16" s="175"/>
      <c r="GAP16" s="175"/>
      <c r="GAQ16" s="175"/>
      <c r="GAR16" s="175"/>
      <c r="GAS16" s="175"/>
      <c r="GAT16" s="175"/>
      <c r="GAU16" s="175"/>
      <c r="GAV16" s="175"/>
      <c r="GAW16" s="175"/>
      <c r="GAX16" s="175"/>
      <c r="GAY16" s="175"/>
      <c r="GAZ16" s="175"/>
      <c r="GBA16" s="175"/>
      <c r="GBB16" s="175"/>
      <c r="GBC16" s="175"/>
      <c r="GBD16" s="175"/>
      <c r="GBE16" s="175"/>
      <c r="GBF16" s="175"/>
      <c r="GBG16" s="175"/>
      <c r="GBH16" s="175"/>
      <c r="GBI16" s="175"/>
      <c r="GBJ16" s="175"/>
      <c r="GBK16" s="175"/>
      <c r="GBL16" s="175"/>
      <c r="GBM16" s="175"/>
      <c r="GBN16" s="175"/>
      <c r="GBO16" s="175"/>
      <c r="GBP16" s="175"/>
      <c r="GBQ16" s="175"/>
      <c r="GBR16" s="175"/>
      <c r="GBS16" s="175"/>
      <c r="GBT16" s="175"/>
      <c r="GBU16" s="175"/>
      <c r="GBV16" s="175"/>
      <c r="GBW16" s="175"/>
      <c r="GBX16" s="175"/>
      <c r="GBY16" s="175"/>
      <c r="GBZ16" s="175"/>
      <c r="GCA16" s="175"/>
      <c r="GCB16" s="175"/>
      <c r="GCC16" s="175"/>
      <c r="GCD16" s="175"/>
      <c r="GCE16" s="175"/>
      <c r="GCF16" s="175"/>
      <c r="GCG16" s="175"/>
      <c r="GCH16" s="175"/>
      <c r="GCI16" s="175"/>
      <c r="GCJ16" s="175"/>
      <c r="GCK16" s="175"/>
      <c r="GCL16" s="175"/>
      <c r="GCM16" s="175"/>
      <c r="GCN16" s="175"/>
      <c r="GCO16" s="175"/>
      <c r="GCP16" s="175"/>
      <c r="GCQ16" s="175"/>
      <c r="GCR16" s="175"/>
      <c r="GCS16" s="175"/>
      <c r="GCT16" s="175"/>
      <c r="GCU16" s="175"/>
      <c r="GCV16" s="175"/>
      <c r="GCW16" s="175"/>
      <c r="GCX16" s="175"/>
      <c r="GCY16" s="175"/>
      <c r="GCZ16" s="175"/>
      <c r="GDA16" s="175"/>
      <c r="GDB16" s="175"/>
      <c r="GDC16" s="175"/>
      <c r="GDD16" s="175"/>
      <c r="GDE16" s="175"/>
      <c r="GDF16" s="175"/>
      <c r="GDG16" s="175"/>
      <c r="GDH16" s="175"/>
      <c r="GDI16" s="175"/>
      <c r="GDJ16" s="175"/>
      <c r="GDK16" s="175"/>
      <c r="GDL16" s="175"/>
      <c r="GDM16" s="175"/>
      <c r="GDN16" s="175"/>
      <c r="GDO16" s="175"/>
      <c r="GDP16" s="175"/>
      <c r="GDQ16" s="175"/>
      <c r="GDR16" s="175"/>
      <c r="GDS16" s="175"/>
      <c r="GDT16" s="175"/>
      <c r="GDU16" s="175"/>
      <c r="GDV16" s="175"/>
      <c r="GDW16" s="175"/>
      <c r="GDX16" s="175"/>
      <c r="GDY16" s="175"/>
      <c r="GDZ16" s="175"/>
      <c r="GEA16" s="175"/>
      <c r="GEB16" s="175"/>
      <c r="GEC16" s="175"/>
      <c r="GED16" s="175"/>
      <c r="GEE16" s="175"/>
      <c r="GEF16" s="175"/>
      <c r="GEG16" s="175"/>
      <c r="GEH16" s="175"/>
      <c r="GEI16" s="175"/>
      <c r="GEJ16" s="175"/>
      <c r="GEK16" s="175"/>
      <c r="GEL16" s="175"/>
      <c r="GEM16" s="175"/>
      <c r="GEN16" s="175"/>
      <c r="GEO16" s="175"/>
      <c r="GEP16" s="175"/>
      <c r="GEQ16" s="175"/>
      <c r="GER16" s="175"/>
      <c r="GES16" s="175"/>
      <c r="GET16" s="175"/>
      <c r="GEU16" s="175"/>
      <c r="GEV16" s="175"/>
      <c r="GEW16" s="175"/>
      <c r="GEX16" s="175"/>
      <c r="GEY16" s="175"/>
      <c r="GEZ16" s="175"/>
      <c r="GFA16" s="175"/>
      <c r="GFB16" s="175"/>
      <c r="GFC16" s="175"/>
      <c r="GFD16" s="175"/>
      <c r="GFE16" s="175"/>
      <c r="GFF16" s="175"/>
      <c r="GFG16" s="175"/>
      <c r="GFH16" s="175"/>
      <c r="GFI16" s="175"/>
      <c r="GFJ16" s="175"/>
      <c r="GFK16" s="175"/>
      <c r="GFL16" s="175"/>
      <c r="GFM16" s="175"/>
      <c r="GFN16" s="175"/>
      <c r="GFO16" s="175"/>
      <c r="GFP16" s="175"/>
      <c r="GFQ16" s="175"/>
      <c r="GFR16" s="175"/>
      <c r="GFS16" s="175"/>
      <c r="GFT16" s="175"/>
      <c r="GFU16" s="175"/>
      <c r="GFV16" s="175"/>
      <c r="GFW16" s="175"/>
      <c r="GFX16" s="175"/>
      <c r="GFY16" s="175"/>
      <c r="GFZ16" s="175"/>
      <c r="GGA16" s="175"/>
      <c r="GGB16" s="175"/>
      <c r="GGC16" s="175"/>
      <c r="GGD16" s="175"/>
      <c r="GGE16" s="175"/>
      <c r="GGF16" s="175"/>
      <c r="GGG16" s="175"/>
      <c r="GGH16" s="175"/>
      <c r="GGI16" s="175"/>
      <c r="GGJ16" s="175"/>
      <c r="GGK16" s="175"/>
      <c r="GGL16" s="175"/>
      <c r="GGM16" s="175"/>
      <c r="GGN16" s="175"/>
      <c r="GGO16" s="175"/>
      <c r="GGP16" s="175"/>
      <c r="GGQ16" s="175"/>
      <c r="GGR16" s="175"/>
      <c r="GGS16" s="175"/>
      <c r="GGT16" s="175"/>
      <c r="GGU16" s="175"/>
      <c r="GGV16" s="175"/>
      <c r="GGW16" s="175"/>
      <c r="GGX16" s="175"/>
      <c r="GGY16" s="175"/>
      <c r="GGZ16" s="175"/>
      <c r="GHA16" s="175"/>
      <c r="GHB16" s="175"/>
      <c r="GHC16" s="175"/>
      <c r="GHD16" s="175"/>
      <c r="GHE16" s="175"/>
      <c r="GHF16" s="175"/>
      <c r="GHG16" s="175"/>
      <c r="GHH16" s="175"/>
      <c r="GHI16" s="175"/>
      <c r="GHJ16" s="175"/>
      <c r="GHK16" s="175"/>
      <c r="GHL16" s="175"/>
      <c r="GHM16" s="175"/>
      <c r="GHN16" s="175"/>
      <c r="GHO16" s="175"/>
      <c r="GHP16" s="175"/>
      <c r="GHQ16" s="175"/>
      <c r="GHR16" s="175"/>
      <c r="GHS16" s="175"/>
      <c r="GHT16" s="175"/>
      <c r="GHU16" s="175"/>
      <c r="GHV16" s="175"/>
      <c r="GHW16" s="175"/>
      <c r="GHX16" s="175"/>
      <c r="GHY16" s="175"/>
      <c r="GHZ16" s="175"/>
      <c r="GIA16" s="175"/>
      <c r="GIB16" s="175"/>
      <c r="GIC16" s="175"/>
      <c r="GID16" s="175"/>
      <c r="GIE16" s="175"/>
      <c r="GIF16" s="175"/>
      <c r="GIG16" s="175"/>
      <c r="GIH16" s="175"/>
      <c r="GII16" s="175"/>
      <c r="GIJ16" s="175"/>
      <c r="GIK16" s="175"/>
      <c r="GIL16" s="175"/>
      <c r="GIM16" s="175"/>
      <c r="GIN16" s="175"/>
      <c r="GIO16" s="175"/>
      <c r="GIP16" s="175"/>
      <c r="GIQ16" s="175"/>
      <c r="GIR16" s="175"/>
      <c r="GIS16" s="175"/>
      <c r="GIT16" s="175"/>
      <c r="GIU16" s="175"/>
      <c r="GIV16" s="175"/>
      <c r="GIW16" s="175"/>
      <c r="GIX16" s="175"/>
      <c r="GIY16" s="175"/>
      <c r="GIZ16" s="175"/>
      <c r="GJA16" s="175"/>
      <c r="GJB16" s="175"/>
      <c r="GJC16" s="175"/>
      <c r="GJD16" s="175"/>
      <c r="GJE16" s="175"/>
      <c r="GJF16" s="175"/>
      <c r="GJG16" s="175"/>
      <c r="GJH16" s="175"/>
      <c r="GJI16" s="175"/>
      <c r="GJJ16" s="175"/>
      <c r="GJK16" s="175"/>
      <c r="GJL16" s="175"/>
      <c r="GJM16" s="175"/>
      <c r="GJN16" s="175"/>
      <c r="GJO16" s="175"/>
      <c r="GJP16" s="175"/>
      <c r="GJQ16" s="175"/>
      <c r="GJR16" s="175"/>
      <c r="GJS16" s="175"/>
      <c r="GJT16" s="175"/>
      <c r="GJU16" s="175"/>
      <c r="GJV16" s="175"/>
      <c r="GJW16" s="175"/>
      <c r="GJX16" s="175"/>
      <c r="GJY16" s="175"/>
      <c r="GJZ16" s="175"/>
      <c r="GKA16" s="175"/>
      <c r="GKB16" s="175"/>
      <c r="GKC16" s="175"/>
      <c r="GKD16" s="175"/>
      <c r="GKE16" s="175"/>
      <c r="GKF16" s="175"/>
      <c r="GKG16" s="175"/>
      <c r="GKH16" s="175"/>
      <c r="GKI16" s="175"/>
      <c r="GKJ16" s="175"/>
      <c r="GKK16" s="175"/>
      <c r="GKL16" s="175"/>
      <c r="GKM16" s="175"/>
      <c r="GKN16" s="175"/>
      <c r="GKO16" s="175"/>
      <c r="GKP16" s="175"/>
      <c r="GKQ16" s="175"/>
      <c r="GKR16" s="175"/>
      <c r="GKS16" s="175"/>
      <c r="GKT16" s="175"/>
      <c r="GKU16" s="175"/>
      <c r="GKV16" s="175"/>
      <c r="GKW16" s="175"/>
      <c r="GKX16" s="175"/>
      <c r="GKY16" s="175"/>
      <c r="GKZ16" s="175"/>
      <c r="GLA16" s="175"/>
      <c r="GLB16" s="175"/>
      <c r="GLC16" s="175"/>
      <c r="GLD16" s="175"/>
      <c r="GLE16" s="175"/>
      <c r="GLF16" s="175"/>
      <c r="GLG16" s="175"/>
      <c r="GLH16" s="175"/>
      <c r="GLI16" s="175"/>
      <c r="GLJ16" s="175"/>
      <c r="GLK16" s="175"/>
      <c r="GLL16" s="175"/>
      <c r="GLM16" s="175"/>
      <c r="GLN16" s="175"/>
      <c r="GLO16" s="175"/>
      <c r="GLP16" s="175"/>
      <c r="GLQ16" s="175"/>
      <c r="GLR16" s="175"/>
      <c r="GLS16" s="175"/>
      <c r="GLT16" s="175"/>
      <c r="GLU16" s="175"/>
      <c r="GLV16" s="175"/>
      <c r="GLW16" s="175"/>
      <c r="GLX16" s="175"/>
      <c r="GLY16" s="175"/>
      <c r="GLZ16" s="175"/>
      <c r="GMA16" s="175"/>
      <c r="GMB16" s="175"/>
      <c r="GMC16" s="175"/>
      <c r="GMD16" s="175"/>
      <c r="GME16" s="175"/>
      <c r="GMF16" s="175"/>
      <c r="GMG16" s="175"/>
      <c r="GMH16" s="175"/>
      <c r="GMI16" s="175"/>
      <c r="GMJ16" s="175"/>
      <c r="GMK16" s="175"/>
      <c r="GML16" s="175"/>
      <c r="GMM16" s="175"/>
      <c r="GMN16" s="175"/>
      <c r="GMO16" s="175"/>
      <c r="GMP16" s="175"/>
      <c r="GMQ16" s="175"/>
      <c r="GMR16" s="175"/>
      <c r="GMS16" s="175"/>
      <c r="GMT16" s="175"/>
      <c r="GMU16" s="175"/>
      <c r="GMV16" s="175"/>
      <c r="GMW16" s="175"/>
      <c r="GMX16" s="175"/>
      <c r="GMY16" s="175"/>
      <c r="GMZ16" s="175"/>
      <c r="GNA16" s="175"/>
      <c r="GNB16" s="175"/>
      <c r="GNC16" s="175"/>
      <c r="GND16" s="175"/>
      <c r="GNE16" s="175"/>
      <c r="GNF16" s="175"/>
      <c r="GNG16" s="175"/>
      <c r="GNH16" s="175"/>
      <c r="GNI16" s="175"/>
      <c r="GNJ16" s="175"/>
      <c r="GNK16" s="175"/>
      <c r="GNL16" s="175"/>
      <c r="GNM16" s="175"/>
      <c r="GNN16" s="175"/>
      <c r="GNO16" s="175"/>
      <c r="GNP16" s="175"/>
      <c r="GNQ16" s="175"/>
      <c r="GNR16" s="175"/>
      <c r="GNS16" s="175"/>
      <c r="GNT16" s="175"/>
      <c r="GNU16" s="175"/>
      <c r="GNV16" s="175"/>
      <c r="GNW16" s="175"/>
      <c r="GNX16" s="175"/>
      <c r="GNY16" s="175"/>
      <c r="GNZ16" s="175"/>
      <c r="GOA16" s="175"/>
      <c r="GOB16" s="175"/>
      <c r="GOC16" s="175"/>
      <c r="GOD16" s="175"/>
      <c r="GOE16" s="175"/>
      <c r="GOF16" s="175"/>
      <c r="GOG16" s="175"/>
      <c r="GOH16" s="175"/>
      <c r="GOI16" s="175"/>
      <c r="GOJ16" s="175"/>
      <c r="GOK16" s="175"/>
      <c r="GOL16" s="175"/>
      <c r="GOM16" s="175"/>
      <c r="GON16" s="175"/>
      <c r="GOO16" s="175"/>
      <c r="GOP16" s="175"/>
      <c r="GOQ16" s="175"/>
      <c r="GOR16" s="175"/>
      <c r="GOS16" s="175"/>
      <c r="GOT16" s="175"/>
      <c r="GOU16" s="175"/>
      <c r="GOV16" s="175"/>
      <c r="GOW16" s="175"/>
      <c r="GOX16" s="175"/>
      <c r="GOY16" s="175"/>
      <c r="GOZ16" s="175"/>
      <c r="GPA16" s="175"/>
      <c r="GPB16" s="175"/>
      <c r="GPC16" s="175"/>
      <c r="GPD16" s="175"/>
      <c r="GPE16" s="175"/>
      <c r="GPF16" s="175"/>
      <c r="GPG16" s="175"/>
      <c r="GPH16" s="175"/>
      <c r="GPI16" s="175"/>
      <c r="GPJ16" s="175"/>
      <c r="GPK16" s="175"/>
      <c r="GPL16" s="175"/>
      <c r="GPM16" s="175"/>
      <c r="GPN16" s="175"/>
      <c r="GPO16" s="175"/>
      <c r="GPP16" s="175"/>
      <c r="GPQ16" s="175"/>
      <c r="GPR16" s="175"/>
      <c r="GPS16" s="175"/>
      <c r="GPT16" s="175"/>
      <c r="GPU16" s="175"/>
      <c r="GPV16" s="175"/>
      <c r="GPW16" s="175"/>
      <c r="GPX16" s="175"/>
      <c r="GPY16" s="175"/>
      <c r="GPZ16" s="175"/>
      <c r="GQA16" s="175"/>
      <c r="GQB16" s="175"/>
      <c r="GQC16" s="175"/>
      <c r="GQD16" s="175"/>
      <c r="GQE16" s="175"/>
      <c r="GQF16" s="175"/>
      <c r="GQG16" s="175"/>
      <c r="GQH16" s="175"/>
      <c r="GQI16" s="175"/>
      <c r="GQJ16" s="175"/>
      <c r="GQK16" s="175"/>
      <c r="GQL16" s="175"/>
      <c r="GQM16" s="175"/>
      <c r="GQN16" s="175"/>
      <c r="GQO16" s="175"/>
      <c r="GQP16" s="175"/>
      <c r="GQQ16" s="175"/>
      <c r="GQR16" s="175"/>
      <c r="GQS16" s="175"/>
      <c r="GQT16" s="175"/>
      <c r="GQU16" s="175"/>
      <c r="GQV16" s="175"/>
      <c r="GQW16" s="175"/>
      <c r="GQX16" s="175"/>
      <c r="GQY16" s="175"/>
      <c r="GQZ16" s="175"/>
      <c r="GRA16" s="175"/>
      <c r="GRB16" s="175"/>
      <c r="GRC16" s="175"/>
      <c r="GRD16" s="175"/>
      <c r="GRE16" s="175"/>
      <c r="GRF16" s="175"/>
      <c r="GRG16" s="175"/>
      <c r="GRH16" s="175"/>
      <c r="GRI16" s="175"/>
      <c r="GRJ16" s="175"/>
      <c r="GRK16" s="175"/>
      <c r="GRL16" s="175"/>
      <c r="GRM16" s="175"/>
      <c r="GRN16" s="175"/>
      <c r="GRO16" s="175"/>
      <c r="GRP16" s="175"/>
      <c r="GRQ16" s="175"/>
      <c r="GRR16" s="175"/>
      <c r="GRS16" s="175"/>
      <c r="GRT16" s="175"/>
      <c r="GRU16" s="175"/>
      <c r="GRV16" s="175"/>
      <c r="GRW16" s="175"/>
      <c r="GRX16" s="175"/>
      <c r="GRY16" s="175"/>
      <c r="GRZ16" s="175"/>
      <c r="GSA16" s="175"/>
      <c r="GSB16" s="175"/>
      <c r="GSC16" s="175"/>
      <c r="GSD16" s="175"/>
      <c r="GSE16" s="175"/>
      <c r="GSF16" s="175"/>
      <c r="GSG16" s="175"/>
      <c r="GSH16" s="175"/>
      <c r="GSI16" s="175"/>
      <c r="GSJ16" s="175"/>
      <c r="GSK16" s="175"/>
      <c r="GSL16" s="175"/>
      <c r="GSM16" s="175"/>
      <c r="GSN16" s="175"/>
      <c r="GSO16" s="175"/>
      <c r="GSP16" s="175"/>
      <c r="GSQ16" s="175"/>
      <c r="GSR16" s="175"/>
      <c r="GSS16" s="175"/>
      <c r="GST16" s="175"/>
      <c r="GSU16" s="175"/>
      <c r="GSV16" s="175"/>
      <c r="GSW16" s="175"/>
      <c r="GSX16" s="175"/>
      <c r="GSY16" s="175"/>
      <c r="GSZ16" s="175"/>
      <c r="GTA16" s="175"/>
      <c r="GTB16" s="175"/>
      <c r="GTC16" s="175"/>
      <c r="GTD16" s="175"/>
      <c r="GTE16" s="175"/>
      <c r="GTF16" s="175"/>
      <c r="GTG16" s="175"/>
      <c r="GTH16" s="175"/>
      <c r="GTI16" s="175"/>
      <c r="GTJ16" s="175"/>
      <c r="GTK16" s="175"/>
      <c r="GTL16" s="175"/>
      <c r="GTM16" s="175"/>
      <c r="GTN16" s="175"/>
      <c r="GTO16" s="175"/>
      <c r="GTP16" s="175"/>
      <c r="GTQ16" s="175"/>
      <c r="GTR16" s="175"/>
      <c r="GTS16" s="175"/>
      <c r="GTT16" s="175"/>
      <c r="GTU16" s="175"/>
      <c r="GTV16" s="175"/>
      <c r="GTW16" s="175"/>
      <c r="GTX16" s="175"/>
      <c r="GTY16" s="175"/>
      <c r="GTZ16" s="175"/>
      <c r="GUA16" s="175"/>
      <c r="GUB16" s="175"/>
      <c r="GUC16" s="175"/>
      <c r="GUD16" s="175"/>
      <c r="GUE16" s="175"/>
      <c r="GUF16" s="175"/>
      <c r="GUG16" s="175"/>
      <c r="GUH16" s="175"/>
      <c r="GUI16" s="175"/>
      <c r="GUJ16" s="175"/>
      <c r="GUK16" s="175"/>
      <c r="GUL16" s="175"/>
      <c r="GUM16" s="175"/>
      <c r="GUN16" s="175"/>
      <c r="GUO16" s="175"/>
      <c r="GUP16" s="175"/>
      <c r="GUQ16" s="175"/>
      <c r="GUR16" s="175"/>
      <c r="GUS16" s="175"/>
      <c r="GUT16" s="175"/>
      <c r="GUU16" s="175"/>
      <c r="GUV16" s="175"/>
      <c r="GUW16" s="175"/>
      <c r="GUX16" s="175"/>
      <c r="GUY16" s="175"/>
      <c r="GUZ16" s="175"/>
      <c r="GVA16" s="175"/>
      <c r="GVB16" s="175"/>
      <c r="GVC16" s="175"/>
      <c r="GVD16" s="175"/>
      <c r="GVE16" s="175"/>
      <c r="GVF16" s="175"/>
      <c r="GVG16" s="175"/>
      <c r="GVH16" s="175"/>
      <c r="GVI16" s="175"/>
      <c r="GVJ16" s="175"/>
      <c r="GVK16" s="175"/>
      <c r="GVL16" s="175"/>
      <c r="GVM16" s="175"/>
      <c r="GVN16" s="175"/>
      <c r="GVO16" s="175"/>
      <c r="GVP16" s="175"/>
      <c r="GVQ16" s="175"/>
      <c r="GVR16" s="175"/>
      <c r="GVS16" s="175"/>
      <c r="GVT16" s="175"/>
      <c r="GVU16" s="175"/>
      <c r="GVV16" s="175"/>
      <c r="GVW16" s="175"/>
      <c r="GVX16" s="175"/>
      <c r="GVY16" s="175"/>
      <c r="GVZ16" s="175"/>
      <c r="GWA16" s="175"/>
      <c r="GWB16" s="175"/>
      <c r="GWC16" s="175"/>
      <c r="GWD16" s="175"/>
      <c r="GWE16" s="175"/>
      <c r="GWF16" s="175"/>
      <c r="GWG16" s="175"/>
      <c r="GWH16" s="175"/>
      <c r="GWI16" s="175"/>
      <c r="GWJ16" s="175"/>
      <c r="GWK16" s="175"/>
      <c r="GWL16" s="175"/>
      <c r="GWM16" s="175"/>
      <c r="GWN16" s="175"/>
      <c r="GWO16" s="175"/>
      <c r="GWP16" s="175"/>
      <c r="GWQ16" s="175"/>
      <c r="GWR16" s="175"/>
      <c r="GWS16" s="175"/>
      <c r="GWT16" s="175"/>
      <c r="GWU16" s="175"/>
      <c r="GWV16" s="175"/>
      <c r="GWW16" s="175"/>
      <c r="GWX16" s="175"/>
      <c r="GWY16" s="175"/>
      <c r="GWZ16" s="175"/>
      <c r="GXA16" s="175"/>
      <c r="GXB16" s="175"/>
      <c r="GXC16" s="175"/>
      <c r="GXD16" s="175"/>
      <c r="GXE16" s="175"/>
      <c r="GXF16" s="175"/>
      <c r="GXG16" s="175"/>
      <c r="GXH16" s="175"/>
      <c r="GXI16" s="175"/>
      <c r="GXJ16" s="175"/>
      <c r="GXK16" s="175"/>
      <c r="GXL16" s="175"/>
      <c r="GXM16" s="175"/>
      <c r="GXN16" s="175"/>
      <c r="GXO16" s="175"/>
      <c r="GXP16" s="175"/>
      <c r="GXQ16" s="175"/>
      <c r="GXR16" s="175"/>
      <c r="GXS16" s="175"/>
      <c r="GXT16" s="175"/>
      <c r="GXU16" s="175"/>
      <c r="GXV16" s="175"/>
      <c r="GXW16" s="175"/>
      <c r="GXX16" s="175"/>
      <c r="GXY16" s="175"/>
      <c r="GXZ16" s="175"/>
      <c r="GYA16" s="175"/>
      <c r="GYB16" s="175"/>
      <c r="GYC16" s="175"/>
      <c r="GYD16" s="175"/>
      <c r="GYE16" s="175"/>
      <c r="GYF16" s="175"/>
      <c r="GYG16" s="175"/>
      <c r="GYH16" s="175"/>
      <c r="GYI16" s="175"/>
      <c r="GYJ16" s="175"/>
      <c r="GYK16" s="175"/>
      <c r="GYL16" s="175"/>
      <c r="GYM16" s="175"/>
      <c r="GYN16" s="175"/>
      <c r="GYO16" s="175"/>
      <c r="GYP16" s="175"/>
      <c r="GYQ16" s="175"/>
      <c r="GYR16" s="175"/>
      <c r="GYS16" s="175"/>
      <c r="GYT16" s="175"/>
      <c r="GYU16" s="175"/>
      <c r="GYV16" s="175"/>
      <c r="GYW16" s="175"/>
      <c r="GYX16" s="175"/>
      <c r="GYY16" s="175"/>
      <c r="GYZ16" s="175"/>
      <c r="GZA16" s="175"/>
      <c r="GZB16" s="175"/>
      <c r="GZC16" s="175"/>
      <c r="GZD16" s="175"/>
      <c r="GZE16" s="175"/>
      <c r="GZF16" s="175"/>
      <c r="GZG16" s="175"/>
      <c r="GZH16" s="175"/>
      <c r="GZI16" s="175"/>
      <c r="GZJ16" s="175"/>
      <c r="GZK16" s="175"/>
      <c r="GZL16" s="175"/>
      <c r="GZM16" s="175"/>
      <c r="GZN16" s="175"/>
      <c r="GZO16" s="175"/>
      <c r="GZP16" s="175"/>
      <c r="GZQ16" s="175"/>
      <c r="GZR16" s="175"/>
      <c r="GZS16" s="175"/>
      <c r="GZT16" s="175"/>
      <c r="GZU16" s="175"/>
      <c r="GZV16" s="175"/>
      <c r="GZW16" s="175"/>
      <c r="GZX16" s="175"/>
      <c r="GZY16" s="175"/>
      <c r="GZZ16" s="175"/>
      <c r="HAA16" s="175"/>
      <c r="HAB16" s="175"/>
      <c r="HAC16" s="175"/>
      <c r="HAD16" s="175"/>
      <c r="HAE16" s="175"/>
      <c r="HAF16" s="175"/>
      <c r="HAG16" s="175"/>
      <c r="HAH16" s="175"/>
      <c r="HAI16" s="175"/>
      <c r="HAJ16" s="175"/>
      <c r="HAK16" s="175"/>
      <c r="HAL16" s="175"/>
      <c r="HAM16" s="175"/>
      <c r="HAN16" s="175"/>
      <c r="HAO16" s="175"/>
      <c r="HAP16" s="175"/>
      <c r="HAQ16" s="175"/>
      <c r="HAR16" s="175"/>
      <c r="HAS16" s="175"/>
      <c r="HAT16" s="175"/>
      <c r="HAU16" s="175"/>
      <c r="HAV16" s="175"/>
      <c r="HAW16" s="175"/>
      <c r="HAX16" s="175"/>
      <c r="HAY16" s="175"/>
      <c r="HAZ16" s="175"/>
      <c r="HBA16" s="175"/>
      <c r="HBB16" s="175"/>
      <c r="HBC16" s="175"/>
      <c r="HBD16" s="175"/>
      <c r="HBE16" s="175"/>
      <c r="HBF16" s="175"/>
      <c r="HBG16" s="175"/>
      <c r="HBH16" s="175"/>
      <c r="HBI16" s="175"/>
      <c r="HBJ16" s="175"/>
      <c r="HBK16" s="175"/>
      <c r="HBL16" s="175"/>
      <c r="HBM16" s="175"/>
      <c r="HBN16" s="175"/>
      <c r="HBO16" s="175"/>
      <c r="HBP16" s="175"/>
      <c r="HBQ16" s="175"/>
      <c r="HBR16" s="175"/>
      <c r="HBS16" s="175"/>
      <c r="HBT16" s="175"/>
      <c r="HBU16" s="175"/>
      <c r="HBV16" s="175"/>
      <c r="HBW16" s="175"/>
      <c r="HBX16" s="175"/>
      <c r="HBY16" s="175"/>
      <c r="HBZ16" s="175"/>
      <c r="HCA16" s="175"/>
      <c r="HCB16" s="175"/>
      <c r="HCC16" s="175"/>
      <c r="HCD16" s="175"/>
      <c r="HCE16" s="175"/>
      <c r="HCF16" s="175"/>
      <c r="HCG16" s="175"/>
      <c r="HCH16" s="175"/>
      <c r="HCI16" s="175"/>
      <c r="HCJ16" s="175"/>
      <c r="HCK16" s="175"/>
      <c r="HCL16" s="175"/>
      <c r="HCM16" s="175"/>
      <c r="HCN16" s="175"/>
      <c r="HCO16" s="175"/>
      <c r="HCP16" s="175"/>
      <c r="HCQ16" s="175"/>
      <c r="HCR16" s="175"/>
      <c r="HCS16" s="175"/>
      <c r="HCT16" s="175"/>
      <c r="HCU16" s="175"/>
      <c r="HCV16" s="175"/>
      <c r="HCW16" s="175"/>
      <c r="HCX16" s="175"/>
      <c r="HCY16" s="175"/>
      <c r="HCZ16" s="175"/>
      <c r="HDA16" s="175"/>
      <c r="HDB16" s="175"/>
      <c r="HDC16" s="175"/>
      <c r="HDD16" s="175"/>
      <c r="HDE16" s="175"/>
      <c r="HDF16" s="175"/>
      <c r="HDG16" s="175"/>
      <c r="HDH16" s="175"/>
      <c r="HDI16" s="175"/>
      <c r="HDJ16" s="175"/>
      <c r="HDK16" s="175"/>
      <c r="HDL16" s="175"/>
      <c r="HDM16" s="175"/>
      <c r="HDN16" s="175"/>
      <c r="HDO16" s="175"/>
      <c r="HDP16" s="175"/>
      <c r="HDQ16" s="175"/>
      <c r="HDR16" s="175"/>
      <c r="HDS16" s="175"/>
      <c r="HDT16" s="175"/>
      <c r="HDU16" s="175"/>
      <c r="HDV16" s="175"/>
      <c r="HDW16" s="175"/>
      <c r="HDX16" s="175"/>
      <c r="HDY16" s="175"/>
      <c r="HDZ16" s="175"/>
      <c r="HEA16" s="175"/>
      <c r="HEB16" s="175"/>
      <c r="HEC16" s="175"/>
      <c r="HED16" s="175"/>
      <c r="HEE16" s="175"/>
      <c r="HEF16" s="175"/>
      <c r="HEG16" s="175"/>
      <c r="HEH16" s="175"/>
      <c r="HEI16" s="175"/>
      <c r="HEJ16" s="175"/>
      <c r="HEK16" s="175"/>
      <c r="HEL16" s="175"/>
      <c r="HEM16" s="175"/>
      <c r="HEN16" s="175"/>
      <c r="HEO16" s="175"/>
      <c r="HEP16" s="175"/>
      <c r="HEQ16" s="175"/>
      <c r="HER16" s="175"/>
      <c r="HES16" s="175"/>
      <c r="HET16" s="175"/>
      <c r="HEU16" s="175"/>
      <c r="HEV16" s="175"/>
      <c r="HEW16" s="175"/>
      <c r="HEX16" s="175"/>
      <c r="HEY16" s="175"/>
      <c r="HEZ16" s="175"/>
      <c r="HFA16" s="175"/>
      <c r="HFB16" s="175"/>
      <c r="HFC16" s="175"/>
      <c r="HFD16" s="175"/>
      <c r="HFE16" s="175"/>
      <c r="HFF16" s="175"/>
      <c r="HFG16" s="175"/>
      <c r="HFH16" s="175"/>
      <c r="HFI16" s="175"/>
      <c r="HFJ16" s="175"/>
      <c r="HFK16" s="175"/>
      <c r="HFL16" s="175"/>
      <c r="HFM16" s="175"/>
      <c r="HFN16" s="175"/>
      <c r="HFO16" s="175"/>
      <c r="HFP16" s="175"/>
      <c r="HFQ16" s="175"/>
      <c r="HFR16" s="175"/>
      <c r="HFS16" s="175"/>
      <c r="HFT16" s="175"/>
      <c r="HFU16" s="175"/>
      <c r="HFV16" s="175"/>
      <c r="HFW16" s="175"/>
      <c r="HFX16" s="175"/>
      <c r="HFY16" s="175"/>
      <c r="HFZ16" s="175"/>
      <c r="HGA16" s="175"/>
      <c r="HGB16" s="175"/>
      <c r="HGC16" s="175"/>
      <c r="HGD16" s="175"/>
      <c r="HGE16" s="175"/>
      <c r="HGF16" s="175"/>
      <c r="HGG16" s="175"/>
      <c r="HGH16" s="175"/>
      <c r="HGI16" s="175"/>
      <c r="HGJ16" s="175"/>
      <c r="HGK16" s="175"/>
      <c r="HGL16" s="175"/>
      <c r="HGM16" s="175"/>
      <c r="HGN16" s="175"/>
      <c r="HGO16" s="175"/>
      <c r="HGP16" s="175"/>
      <c r="HGQ16" s="175"/>
      <c r="HGR16" s="175"/>
      <c r="HGS16" s="175"/>
      <c r="HGT16" s="175"/>
      <c r="HGU16" s="175"/>
      <c r="HGV16" s="175"/>
      <c r="HGW16" s="175"/>
      <c r="HGX16" s="175"/>
      <c r="HGY16" s="175"/>
      <c r="HGZ16" s="175"/>
      <c r="HHA16" s="175"/>
      <c r="HHB16" s="175"/>
      <c r="HHC16" s="175"/>
      <c r="HHD16" s="175"/>
      <c r="HHE16" s="175"/>
      <c r="HHF16" s="175"/>
      <c r="HHG16" s="175"/>
      <c r="HHH16" s="175"/>
      <c r="HHI16" s="175"/>
      <c r="HHJ16" s="175"/>
      <c r="HHK16" s="175"/>
      <c r="HHL16" s="175"/>
      <c r="HHM16" s="175"/>
      <c r="HHN16" s="175"/>
      <c r="HHO16" s="175"/>
      <c r="HHP16" s="175"/>
      <c r="HHQ16" s="175"/>
      <c r="HHR16" s="175"/>
      <c r="HHS16" s="175"/>
      <c r="HHT16" s="175"/>
      <c r="HHU16" s="175"/>
      <c r="HHV16" s="175"/>
      <c r="HHW16" s="175"/>
      <c r="HHX16" s="175"/>
      <c r="HHY16" s="175"/>
      <c r="HHZ16" s="175"/>
      <c r="HIA16" s="175"/>
      <c r="HIB16" s="175"/>
      <c r="HIC16" s="175"/>
      <c r="HID16" s="175"/>
      <c r="HIE16" s="175"/>
      <c r="HIF16" s="175"/>
      <c r="HIG16" s="175"/>
      <c r="HIH16" s="175"/>
      <c r="HII16" s="175"/>
      <c r="HIJ16" s="175"/>
      <c r="HIK16" s="175"/>
      <c r="HIL16" s="175"/>
      <c r="HIM16" s="175"/>
      <c r="HIN16" s="175"/>
      <c r="HIO16" s="175"/>
      <c r="HIP16" s="175"/>
      <c r="HIQ16" s="175"/>
      <c r="HIR16" s="175"/>
      <c r="HIS16" s="175"/>
      <c r="HIT16" s="175"/>
      <c r="HIU16" s="175"/>
      <c r="HIV16" s="175"/>
      <c r="HIW16" s="175"/>
      <c r="HIX16" s="175"/>
      <c r="HIY16" s="175"/>
      <c r="HIZ16" s="175"/>
      <c r="HJA16" s="175"/>
      <c r="HJB16" s="175"/>
      <c r="HJC16" s="175"/>
      <c r="HJD16" s="175"/>
      <c r="HJE16" s="175"/>
      <c r="HJF16" s="175"/>
      <c r="HJG16" s="175"/>
      <c r="HJH16" s="175"/>
      <c r="HJI16" s="175"/>
      <c r="HJJ16" s="175"/>
      <c r="HJK16" s="175"/>
      <c r="HJL16" s="175"/>
      <c r="HJM16" s="175"/>
      <c r="HJN16" s="175"/>
      <c r="HJO16" s="175"/>
      <c r="HJP16" s="175"/>
      <c r="HJQ16" s="175"/>
      <c r="HJR16" s="175"/>
      <c r="HJS16" s="175"/>
      <c r="HJT16" s="175"/>
      <c r="HJU16" s="175"/>
      <c r="HJV16" s="175"/>
      <c r="HJW16" s="175"/>
      <c r="HJX16" s="175"/>
      <c r="HJY16" s="175"/>
      <c r="HJZ16" s="175"/>
      <c r="HKA16" s="175"/>
      <c r="HKB16" s="175"/>
      <c r="HKC16" s="175"/>
      <c r="HKD16" s="175"/>
      <c r="HKE16" s="175"/>
      <c r="HKF16" s="175"/>
      <c r="HKG16" s="175"/>
      <c r="HKH16" s="175"/>
      <c r="HKI16" s="175"/>
      <c r="HKJ16" s="175"/>
      <c r="HKK16" s="175"/>
      <c r="HKL16" s="175"/>
      <c r="HKM16" s="175"/>
      <c r="HKN16" s="175"/>
      <c r="HKO16" s="175"/>
      <c r="HKP16" s="175"/>
      <c r="HKQ16" s="175"/>
      <c r="HKR16" s="175"/>
      <c r="HKS16" s="175"/>
      <c r="HKT16" s="175"/>
      <c r="HKU16" s="175"/>
      <c r="HKV16" s="175"/>
      <c r="HKW16" s="175"/>
      <c r="HKX16" s="175"/>
      <c r="HKY16" s="175"/>
      <c r="HKZ16" s="175"/>
      <c r="HLA16" s="175"/>
      <c r="HLB16" s="175"/>
      <c r="HLC16" s="175"/>
      <c r="HLD16" s="175"/>
      <c r="HLE16" s="175"/>
      <c r="HLF16" s="175"/>
      <c r="HLG16" s="175"/>
      <c r="HLH16" s="175"/>
      <c r="HLI16" s="175"/>
      <c r="HLJ16" s="175"/>
      <c r="HLK16" s="175"/>
      <c r="HLL16" s="175"/>
      <c r="HLM16" s="175"/>
      <c r="HLN16" s="175"/>
      <c r="HLO16" s="175"/>
      <c r="HLP16" s="175"/>
      <c r="HLQ16" s="175"/>
      <c r="HLR16" s="175"/>
      <c r="HLS16" s="175"/>
      <c r="HLT16" s="175"/>
      <c r="HLU16" s="175"/>
      <c r="HLV16" s="175"/>
      <c r="HLW16" s="175"/>
      <c r="HLX16" s="175"/>
      <c r="HLY16" s="175"/>
      <c r="HLZ16" s="175"/>
      <c r="HMA16" s="175"/>
      <c r="HMB16" s="175"/>
      <c r="HMC16" s="175"/>
      <c r="HMD16" s="175"/>
      <c r="HME16" s="175"/>
      <c r="HMF16" s="175"/>
      <c r="HMG16" s="175"/>
      <c r="HMH16" s="175"/>
      <c r="HMI16" s="175"/>
      <c r="HMJ16" s="175"/>
      <c r="HMK16" s="175"/>
      <c r="HML16" s="175"/>
      <c r="HMM16" s="175"/>
      <c r="HMN16" s="175"/>
      <c r="HMO16" s="175"/>
      <c r="HMP16" s="175"/>
      <c r="HMQ16" s="175"/>
      <c r="HMR16" s="175"/>
      <c r="HMS16" s="175"/>
      <c r="HMT16" s="175"/>
      <c r="HMU16" s="175"/>
      <c r="HMV16" s="175"/>
      <c r="HMW16" s="175"/>
      <c r="HMX16" s="175"/>
      <c r="HMY16" s="175"/>
      <c r="HMZ16" s="175"/>
      <c r="HNA16" s="175"/>
      <c r="HNB16" s="175"/>
      <c r="HNC16" s="175"/>
      <c r="HND16" s="175"/>
      <c r="HNE16" s="175"/>
      <c r="HNF16" s="175"/>
      <c r="HNG16" s="175"/>
      <c r="HNH16" s="175"/>
      <c r="HNI16" s="175"/>
      <c r="HNJ16" s="175"/>
      <c r="HNK16" s="175"/>
      <c r="HNL16" s="175"/>
      <c r="HNM16" s="175"/>
      <c r="HNN16" s="175"/>
      <c r="HNO16" s="175"/>
      <c r="HNP16" s="175"/>
      <c r="HNQ16" s="175"/>
      <c r="HNR16" s="175"/>
      <c r="HNS16" s="175"/>
      <c r="HNT16" s="175"/>
      <c r="HNU16" s="175"/>
      <c r="HNV16" s="175"/>
      <c r="HNW16" s="175"/>
      <c r="HNX16" s="175"/>
      <c r="HNY16" s="175"/>
      <c r="HNZ16" s="175"/>
      <c r="HOA16" s="175"/>
      <c r="HOB16" s="175"/>
      <c r="HOC16" s="175"/>
      <c r="HOD16" s="175"/>
      <c r="HOE16" s="175"/>
      <c r="HOF16" s="175"/>
      <c r="HOG16" s="175"/>
      <c r="HOH16" s="175"/>
      <c r="HOI16" s="175"/>
      <c r="HOJ16" s="175"/>
      <c r="HOK16" s="175"/>
      <c r="HOL16" s="175"/>
      <c r="HOM16" s="175"/>
      <c r="HON16" s="175"/>
      <c r="HOO16" s="175"/>
      <c r="HOP16" s="175"/>
      <c r="HOQ16" s="175"/>
      <c r="HOR16" s="175"/>
      <c r="HOS16" s="175"/>
      <c r="HOT16" s="175"/>
      <c r="HOU16" s="175"/>
      <c r="HOV16" s="175"/>
      <c r="HOW16" s="175"/>
      <c r="HOX16" s="175"/>
      <c r="HOY16" s="175"/>
      <c r="HOZ16" s="175"/>
      <c r="HPA16" s="175"/>
      <c r="HPB16" s="175"/>
      <c r="HPC16" s="175"/>
      <c r="HPD16" s="175"/>
      <c r="HPE16" s="175"/>
      <c r="HPF16" s="175"/>
      <c r="HPG16" s="175"/>
      <c r="HPH16" s="175"/>
      <c r="HPI16" s="175"/>
      <c r="HPJ16" s="175"/>
      <c r="HPK16" s="175"/>
      <c r="HPL16" s="175"/>
      <c r="HPM16" s="175"/>
      <c r="HPN16" s="175"/>
      <c r="HPO16" s="175"/>
      <c r="HPP16" s="175"/>
      <c r="HPQ16" s="175"/>
      <c r="HPR16" s="175"/>
      <c r="HPS16" s="175"/>
      <c r="HPT16" s="175"/>
      <c r="HPU16" s="175"/>
      <c r="HPV16" s="175"/>
      <c r="HPW16" s="175"/>
      <c r="HPX16" s="175"/>
      <c r="HPY16" s="175"/>
      <c r="HPZ16" s="175"/>
      <c r="HQA16" s="175"/>
      <c r="HQB16" s="175"/>
      <c r="HQC16" s="175"/>
      <c r="HQD16" s="175"/>
      <c r="HQE16" s="175"/>
      <c r="HQF16" s="175"/>
      <c r="HQG16" s="175"/>
      <c r="HQH16" s="175"/>
      <c r="HQI16" s="175"/>
      <c r="HQJ16" s="175"/>
      <c r="HQK16" s="175"/>
      <c r="HQL16" s="175"/>
      <c r="HQM16" s="175"/>
      <c r="HQN16" s="175"/>
      <c r="HQO16" s="175"/>
      <c r="HQP16" s="175"/>
      <c r="HQQ16" s="175"/>
      <c r="HQR16" s="175"/>
      <c r="HQS16" s="175"/>
      <c r="HQT16" s="175"/>
      <c r="HQU16" s="175"/>
      <c r="HQV16" s="175"/>
      <c r="HQW16" s="175"/>
      <c r="HQX16" s="175"/>
      <c r="HQY16" s="175"/>
      <c r="HQZ16" s="175"/>
      <c r="HRA16" s="175"/>
      <c r="HRB16" s="175"/>
      <c r="HRC16" s="175"/>
      <c r="HRD16" s="175"/>
      <c r="HRE16" s="175"/>
      <c r="HRF16" s="175"/>
      <c r="HRG16" s="175"/>
      <c r="HRH16" s="175"/>
      <c r="HRI16" s="175"/>
      <c r="HRJ16" s="175"/>
      <c r="HRK16" s="175"/>
      <c r="HRL16" s="175"/>
      <c r="HRM16" s="175"/>
      <c r="HRN16" s="175"/>
      <c r="HRO16" s="175"/>
      <c r="HRP16" s="175"/>
      <c r="HRQ16" s="175"/>
      <c r="HRR16" s="175"/>
      <c r="HRS16" s="175"/>
      <c r="HRT16" s="175"/>
      <c r="HRU16" s="175"/>
      <c r="HRV16" s="175"/>
      <c r="HRW16" s="175"/>
      <c r="HRX16" s="175"/>
      <c r="HRY16" s="175"/>
      <c r="HRZ16" s="175"/>
      <c r="HSA16" s="175"/>
      <c r="HSB16" s="175"/>
      <c r="HSC16" s="175"/>
      <c r="HSD16" s="175"/>
      <c r="HSE16" s="175"/>
      <c r="HSF16" s="175"/>
      <c r="HSG16" s="175"/>
      <c r="HSH16" s="175"/>
      <c r="HSI16" s="175"/>
      <c r="HSJ16" s="175"/>
      <c r="HSK16" s="175"/>
      <c r="HSL16" s="175"/>
      <c r="HSM16" s="175"/>
      <c r="HSN16" s="175"/>
      <c r="HSO16" s="175"/>
      <c r="HSP16" s="175"/>
      <c r="HSQ16" s="175"/>
      <c r="HSR16" s="175"/>
      <c r="HSS16" s="175"/>
      <c r="HST16" s="175"/>
      <c r="HSU16" s="175"/>
      <c r="HSV16" s="175"/>
      <c r="HSW16" s="175"/>
      <c r="HSX16" s="175"/>
      <c r="HSY16" s="175"/>
      <c r="HSZ16" s="175"/>
      <c r="HTA16" s="175"/>
      <c r="HTB16" s="175"/>
      <c r="HTC16" s="175"/>
      <c r="HTD16" s="175"/>
      <c r="HTE16" s="175"/>
      <c r="HTF16" s="175"/>
      <c r="HTG16" s="175"/>
      <c r="HTH16" s="175"/>
      <c r="HTI16" s="175"/>
      <c r="HTJ16" s="175"/>
      <c r="HTK16" s="175"/>
      <c r="HTL16" s="175"/>
      <c r="HTM16" s="175"/>
      <c r="HTN16" s="175"/>
      <c r="HTO16" s="175"/>
      <c r="HTP16" s="175"/>
      <c r="HTQ16" s="175"/>
      <c r="HTR16" s="175"/>
      <c r="HTS16" s="175"/>
      <c r="HTT16" s="175"/>
      <c r="HTU16" s="175"/>
      <c r="HTV16" s="175"/>
      <c r="HTW16" s="175"/>
      <c r="HTX16" s="175"/>
      <c r="HTY16" s="175"/>
      <c r="HTZ16" s="175"/>
      <c r="HUA16" s="175"/>
      <c r="HUB16" s="175"/>
      <c r="HUC16" s="175"/>
      <c r="HUD16" s="175"/>
      <c r="HUE16" s="175"/>
      <c r="HUF16" s="175"/>
      <c r="HUG16" s="175"/>
      <c r="HUH16" s="175"/>
      <c r="HUI16" s="175"/>
      <c r="HUJ16" s="175"/>
      <c r="HUK16" s="175"/>
      <c r="HUL16" s="175"/>
      <c r="HUM16" s="175"/>
      <c r="HUN16" s="175"/>
      <c r="HUO16" s="175"/>
      <c r="HUP16" s="175"/>
      <c r="HUQ16" s="175"/>
      <c r="HUR16" s="175"/>
      <c r="HUS16" s="175"/>
      <c r="HUT16" s="175"/>
      <c r="HUU16" s="175"/>
      <c r="HUV16" s="175"/>
      <c r="HUW16" s="175"/>
      <c r="HUX16" s="175"/>
      <c r="HUY16" s="175"/>
      <c r="HUZ16" s="175"/>
      <c r="HVA16" s="175"/>
      <c r="HVB16" s="175"/>
      <c r="HVC16" s="175"/>
      <c r="HVD16" s="175"/>
      <c r="HVE16" s="175"/>
      <c r="HVF16" s="175"/>
      <c r="HVG16" s="175"/>
      <c r="HVH16" s="175"/>
      <c r="HVI16" s="175"/>
      <c r="HVJ16" s="175"/>
      <c r="HVK16" s="175"/>
      <c r="HVL16" s="175"/>
      <c r="HVM16" s="175"/>
      <c r="HVN16" s="175"/>
      <c r="HVO16" s="175"/>
      <c r="HVP16" s="175"/>
      <c r="HVQ16" s="175"/>
      <c r="HVR16" s="175"/>
      <c r="HVS16" s="175"/>
      <c r="HVT16" s="175"/>
      <c r="HVU16" s="175"/>
      <c r="HVV16" s="175"/>
      <c r="HVW16" s="175"/>
      <c r="HVX16" s="175"/>
      <c r="HVY16" s="175"/>
      <c r="HVZ16" s="175"/>
      <c r="HWA16" s="175"/>
      <c r="HWB16" s="175"/>
      <c r="HWC16" s="175"/>
      <c r="HWD16" s="175"/>
      <c r="HWE16" s="175"/>
      <c r="HWF16" s="175"/>
      <c r="HWG16" s="175"/>
      <c r="HWH16" s="175"/>
      <c r="HWI16" s="175"/>
      <c r="HWJ16" s="175"/>
      <c r="HWK16" s="175"/>
      <c r="HWL16" s="175"/>
      <c r="HWM16" s="175"/>
      <c r="HWN16" s="175"/>
      <c r="HWO16" s="175"/>
      <c r="HWP16" s="175"/>
      <c r="HWQ16" s="175"/>
      <c r="HWR16" s="175"/>
      <c r="HWS16" s="175"/>
      <c r="HWT16" s="175"/>
      <c r="HWU16" s="175"/>
      <c r="HWV16" s="175"/>
      <c r="HWW16" s="175"/>
      <c r="HWX16" s="175"/>
      <c r="HWY16" s="175"/>
      <c r="HWZ16" s="175"/>
      <c r="HXA16" s="175"/>
      <c r="HXB16" s="175"/>
      <c r="HXC16" s="175"/>
      <c r="HXD16" s="175"/>
      <c r="HXE16" s="175"/>
      <c r="HXF16" s="175"/>
      <c r="HXG16" s="175"/>
      <c r="HXH16" s="175"/>
      <c r="HXI16" s="175"/>
      <c r="HXJ16" s="175"/>
      <c r="HXK16" s="175"/>
      <c r="HXL16" s="175"/>
      <c r="HXM16" s="175"/>
      <c r="HXN16" s="175"/>
      <c r="HXO16" s="175"/>
      <c r="HXP16" s="175"/>
      <c r="HXQ16" s="175"/>
      <c r="HXR16" s="175"/>
      <c r="HXS16" s="175"/>
      <c r="HXT16" s="175"/>
      <c r="HXU16" s="175"/>
      <c r="HXV16" s="175"/>
      <c r="HXW16" s="175"/>
      <c r="HXX16" s="175"/>
      <c r="HXY16" s="175"/>
      <c r="HXZ16" s="175"/>
      <c r="HYA16" s="175"/>
      <c r="HYB16" s="175"/>
      <c r="HYC16" s="175"/>
      <c r="HYD16" s="175"/>
      <c r="HYE16" s="175"/>
      <c r="HYF16" s="175"/>
      <c r="HYG16" s="175"/>
      <c r="HYH16" s="175"/>
      <c r="HYI16" s="175"/>
      <c r="HYJ16" s="175"/>
      <c r="HYK16" s="175"/>
      <c r="HYL16" s="175"/>
      <c r="HYM16" s="175"/>
      <c r="HYN16" s="175"/>
      <c r="HYO16" s="175"/>
      <c r="HYP16" s="175"/>
      <c r="HYQ16" s="175"/>
      <c r="HYR16" s="175"/>
      <c r="HYS16" s="175"/>
      <c r="HYT16" s="175"/>
      <c r="HYU16" s="175"/>
      <c r="HYV16" s="175"/>
      <c r="HYW16" s="175"/>
      <c r="HYX16" s="175"/>
      <c r="HYY16" s="175"/>
      <c r="HYZ16" s="175"/>
      <c r="HZA16" s="175"/>
      <c r="HZB16" s="175"/>
      <c r="HZC16" s="175"/>
      <c r="HZD16" s="175"/>
      <c r="HZE16" s="175"/>
      <c r="HZF16" s="175"/>
      <c r="HZG16" s="175"/>
      <c r="HZH16" s="175"/>
      <c r="HZI16" s="175"/>
      <c r="HZJ16" s="175"/>
      <c r="HZK16" s="175"/>
      <c r="HZL16" s="175"/>
      <c r="HZM16" s="175"/>
      <c r="HZN16" s="175"/>
      <c r="HZO16" s="175"/>
      <c r="HZP16" s="175"/>
      <c r="HZQ16" s="175"/>
      <c r="HZR16" s="175"/>
      <c r="HZS16" s="175"/>
      <c r="HZT16" s="175"/>
      <c r="HZU16" s="175"/>
      <c r="HZV16" s="175"/>
      <c r="HZW16" s="175"/>
      <c r="HZX16" s="175"/>
      <c r="HZY16" s="175"/>
      <c r="HZZ16" s="175"/>
      <c r="IAA16" s="175"/>
      <c r="IAB16" s="175"/>
      <c r="IAC16" s="175"/>
      <c r="IAD16" s="175"/>
      <c r="IAE16" s="175"/>
      <c r="IAF16" s="175"/>
      <c r="IAG16" s="175"/>
      <c r="IAH16" s="175"/>
      <c r="IAI16" s="175"/>
      <c r="IAJ16" s="175"/>
      <c r="IAK16" s="175"/>
      <c r="IAL16" s="175"/>
      <c r="IAM16" s="175"/>
      <c r="IAN16" s="175"/>
      <c r="IAO16" s="175"/>
      <c r="IAP16" s="175"/>
      <c r="IAQ16" s="175"/>
      <c r="IAR16" s="175"/>
      <c r="IAS16" s="175"/>
      <c r="IAT16" s="175"/>
      <c r="IAU16" s="175"/>
      <c r="IAV16" s="175"/>
      <c r="IAW16" s="175"/>
      <c r="IAX16" s="175"/>
      <c r="IAY16" s="175"/>
      <c r="IAZ16" s="175"/>
      <c r="IBA16" s="175"/>
      <c r="IBB16" s="175"/>
      <c r="IBC16" s="175"/>
      <c r="IBD16" s="175"/>
      <c r="IBE16" s="175"/>
      <c r="IBF16" s="175"/>
      <c r="IBG16" s="175"/>
      <c r="IBH16" s="175"/>
      <c r="IBI16" s="175"/>
      <c r="IBJ16" s="175"/>
      <c r="IBK16" s="175"/>
      <c r="IBL16" s="175"/>
      <c r="IBM16" s="175"/>
      <c r="IBN16" s="175"/>
      <c r="IBO16" s="175"/>
      <c r="IBP16" s="175"/>
      <c r="IBQ16" s="175"/>
      <c r="IBR16" s="175"/>
      <c r="IBS16" s="175"/>
      <c r="IBT16" s="175"/>
      <c r="IBU16" s="175"/>
      <c r="IBV16" s="175"/>
      <c r="IBW16" s="175"/>
      <c r="IBX16" s="175"/>
      <c r="IBY16" s="175"/>
      <c r="IBZ16" s="175"/>
      <c r="ICA16" s="175"/>
      <c r="ICB16" s="175"/>
      <c r="ICC16" s="175"/>
      <c r="ICD16" s="175"/>
      <c r="ICE16" s="175"/>
      <c r="ICF16" s="175"/>
      <c r="ICG16" s="175"/>
      <c r="ICH16" s="175"/>
      <c r="ICI16" s="175"/>
      <c r="ICJ16" s="175"/>
      <c r="ICK16" s="175"/>
      <c r="ICL16" s="175"/>
      <c r="ICM16" s="175"/>
      <c r="ICN16" s="175"/>
      <c r="ICO16" s="175"/>
      <c r="ICP16" s="175"/>
      <c r="ICQ16" s="175"/>
      <c r="ICR16" s="175"/>
      <c r="ICS16" s="175"/>
      <c r="ICT16" s="175"/>
      <c r="ICU16" s="175"/>
      <c r="ICV16" s="175"/>
      <c r="ICW16" s="175"/>
      <c r="ICX16" s="175"/>
      <c r="ICY16" s="175"/>
      <c r="ICZ16" s="175"/>
      <c r="IDA16" s="175"/>
      <c r="IDB16" s="175"/>
      <c r="IDC16" s="175"/>
      <c r="IDD16" s="175"/>
      <c r="IDE16" s="175"/>
      <c r="IDF16" s="175"/>
      <c r="IDG16" s="175"/>
      <c r="IDH16" s="175"/>
      <c r="IDI16" s="175"/>
      <c r="IDJ16" s="175"/>
      <c r="IDK16" s="175"/>
      <c r="IDL16" s="175"/>
      <c r="IDM16" s="175"/>
      <c r="IDN16" s="175"/>
      <c r="IDO16" s="175"/>
      <c r="IDP16" s="175"/>
      <c r="IDQ16" s="175"/>
      <c r="IDR16" s="175"/>
      <c r="IDS16" s="175"/>
      <c r="IDT16" s="175"/>
      <c r="IDU16" s="175"/>
      <c r="IDV16" s="175"/>
      <c r="IDW16" s="175"/>
      <c r="IDX16" s="175"/>
      <c r="IDY16" s="175"/>
      <c r="IDZ16" s="175"/>
      <c r="IEA16" s="175"/>
      <c r="IEB16" s="175"/>
      <c r="IEC16" s="175"/>
      <c r="IED16" s="175"/>
      <c r="IEE16" s="175"/>
      <c r="IEF16" s="175"/>
      <c r="IEG16" s="175"/>
      <c r="IEH16" s="175"/>
      <c r="IEI16" s="175"/>
      <c r="IEJ16" s="175"/>
      <c r="IEK16" s="175"/>
      <c r="IEL16" s="175"/>
      <c r="IEM16" s="175"/>
      <c r="IEN16" s="175"/>
      <c r="IEO16" s="175"/>
      <c r="IEP16" s="175"/>
      <c r="IEQ16" s="175"/>
      <c r="IER16" s="175"/>
      <c r="IES16" s="175"/>
      <c r="IET16" s="175"/>
      <c r="IEU16" s="175"/>
      <c r="IEV16" s="175"/>
      <c r="IEW16" s="175"/>
      <c r="IEX16" s="175"/>
      <c r="IEY16" s="175"/>
      <c r="IEZ16" s="175"/>
      <c r="IFA16" s="175"/>
      <c r="IFB16" s="175"/>
      <c r="IFC16" s="175"/>
      <c r="IFD16" s="175"/>
      <c r="IFE16" s="175"/>
      <c r="IFF16" s="175"/>
      <c r="IFG16" s="175"/>
      <c r="IFH16" s="175"/>
      <c r="IFI16" s="175"/>
      <c r="IFJ16" s="175"/>
      <c r="IFK16" s="175"/>
      <c r="IFL16" s="175"/>
      <c r="IFM16" s="175"/>
      <c r="IFN16" s="175"/>
      <c r="IFO16" s="175"/>
      <c r="IFP16" s="175"/>
      <c r="IFQ16" s="175"/>
      <c r="IFR16" s="175"/>
      <c r="IFS16" s="175"/>
      <c r="IFT16" s="175"/>
      <c r="IFU16" s="175"/>
      <c r="IFV16" s="175"/>
      <c r="IFW16" s="175"/>
      <c r="IFX16" s="175"/>
      <c r="IFY16" s="175"/>
      <c r="IFZ16" s="175"/>
      <c r="IGA16" s="175"/>
      <c r="IGB16" s="175"/>
      <c r="IGC16" s="175"/>
      <c r="IGD16" s="175"/>
      <c r="IGE16" s="175"/>
      <c r="IGF16" s="175"/>
      <c r="IGG16" s="175"/>
      <c r="IGH16" s="175"/>
      <c r="IGI16" s="175"/>
      <c r="IGJ16" s="175"/>
      <c r="IGK16" s="175"/>
      <c r="IGL16" s="175"/>
      <c r="IGM16" s="175"/>
      <c r="IGN16" s="175"/>
      <c r="IGO16" s="175"/>
      <c r="IGP16" s="175"/>
      <c r="IGQ16" s="175"/>
      <c r="IGR16" s="175"/>
      <c r="IGS16" s="175"/>
      <c r="IGT16" s="175"/>
      <c r="IGU16" s="175"/>
      <c r="IGV16" s="175"/>
      <c r="IGW16" s="175"/>
      <c r="IGX16" s="175"/>
      <c r="IGY16" s="175"/>
      <c r="IGZ16" s="175"/>
      <c r="IHA16" s="175"/>
      <c r="IHB16" s="175"/>
      <c r="IHC16" s="175"/>
      <c r="IHD16" s="175"/>
      <c r="IHE16" s="175"/>
      <c r="IHF16" s="175"/>
      <c r="IHG16" s="175"/>
      <c r="IHH16" s="175"/>
      <c r="IHI16" s="175"/>
      <c r="IHJ16" s="175"/>
      <c r="IHK16" s="175"/>
      <c r="IHL16" s="175"/>
      <c r="IHM16" s="175"/>
      <c r="IHN16" s="175"/>
      <c r="IHO16" s="175"/>
      <c r="IHP16" s="175"/>
      <c r="IHQ16" s="175"/>
      <c r="IHR16" s="175"/>
      <c r="IHS16" s="175"/>
      <c r="IHT16" s="175"/>
      <c r="IHU16" s="175"/>
      <c r="IHV16" s="175"/>
      <c r="IHW16" s="175"/>
      <c r="IHX16" s="175"/>
      <c r="IHY16" s="175"/>
      <c r="IHZ16" s="175"/>
      <c r="IIA16" s="175"/>
      <c r="IIB16" s="175"/>
      <c r="IIC16" s="175"/>
      <c r="IID16" s="175"/>
      <c r="IIE16" s="175"/>
      <c r="IIF16" s="175"/>
      <c r="IIG16" s="175"/>
      <c r="IIH16" s="175"/>
      <c r="III16" s="175"/>
      <c r="IIJ16" s="175"/>
      <c r="IIK16" s="175"/>
      <c r="IIL16" s="175"/>
      <c r="IIM16" s="175"/>
      <c r="IIN16" s="175"/>
      <c r="IIO16" s="175"/>
      <c r="IIP16" s="175"/>
      <c r="IIQ16" s="175"/>
      <c r="IIR16" s="175"/>
      <c r="IIS16" s="175"/>
      <c r="IIT16" s="175"/>
      <c r="IIU16" s="175"/>
      <c r="IIV16" s="175"/>
      <c r="IIW16" s="175"/>
      <c r="IIX16" s="175"/>
      <c r="IIY16" s="175"/>
      <c r="IIZ16" s="175"/>
      <c r="IJA16" s="175"/>
      <c r="IJB16" s="175"/>
      <c r="IJC16" s="175"/>
      <c r="IJD16" s="175"/>
      <c r="IJE16" s="175"/>
      <c r="IJF16" s="175"/>
      <c r="IJG16" s="175"/>
      <c r="IJH16" s="175"/>
      <c r="IJI16" s="175"/>
      <c r="IJJ16" s="175"/>
      <c r="IJK16" s="175"/>
      <c r="IJL16" s="175"/>
      <c r="IJM16" s="175"/>
      <c r="IJN16" s="175"/>
      <c r="IJO16" s="175"/>
      <c r="IJP16" s="175"/>
      <c r="IJQ16" s="175"/>
      <c r="IJR16" s="175"/>
      <c r="IJS16" s="175"/>
      <c r="IJT16" s="175"/>
      <c r="IJU16" s="175"/>
      <c r="IJV16" s="175"/>
      <c r="IJW16" s="175"/>
      <c r="IJX16" s="175"/>
      <c r="IJY16" s="175"/>
      <c r="IJZ16" s="175"/>
      <c r="IKA16" s="175"/>
      <c r="IKB16" s="175"/>
      <c r="IKC16" s="175"/>
      <c r="IKD16" s="175"/>
      <c r="IKE16" s="175"/>
      <c r="IKF16" s="175"/>
      <c r="IKG16" s="175"/>
      <c r="IKH16" s="175"/>
      <c r="IKI16" s="175"/>
      <c r="IKJ16" s="175"/>
      <c r="IKK16" s="175"/>
      <c r="IKL16" s="175"/>
      <c r="IKM16" s="175"/>
      <c r="IKN16" s="175"/>
      <c r="IKO16" s="175"/>
      <c r="IKP16" s="175"/>
      <c r="IKQ16" s="175"/>
      <c r="IKR16" s="175"/>
      <c r="IKS16" s="175"/>
      <c r="IKT16" s="175"/>
      <c r="IKU16" s="175"/>
      <c r="IKV16" s="175"/>
      <c r="IKW16" s="175"/>
      <c r="IKX16" s="175"/>
      <c r="IKY16" s="175"/>
      <c r="IKZ16" s="175"/>
      <c r="ILA16" s="175"/>
      <c r="ILB16" s="175"/>
      <c r="ILC16" s="175"/>
      <c r="ILD16" s="175"/>
      <c r="ILE16" s="175"/>
      <c r="ILF16" s="175"/>
      <c r="ILG16" s="175"/>
      <c r="ILH16" s="175"/>
      <c r="ILI16" s="175"/>
      <c r="ILJ16" s="175"/>
      <c r="ILK16" s="175"/>
      <c r="ILL16" s="175"/>
      <c r="ILM16" s="175"/>
      <c r="ILN16" s="175"/>
      <c r="ILO16" s="175"/>
      <c r="ILP16" s="175"/>
      <c r="ILQ16" s="175"/>
      <c r="ILR16" s="175"/>
      <c r="ILS16" s="175"/>
      <c r="ILT16" s="175"/>
      <c r="ILU16" s="175"/>
      <c r="ILV16" s="175"/>
      <c r="ILW16" s="175"/>
      <c r="ILX16" s="175"/>
      <c r="ILY16" s="175"/>
      <c r="ILZ16" s="175"/>
      <c r="IMA16" s="175"/>
      <c r="IMB16" s="175"/>
      <c r="IMC16" s="175"/>
      <c r="IMD16" s="175"/>
      <c r="IME16" s="175"/>
      <c r="IMF16" s="175"/>
      <c r="IMG16" s="175"/>
      <c r="IMH16" s="175"/>
      <c r="IMI16" s="175"/>
      <c r="IMJ16" s="175"/>
      <c r="IMK16" s="175"/>
      <c r="IML16" s="175"/>
      <c r="IMM16" s="175"/>
      <c r="IMN16" s="175"/>
      <c r="IMO16" s="175"/>
      <c r="IMP16" s="175"/>
      <c r="IMQ16" s="175"/>
      <c r="IMR16" s="175"/>
      <c r="IMS16" s="175"/>
      <c r="IMT16" s="175"/>
      <c r="IMU16" s="175"/>
      <c r="IMV16" s="175"/>
      <c r="IMW16" s="175"/>
      <c r="IMX16" s="175"/>
      <c r="IMY16" s="175"/>
      <c r="IMZ16" s="175"/>
      <c r="INA16" s="175"/>
      <c r="INB16" s="175"/>
      <c r="INC16" s="175"/>
      <c r="IND16" s="175"/>
      <c r="INE16" s="175"/>
      <c r="INF16" s="175"/>
      <c r="ING16" s="175"/>
      <c r="INH16" s="175"/>
      <c r="INI16" s="175"/>
      <c r="INJ16" s="175"/>
      <c r="INK16" s="175"/>
      <c r="INL16" s="175"/>
      <c r="INM16" s="175"/>
      <c r="INN16" s="175"/>
      <c r="INO16" s="175"/>
      <c r="INP16" s="175"/>
      <c r="INQ16" s="175"/>
      <c r="INR16" s="175"/>
      <c r="INS16" s="175"/>
      <c r="INT16" s="175"/>
      <c r="INU16" s="175"/>
      <c r="INV16" s="175"/>
      <c r="INW16" s="175"/>
      <c r="INX16" s="175"/>
      <c r="INY16" s="175"/>
      <c r="INZ16" s="175"/>
      <c r="IOA16" s="175"/>
      <c r="IOB16" s="175"/>
      <c r="IOC16" s="175"/>
      <c r="IOD16" s="175"/>
      <c r="IOE16" s="175"/>
      <c r="IOF16" s="175"/>
      <c r="IOG16" s="175"/>
      <c r="IOH16" s="175"/>
      <c r="IOI16" s="175"/>
      <c r="IOJ16" s="175"/>
      <c r="IOK16" s="175"/>
      <c r="IOL16" s="175"/>
      <c r="IOM16" s="175"/>
      <c r="ION16" s="175"/>
      <c r="IOO16" s="175"/>
      <c r="IOP16" s="175"/>
      <c r="IOQ16" s="175"/>
      <c r="IOR16" s="175"/>
      <c r="IOS16" s="175"/>
      <c r="IOT16" s="175"/>
      <c r="IOU16" s="175"/>
      <c r="IOV16" s="175"/>
      <c r="IOW16" s="175"/>
      <c r="IOX16" s="175"/>
      <c r="IOY16" s="175"/>
      <c r="IOZ16" s="175"/>
      <c r="IPA16" s="175"/>
      <c r="IPB16" s="175"/>
      <c r="IPC16" s="175"/>
      <c r="IPD16" s="175"/>
      <c r="IPE16" s="175"/>
      <c r="IPF16" s="175"/>
      <c r="IPG16" s="175"/>
      <c r="IPH16" s="175"/>
      <c r="IPI16" s="175"/>
      <c r="IPJ16" s="175"/>
      <c r="IPK16" s="175"/>
      <c r="IPL16" s="175"/>
      <c r="IPM16" s="175"/>
      <c r="IPN16" s="175"/>
      <c r="IPO16" s="175"/>
      <c r="IPP16" s="175"/>
      <c r="IPQ16" s="175"/>
      <c r="IPR16" s="175"/>
      <c r="IPS16" s="175"/>
      <c r="IPT16" s="175"/>
      <c r="IPU16" s="175"/>
      <c r="IPV16" s="175"/>
      <c r="IPW16" s="175"/>
      <c r="IPX16" s="175"/>
      <c r="IPY16" s="175"/>
      <c r="IPZ16" s="175"/>
      <c r="IQA16" s="175"/>
      <c r="IQB16" s="175"/>
      <c r="IQC16" s="175"/>
      <c r="IQD16" s="175"/>
      <c r="IQE16" s="175"/>
      <c r="IQF16" s="175"/>
      <c r="IQG16" s="175"/>
      <c r="IQH16" s="175"/>
      <c r="IQI16" s="175"/>
      <c r="IQJ16" s="175"/>
      <c r="IQK16" s="175"/>
      <c r="IQL16" s="175"/>
      <c r="IQM16" s="175"/>
      <c r="IQN16" s="175"/>
      <c r="IQO16" s="175"/>
      <c r="IQP16" s="175"/>
      <c r="IQQ16" s="175"/>
      <c r="IQR16" s="175"/>
      <c r="IQS16" s="175"/>
      <c r="IQT16" s="175"/>
      <c r="IQU16" s="175"/>
      <c r="IQV16" s="175"/>
      <c r="IQW16" s="175"/>
      <c r="IQX16" s="175"/>
      <c r="IQY16" s="175"/>
      <c r="IQZ16" s="175"/>
      <c r="IRA16" s="175"/>
      <c r="IRB16" s="175"/>
      <c r="IRC16" s="175"/>
      <c r="IRD16" s="175"/>
      <c r="IRE16" s="175"/>
      <c r="IRF16" s="175"/>
      <c r="IRG16" s="175"/>
      <c r="IRH16" s="175"/>
      <c r="IRI16" s="175"/>
      <c r="IRJ16" s="175"/>
      <c r="IRK16" s="175"/>
      <c r="IRL16" s="175"/>
      <c r="IRM16" s="175"/>
      <c r="IRN16" s="175"/>
      <c r="IRO16" s="175"/>
      <c r="IRP16" s="175"/>
      <c r="IRQ16" s="175"/>
      <c r="IRR16" s="175"/>
      <c r="IRS16" s="175"/>
      <c r="IRT16" s="175"/>
      <c r="IRU16" s="175"/>
      <c r="IRV16" s="175"/>
      <c r="IRW16" s="175"/>
      <c r="IRX16" s="175"/>
      <c r="IRY16" s="175"/>
      <c r="IRZ16" s="175"/>
      <c r="ISA16" s="175"/>
      <c r="ISB16" s="175"/>
      <c r="ISC16" s="175"/>
      <c r="ISD16" s="175"/>
      <c r="ISE16" s="175"/>
      <c r="ISF16" s="175"/>
      <c r="ISG16" s="175"/>
      <c r="ISH16" s="175"/>
      <c r="ISI16" s="175"/>
      <c r="ISJ16" s="175"/>
      <c r="ISK16" s="175"/>
      <c r="ISL16" s="175"/>
      <c r="ISM16" s="175"/>
      <c r="ISN16" s="175"/>
      <c r="ISO16" s="175"/>
      <c r="ISP16" s="175"/>
      <c r="ISQ16" s="175"/>
      <c r="ISR16" s="175"/>
      <c r="ISS16" s="175"/>
      <c r="IST16" s="175"/>
      <c r="ISU16" s="175"/>
      <c r="ISV16" s="175"/>
      <c r="ISW16" s="175"/>
      <c r="ISX16" s="175"/>
      <c r="ISY16" s="175"/>
      <c r="ISZ16" s="175"/>
      <c r="ITA16" s="175"/>
      <c r="ITB16" s="175"/>
      <c r="ITC16" s="175"/>
      <c r="ITD16" s="175"/>
      <c r="ITE16" s="175"/>
      <c r="ITF16" s="175"/>
      <c r="ITG16" s="175"/>
      <c r="ITH16" s="175"/>
      <c r="ITI16" s="175"/>
      <c r="ITJ16" s="175"/>
      <c r="ITK16" s="175"/>
      <c r="ITL16" s="175"/>
      <c r="ITM16" s="175"/>
      <c r="ITN16" s="175"/>
      <c r="ITO16" s="175"/>
      <c r="ITP16" s="175"/>
      <c r="ITQ16" s="175"/>
      <c r="ITR16" s="175"/>
      <c r="ITS16" s="175"/>
      <c r="ITT16" s="175"/>
      <c r="ITU16" s="175"/>
      <c r="ITV16" s="175"/>
      <c r="ITW16" s="175"/>
      <c r="ITX16" s="175"/>
      <c r="ITY16" s="175"/>
      <c r="ITZ16" s="175"/>
      <c r="IUA16" s="175"/>
      <c r="IUB16" s="175"/>
      <c r="IUC16" s="175"/>
      <c r="IUD16" s="175"/>
      <c r="IUE16" s="175"/>
      <c r="IUF16" s="175"/>
      <c r="IUG16" s="175"/>
      <c r="IUH16" s="175"/>
      <c r="IUI16" s="175"/>
      <c r="IUJ16" s="175"/>
      <c r="IUK16" s="175"/>
      <c r="IUL16" s="175"/>
      <c r="IUM16" s="175"/>
      <c r="IUN16" s="175"/>
      <c r="IUO16" s="175"/>
      <c r="IUP16" s="175"/>
      <c r="IUQ16" s="175"/>
      <c r="IUR16" s="175"/>
      <c r="IUS16" s="175"/>
      <c r="IUT16" s="175"/>
      <c r="IUU16" s="175"/>
      <c r="IUV16" s="175"/>
      <c r="IUW16" s="175"/>
      <c r="IUX16" s="175"/>
      <c r="IUY16" s="175"/>
      <c r="IUZ16" s="175"/>
      <c r="IVA16" s="175"/>
      <c r="IVB16" s="175"/>
      <c r="IVC16" s="175"/>
      <c r="IVD16" s="175"/>
      <c r="IVE16" s="175"/>
      <c r="IVF16" s="175"/>
      <c r="IVG16" s="175"/>
      <c r="IVH16" s="175"/>
      <c r="IVI16" s="175"/>
      <c r="IVJ16" s="175"/>
      <c r="IVK16" s="175"/>
      <c r="IVL16" s="175"/>
      <c r="IVM16" s="175"/>
      <c r="IVN16" s="175"/>
      <c r="IVO16" s="175"/>
      <c r="IVP16" s="175"/>
      <c r="IVQ16" s="175"/>
      <c r="IVR16" s="175"/>
      <c r="IVS16" s="175"/>
      <c r="IVT16" s="175"/>
      <c r="IVU16" s="175"/>
      <c r="IVV16" s="175"/>
      <c r="IVW16" s="175"/>
      <c r="IVX16" s="175"/>
      <c r="IVY16" s="175"/>
      <c r="IVZ16" s="175"/>
      <c r="IWA16" s="175"/>
      <c r="IWB16" s="175"/>
      <c r="IWC16" s="175"/>
      <c r="IWD16" s="175"/>
      <c r="IWE16" s="175"/>
      <c r="IWF16" s="175"/>
      <c r="IWG16" s="175"/>
      <c r="IWH16" s="175"/>
      <c r="IWI16" s="175"/>
      <c r="IWJ16" s="175"/>
      <c r="IWK16" s="175"/>
      <c r="IWL16" s="175"/>
      <c r="IWM16" s="175"/>
      <c r="IWN16" s="175"/>
      <c r="IWO16" s="175"/>
      <c r="IWP16" s="175"/>
      <c r="IWQ16" s="175"/>
      <c r="IWR16" s="175"/>
      <c r="IWS16" s="175"/>
      <c r="IWT16" s="175"/>
      <c r="IWU16" s="175"/>
      <c r="IWV16" s="175"/>
      <c r="IWW16" s="175"/>
      <c r="IWX16" s="175"/>
      <c r="IWY16" s="175"/>
      <c r="IWZ16" s="175"/>
      <c r="IXA16" s="175"/>
      <c r="IXB16" s="175"/>
      <c r="IXC16" s="175"/>
      <c r="IXD16" s="175"/>
      <c r="IXE16" s="175"/>
      <c r="IXF16" s="175"/>
      <c r="IXG16" s="175"/>
      <c r="IXH16" s="175"/>
      <c r="IXI16" s="175"/>
      <c r="IXJ16" s="175"/>
      <c r="IXK16" s="175"/>
      <c r="IXL16" s="175"/>
      <c r="IXM16" s="175"/>
      <c r="IXN16" s="175"/>
      <c r="IXO16" s="175"/>
      <c r="IXP16" s="175"/>
      <c r="IXQ16" s="175"/>
      <c r="IXR16" s="175"/>
      <c r="IXS16" s="175"/>
      <c r="IXT16" s="175"/>
      <c r="IXU16" s="175"/>
      <c r="IXV16" s="175"/>
      <c r="IXW16" s="175"/>
      <c r="IXX16" s="175"/>
      <c r="IXY16" s="175"/>
      <c r="IXZ16" s="175"/>
      <c r="IYA16" s="175"/>
      <c r="IYB16" s="175"/>
      <c r="IYC16" s="175"/>
      <c r="IYD16" s="175"/>
      <c r="IYE16" s="175"/>
      <c r="IYF16" s="175"/>
      <c r="IYG16" s="175"/>
      <c r="IYH16" s="175"/>
      <c r="IYI16" s="175"/>
      <c r="IYJ16" s="175"/>
      <c r="IYK16" s="175"/>
      <c r="IYL16" s="175"/>
      <c r="IYM16" s="175"/>
      <c r="IYN16" s="175"/>
      <c r="IYO16" s="175"/>
      <c r="IYP16" s="175"/>
      <c r="IYQ16" s="175"/>
      <c r="IYR16" s="175"/>
      <c r="IYS16" s="175"/>
      <c r="IYT16" s="175"/>
      <c r="IYU16" s="175"/>
      <c r="IYV16" s="175"/>
      <c r="IYW16" s="175"/>
      <c r="IYX16" s="175"/>
      <c r="IYY16" s="175"/>
      <c r="IYZ16" s="175"/>
      <c r="IZA16" s="175"/>
      <c r="IZB16" s="175"/>
      <c r="IZC16" s="175"/>
      <c r="IZD16" s="175"/>
      <c r="IZE16" s="175"/>
      <c r="IZF16" s="175"/>
      <c r="IZG16" s="175"/>
      <c r="IZH16" s="175"/>
      <c r="IZI16" s="175"/>
      <c r="IZJ16" s="175"/>
      <c r="IZK16" s="175"/>
      <c r="IZL16" s="175"/>
      <c r="IZM16" s="175"/>
      <c r="IZN16" s="175"/>
      <c r="IZO16" s="175"/>
      <c r="IZP16" s="175"/>
      <c r="IZQ16" s="175"/>
      <c r="IZR16" s="175"/>
      <c r="IZS16" s="175"/>
      <c r="IZT16" s="175"/>
      <c r="IZU16" s="175"/>
      <c r="IZV16" s="175"/>
      <c r="IZW16" s="175"/>
      <c r="IZX16" s="175"/>
      <c r="IZY16" s="175"/>
      <c r="IZZ16" s="175"/>
      <c r="JAA16" s="175"/>
      <c r="JAB16" s="175"/>
      <c r="JAC16" s="175"/>
      <c r="JAD16" s="175"/>
      <c r="JAE16" s="175"/>
      <c r="JAF16" s="175"/>
      <c r="JAG16" s="175"/>
      <c r="JAH16" s="175"/>
      <c r="JAI16" s="175"/>
      <c r="JAJ16" s="175"/>
      <c r="JAK16" s="175"/>
      <c r="JAL16" s="175"/>
      <c r="JAM16" s="175"/>
      <c r="JAN16" s="175"/>
      <c r="JAO16" s="175"/>
      <c r="JAP16" s="175"/>
      <c r="JAQ16" s="175"/>
      <c r="JAR16" s="175"/>
      <c r="JAS16" s="175"/>
      <c r="JAT16" s="175"/>
      <c r="JAU16" s="175"/>
      <c r="JAV16" s="175"/>
      <c r="JAW16" s="175"/>
      <c r="JAX16" s="175"/>
      <c r="JAY16" s="175"/>
      <c r="JAZ16" s="175"/>
      <c r="JBA16" s="175"/>
      <c r="JBB16" s="175"/>
      <c r="JBC16" s="175"/>
      <c r="JBD16" s="175"/>
      <c r="JBE16" s="175"/>
      <c r="JBF16" s="175"/>
      <c r="JBG16" s="175"/>
      <c r="JBH16" s="175"/>
      <c r="JBI16" s="175"/>
      <c r="JBJ16" s="175"/>
      <c r="JBK16" s="175"/>
      <c r="JBL16" s="175"/>
      <c r="JBM16" s="175"/>
      <c r="JBN16" s="175"/>
      <c r="JBO16" s="175"/>
      <c r="JBP16" s="175"/>
      <c r="JBQ16" s="175"/>
      <c r="JBR16" s="175"/>
      <c r="JBS16" s="175"/>
      <c r="JBT16" s="175"/>
      <c r="JBU16" s="175"/>
      <c r="JBV16" s="175"/>
      <c r="JBW16" s="175"/>
      <c r="JBX16" s="175"/>
      <c r="JBY16" s="175"/>
      <c r="JBZ16" s="175"/>
      <c r="JCA16" s="175"/>
      <c r="JCB16" s="175"/>
      <c r="JCC16" s="175"/>
      <c r="JCD16" s="175"/>
      <c r="JCE16" s="175"/>
      <c r="JCF16" s="175"/>
      <c r="JCG16" s="175"/>
      <c r="JCH16" s="175"/>
      <c r="JCI16" s="175"/>
      <c r="JCJ16" s="175"/>
      <c r="JCK16" s="175"/>
      <c r="JCL16" s="175"/>
      <c r="JCM16" s="175"/>
      <c r="JCN16" s="175"/>
      <c r="JCO16" s="175"/>
      <c r="JCP16" s="175"/>
      <c r="JCQ16" s="175"/>
      <c r="JCR16" s="175"/>
      <c r="JCS16" s="175"/>
      <c r="JCT16" s="175"/>
      <c r="JCU16" s="175"/>
      <c r="JCV16" s="175"/>
      <c r="JCW16" s="175"/>
      <c r="JCX16" s="175"/>
      <c r="JCY16" s="175"/>
      <c r="JCZ16" s="175"/>
      <c r="JDA16" s="175"/>
      <c r="JDB16" s="175"/>
      <c r="JDC16" s="175"/>
      <c r="JDD16" s="175"/>
      <c r="JDE16" s="175"/>
      <c r="JDF16" s="175"/>
      <c r="JDG16" s="175"/>
      <c r="JDH16" s="175"/>
      <c r="JDI16" s="175"/>
      <c r="JDJ16" s="175"/>
      <c r="JDK16" s="175"/>
      <c r="JDL16" s="175"/>
      <c r="JDM16" s="175"/>
      <c r="JDN16" s="175"/>
      <c r="JDO16" s="175"/>
      <c r="JDP16" s="175"/>
      <c r="JDQ16" s="175"/>
      <c r="JDR16" s="175"/>
      <c r="JDS16" s="175"/>
      <c r="JDT16" s="175"/>
      <c r="JDU16" s="175"/>
      <c r="JDV16" s="175"/>
      <c r="JDW16" s="175"/>
      <c r="JDX16" s="175"/>
      <c r="JDY16" s="175"/>
      <c r="JDZ16" s="175"/>
      <c r="JEA16" s="175"/>
      <c r="JEB16" s="175"/>
      <c r="JEC16" s="175"/>
      <c r="JED16" s="175"/>
      <c r="JEE16" s="175"/>
      <c r="JEF16" s="175"/>
      <c r="JEG16" s="175"/>
      <c r="JEH16" s="175"/>
      <c r="JEI16" s="175"/>
      <c r="JEJ16" s="175"/>
      <c r="JEK16" s="175"/>
      <c r="JEL16" s="175"/>
      <c r="JEM16" s="175"/>
      <c r="JEN16" s="175"/>
      <c r="JEO16" s="175"/>
      <c r="JEP16" s="175"/>
      <c r="JEQ16" s="175"/>
      <c r="JER16" s="175"/>
      <c r="JES16" s="175"/>
      <c r="JET16" s="175"/>
      <c r="JEU16" s="175"/>
      <c r="JEV16" s="175"/>
      <c r="JEW16" s="175"/>
      <c r="JEX16" s="175"/>
      <c r="JEY16" s="175"/>
      <c r="JEZ16" s="175"/>
      <c r="JFA16" s="175"/>
      <c r="JFB16" s="175"/>
      <c r="JFC16" s="175"/>
      <c r="JFD16" s="175"/>
      <c r="JFE16" s="175"/>
      <c r="JFF16" s="175"/>
      <c r="JFG16" s="175"/>
      <c r="JFH16" s="175"/>
      <c r="JFI16" s="175"/>
      <c r="JFJ16" s="175"/>
      <c r="JFK16" s="175"/>
      <c r="JFL16" s="175"/>
      <c r="JFM16" s="175"/>
      <c r="JFN16" s="175"/>
      <c r="JFO16" s="175"/>
      <c r="JFP16" s="175"/>
      <c r="JFQ16" s="175"/>
      <c r="JFR16" s="175"/>
      <c r="JFS16" s="175"/>
      <c r="JFT16" s="175"/>
      <c r="JFU16" s="175"/>
      <c r="JFV16" s="175"/>
      <c r="JFW16" s="175"/>
      <c r="JFX16" s="175"/>
      <c r="JFY16" s="175"/>
      <c r="JFZ16" s="175"/>
      <c r="JGA16" s="175"/>
      <c r="JGB16" s="175"/>
      <c r="JGC16" s="175"/>
      <c r="JGD16" s="175"/>
      <c r="JGE16" s="175"/>
      <c r="JGF16" s="175"/>
      <c r="JGG16" s="175"/>
      <c r="JGH16" s="175"/>
      <c r="JGI16" s="175"/>
      <c r="JGJ16" s="175"/>
      <c r="JGK16" s="175"/>
      <c r="JGL16" s="175"/>
      <c r="JGM16" s="175"/>
      <c r="JGN16" s="175"/>
      <c r="JGO16" s="175"/>
      <c r="JGP16" s="175"/>
      <c r="JGQ16" s="175"/>
      <c r="JGR16" s="175"/>
      <c r="JGS16" s="175"/>
      <c r="JGT16" s="175"/>
      <c r="JGU16" s="175"/>
      <c r="JGV16" s="175"/>
      <c r="JGW16" s="175"/>
      <c r="JGX16" s="175"/>
      <c r="JGY16" s="175"/>
      <c r="JGZ16" s="175"/>
      <c r="JHA16" s="175"/>
      <c r="JHB16" s="175"/>
      <c r="JHC16" s="175"/>
      <c r="JHD16" s="175"/>
      <c r="JHE16" s="175"/>
      <c r="JHF16" s="175"/>
      <c r="JHG16" s="175"/>
      <c r="JHH16" s="175"/>
      <c r="JHI16" s="175"/>
      <c r="JHJ16" s="175"/>
      <c r="JHK16" s="175"/>
      <c r="JHL16" s="175"/>
      <c r="JHM16" s="175"/>
      <c r="JHN16" s="175"/>
      <c r="JHO16" s="175"/>
      <c r="JHP16" s="175"/>
      <c r="JHQ16" s="175"/>
      <c r="JHR16" s="175"/>
      <c r="JHS16" s="175"/>
      <c r="JHT16" s="175"/>
      <c r="JHU16" s="175"/>
      <c r="JHV16" s="175"/>
      <c r="JHW16" s="175"/>
      <c r="JHX16" s="175"/>
      <c r="JHY16" s="175"/>
      <c r="JHZ16" s="175"/>
      <c r="JIA16" s="175"/>
      <c r="JIB16" s="175"/>
      <c r="JIC16" s="175"/>
      <c r="JID16" s="175"/>
      <c r="JIE16" s="175"/>
      <c r="JIF16" s="175"/>
      <c r="JIG16" s="175"/>
      <c r="JIH16" s="175"/>
      <c r="JII16" s="175"/>
      <c r="JIJ16" s="175"/>
      <c r="JIK16" s="175"/>
      <c r="JIL16" s="175"/>
      <c r="JIM16" s="175"/>
      <c r="JIN16" s="175"/>
      <c r="JIO16" s="175"/>
      <c r="JIP16" s="175"/>
      <c r="JIQ16" s="175"/>
      <c r="JIR16" s="175"/>
      <c r="JIS16" s="175"/>
      <c r="JIT16" s="175"/>
      <c r="JIU16" s="175"/>
      <c r="JIV16" s="175"/>
      <c r="JIW16" s="175"/>
      <c r="JIX16" s="175"/>
      <c r="JIY16" s="175"/>
      <c r="JIZ16" s="175"/>
      <c r="JJA16" s="175"/>
      <c r="JJB16" s="175"/>
      <c r="JJC16" s="175"/>
      <c r="JJD16" s="175"/>
      <c r="JJE16" s="175"/>
      <c r="JJF16" s="175"/>
      <c r="JJG16" s="175"/>
      <c r="JJH16" s="175"/>
      <c r="JJI16" s="175"/>
      <c r="JJJ16" s="175"/>
      <c r="JJK16" s="175"/>
      <c r="JJL16" s="175"/>
      <c r="JJM16" s="175"/>
      <c r="JJN16" s="175"/>
      <c r="JJO16" s="175"/>
      <c r="JJP16" s="175"/>
      <c r="JJQ16" s="175"/>
      <c r="JJR16" s="175"/>
      <c r="JJS16" s="175"/>
      <c r="JJT16" s="175"/>
      <c r="JJU16" s="175"/>
      <c r="JJV16" s="175"/>
      <c r="JJW16" s="175"/>
      <c r="JJX16" s="175"/>
      <c r="JJY16" s="175"/>
      <c r="JJZ16" s="175"/>
      <c r="JKA16" s="175"/>
      <c r="JKB16" s="175"/>
      <c r="JKC16" s="175"/>
      <c r="JKD16" s="175"/>
      <c r="JKE16" s="175"/>
      <c r="JKF16" s="175"/>
      <c r="JKG16" s="175"/>
      <c r="JKH16" s="175"/>
      <c r="JKI16" s="175"/>
      <c r="JKJ16" s="175"/>
      <c r="JKK16" s="175"/>
      <c r="JKL16" s="175"/>
      <c r="JKM16" s="175"/>
      <c r="JKN16" s="175"/>
      <c r="JKO16" s="175"/>
      <c r="JKP16" s="175"/>
      <c r="JKQ16" s="175"/>
      <c r="JKR16" s="175"/>
      <c r="JKS16" s="175"/>
      <c r="JKT16" s="175"/>
      <c r="JKU16" s="175"/>
      <c r="JKV16" s="175"/>
      <c r="JKW16" s="175"/>
      <c r="JKX16" s="175"/>
      <c r="JKY16" s="175"/>
      <c r="JKZ16" s="175"/>
      <c r="JLA16" s="175"/>
      <c r="JLB16" s="175"/>
      <c r="JLC16" s="175"/>
      <c r="JLD16" s="175"/>
      <c r="JLE16" s="175"/>
      <c r="JLF16" s="175"/>
      <c r="JLG16" s="175"/>
      <c r="JLH16" s="175"/>
      <c r="JLI16" s="175"/>
      <c r="JLJ16" s="175"/>
      <c r="JLK16" s="175"/>
      <c r="JLL16" s="175"/>
      <c r="JLM16" s="175"/>
      <c r="JLN16" s="175"/>
      <c r="JLO16" s="175"/>
      <c r="JLP16" s="175"/>
      <c r="JLQ16" s="175"/>
      <c r="JLR16" s="175"/>
      <c r="JLS16" s="175"/>
      <c r="JLT16" s="175"/>
      <c r="JLU16" s="175"/>
      <c r="JLV16" s="175"/>
      <c r="JLW16" s="175"/>
      <c r="JLX16" s="175"/>
      <c r="JLY16" s="175"/>
      <c r="JLZ16" s="175"/>
      <c r="JMA16" s="175"/>
      <c r="JMB16" s="175"/>
      <c r="JMC16" s="175"/>
      <c r="JMD16" s="175"/>
      <c r="JME16" s="175"/>
      <c r="JMF16" s="175"/>
      <c r="JMG16" s="175"/>
      <c r="JMH16" s="175"/>
      <c r="JMI16" s="175"/>
      <c r="JMJ16" s="175"/>
      <c r="JMK16" s="175"/>
      <c r="JML16" s="175"/>
      <c r="JMM16" s="175"/>
      <c r="JMN16" s="175"/>
      <c r="JMO16" s="175"/>
      <c r="JMP16" s="175"/>
      <c r="JMQ16" s="175"/>
      <c r="JMR16" s="175"/>
      <c r="JMS16" s="175"/>
      <c r="JMT16" s="175"/>
      <c r="JMU16" s="175"/>
      <c r="JMV16" s="175"/>
      <c r="JMW16" s="175"/>
      <c r="JMX16" s="175"/>
      <c r="JMY16" s="175"/>
      <c r="JMZ16" s="175"/>
      <c r="JNA16" s="175"/>
      <c r="JNB16" s="175"/>
      <c r="JNC16" s="175"/>
      <c r="JND16" s="175"/>
      <c r="JNE16" s="175"/>
      <c r="JNF16" s="175"/>
      <c r="JNG16" s="175"/>
      <c r="JNH16" s="175"/>
      <c r="JNI16" s="175"/>
      <c r="JNJ16" s="175"/>
      <c r="JNK16" s="175"/>
      <c r="JNL16" s="175"/>
      <c r="JNM16" s="175"/>
      <c r="JNN16" s="175"/>
      <c r="JNO16" s="175"/>
      <c r="JNP16" s="175"/>
      <c r="JNQ16" s="175"/>
      <c r="JNR16" s="175"/>
      <c r="JNS16" s="175"/>
      <c r="JNT16" s="175"/>
      <c r="JNU16" s="175"/>
      <c r="JNV16" s="175"/>
      <c r="JNW16" s="175"/>
      <c r="JNX16" s="175"/>
      <c r="JNY16" s="175"/>
      <c r="JNZ16" s="175"/>
      <c r="JOA16" s="175"/>
      <c r="JOB16" s="175"/>
      <c r="JOC16" s="175"/>
      <c r="JOD16" s="175"/>
      <c r="JOE16" s="175"/>
      <c r="JOF16" s="175"/>
      <c r="JOG16" s="175"/>
      <c r="JOH16" s="175"/>
      <c r="JOI16" s="175"/>
      <c r="JOJ16" s="175"/>
      <c r="JOK16" s="175"/>
      <c r="JOL16" s="175"/>
      <c r="JOM16" s="175"/>
      <c r="JON16" s="175"/>
      <c r="JOO16" s="175"/>
      <c r="JOP16" s="175"/>
      <c r="JOQ16" s="175"/>
      <c r="JOR16" s="175"/>
      <c r="JOS16" s="175"/>
      <c r="JOT16" s="175"/>
      <c r="JOU16" s="175"/>
      <c r="JOV16" s="175"/>
      <c r="JOW16" s="175"/>
      <c r="JOX16" s="175"/>
      <c r="JOY16" s="175"/>
      <c r="JOZ16" s="175"/>
      <c r="JPA16" s="175"/>
      <c r="JPB16" s="175"/>
      <c r="JPC16" s="175"/>
      <c r="JPD16" s="175"/>
      <c r="JPE16" s="175"/>
      <c r="JPF16" s="175"/>
      <c r="JPG16" s="175"/>
      <c r="JPH16" s="175"/>
      <c r="JPI16" s="175"/>
      <c r="JPJ16" s="175"/>
      <c r="JPK16" s="175"/>
      <c r="JPL16" s="175"/>
      <c r="JPM16" s="175"/>
      <c r="JPN16" s="175"/>
      <c r="JPO16" s="175"/>
      <c r="JPP16" s="175"/>
      <c r="JPQ16" s="175"/>
      <c r="JPR16" s="175"/>
      <c r="JPS16" s="175"/>
      <c r="JPT16" s="175"/>
      <c r="JPU16" s="175"/>
      <c r="JPV16" s="175"/>
      <c r="JPW16" s="175"/>
      <c r="JPX16" s="175"/>
      <c r="JPY16" s="175"/>
      <c r="JPZ16" s="175"/>
      <c r="JQA16" s="175"/>
      <c r="JQB16" s="175"/>
      <c r="JQC16" s="175"/>
      <c r="JQD16" s="175"/>
      <c r="JQE16" s="175"/>
      <c r="JQF16" s="175"/>
      <c r="JQG16" s="175"/>
      <c r="JQH16" s="175"/>
      <c r="JQI16" s="175"/>
      <c r="JQJ16" s="175"/>
      <c r="JQK16" s="175"/>
      <c r="JQL16" s="175"/>
      <c r="JQM16" s="175"/>
      <c r="JQN16" s="175"/>
      <c r="JQO16" s="175"/>
      <c r="JQP16" s="175"/>
      <c r="JQQ16" s="175"/>
      <c r="JQR16" s="175"/>
      <c r="JQS16" s="175"/>
      <c r="JQT16" s="175"/>
      <c r="JQU16" s="175"/>
      <c r="JQV16" s="175"/>
      <c r="JQW16" s="175"/>
      <c r="JQX16" s="175"/>
      <c r="JQY16" s="175"/>
      <c r="JQZ16" s="175"/>
      <c r="JRA16" s="175"/>
      <c r="JRB16" s="175"/>
      <c r="JRC16" s="175"/>
      <c r="JRD16" s="175"/>
      <c r="JRE16" s="175"/>
      <c r="JRF16" s="175"/>
      <c r="JRG16" s="175"/>
      <c r="JRH16" s="175"/>
      <c r="JRI16" s="175"/>
      <c r="JRJ16" s="175"/>
      <c r="JRK16" s="175"/>
      <c r="JRL16" s="175"/>
      <c r="JRM16" s="175"/>
      <c r="JRN16" s="175"/>
      <c r="JRO16" s="175"/>
      <c r="JRP16" s="175"/>
      <c r="JRQ16" s="175"/>
      <c r="JRR16" s="175"/>
      <c r="JRS16" s="175"/>
      <c r="JRT16" s="175"/>
      <c r="JRU16" s="175"/>
      <c r="JRV16" s="175"/>
      <c r="JRW16" s="175"/>
      <c r="JRX16" s="175"/>
      <c r="JRY16" s="175"/>
      <c r="JRZ16" s="175"/>
      <c r="JSA16" s="175"/>
      <c r="JSB16" s="175"/>
      <c r="JSC16" s="175"/>
      <c r="JSD16" s="175"/>
      <c r="JSE16" s="175"/>
      <c r="JSF16" s="175"/>
      <c r="JSG16" s="175"/>
      <c r="JSH16" s="175"/>
      <c r="JSI16" s="175"/>
      <c r="JSJ16" s="175"/>
      <c r="JSK16" s="175"/>
      <c r="JSL16" s="175"/>
      <c r="JSM16" s="175"/>
      <c r="JSN16" s="175"/>
      <c r="JSO16" s="175"/>
      <c r="JSP16" s="175"/>
      <c r="JSQ16" s="175"/>
      <c r="JSR16" s="175"/>
      <c r="JSS16" s="175"/>
      <c r="JST16" s="175"/>
      <c r="JSU16" s="175"/>
      <c r="JSV16" s="175"/>
      <c r="JSW16" s="175"/>
      <c r="JSX16" s="175"/>
      <c r="JSY16" s="175"/>
      <c r="JSZ16" s="175"/>
      <c r="JTA16" s="175"/>
      <c r="JTB16" s="175"/>
      <c r="JTC16" s="175"/>
      <c r="JTD16" s="175"/>
      <c r="JTE16" s="175"/>
      <c r="JTF16" s="175"/>
      <c r="JTG16" s="175"/>
      <c r="JTH16" s="175"/>
      <c r="JTI16" s="175"/>
      <c r="JTJ16" s="175"/>
      <c r="JTK16" s="175"/>
      <c r="JTL16" s="175"/>
      <c r="JTM16" s="175"/>
      <c r="JTN16" s="175"/>
      <c r="JTO16" s="175"/>
      <c r="JTP16" s="175"/>
      <c r="JTQ16" s="175"/>
      <c r="JTR16" s="175"/>
      <c r="JTS16" s="175"/>
      <c r="JTT16" s="175"/>
      <c r="JTU16" s="175"/>
      <c r="JTV16" s="175"/>
      <c r="JTW16" s="175"/>
      <c r="JTX16" s="175"/>
      <c r="JTY16" s="175"/>
      <c r="JTZ16" s="175"/>
      <c r="JUA16" s="175"/>
      <c r="JUB16" s="175"/>
      <c r="JUC16" s="175"/>
      <c r="JUD16" s="175"/>
      <c r="JUE16" s="175"/>
      <c r="JUF16" s="175"/>
      <c r="JUG16" s="175"/>
      <c r="JUH16" s="175"/>
      <c r="JUI16" s="175"/>
      <c r="JUJ16" s="175"/>
      <c r="JUK16" s="175"/>
      <c r="JUL16" s="175"/>
      <c r="JUM16" s="175"/>
      <c r="JUN16" s="175"/>
      <c r="JUO16" s="175"/>
      <c r="JUP16" s="175"/>
      <c r="JUQ16" s="175"/>
      <c r="JUR16" s="175"/>
      <c r="JUS16" s="175"/>
      <c r="JUT16" s="175"/>
      <c r="JUU16" s="175"/>
      <c r="JUV16" s="175"/>
      <c r="JUW16" s="175"/>
      <c r="JUX16" s="175"/>
      <c r="JUY16" s="175"/>
      <c r="JUZ16" s="175"/>
      <c r="JVA16" s="175"/>
      <c r="JVB16" s="175"/>
      <c r="JVC16" s="175"/>
      <c r="JVD16" s="175"/>
      <c r="JVE16" s="175"/>
      <c r="JVF16" s="175"/>
      <c r="JVG16" s="175"/>
      <c r="JVH16" s="175"/>
      <c r="JVI16" s="175"/>
      <c r="JVJ16" s="175"/>
      <c r="JVK16" s="175"/>
      <c r="JVL16" s="175"/>
      <c r="JVM16" s="175"/>
      <c r="JVN16" s="175"/>
      <c r="JVO16" s="175"/>
      <c r="JVP16" s="175"/>
      <c r="JVQ16" s="175"/>
      <c r="JVR16" s="175"/>
      <c r="JVS16" s="175"/>
      <c r="JVT16" s="175"/>
      <c r="JVU16" s="175"/>
      <c r="JVV16" s="175"/>
      <c r="JVW16" s="175"/>
      <c r="JVX16" s="175"/>
      <c r="JVY16" s="175"/>
      <c r="JVZ16" s="175"/>
      <c r="JWA16" s="175"/>
      <c r="JWB16" s="175"/>
      <c r="JWC16" s="175"/>
      <c r="JWD16" s="175"/>
      <c r="JWE16" s="175"/>
      <c r="JWF16" s="175"/>
      <c r="JWG16" s="175"/>
      <c r="JWH16" s="175"/>
      <c r="JWI16" s="175"/>
      <c r="JWJ16" s="175"/>
      <c r="JWK16" s="175"/>
      <c r="JWL16" s="175"/>
      <c r="JWM16" s="175"/>
      <c r="JWN16" s="175"/>
      <c r="JWO16" s="175"/>
      <c r="JWP16" s="175"/>
      <c r="JWQ16" s="175"/>
      <c r="JWR16" s="175"/>
      <c r="JWS16" s="175"/>
      <c r="JWT16" s="175"/>
      <c r="JWU16" s="175"/>
      <c r="JWV16" s="175"/>
      <c r="JWW16" s="175"/>
      <c r="JWX16" s="175"/>
      <c r="JWY16" s="175"/>
      <c r="JWZ16" s="175"/>
      <c r="JXA16" s="175"/>
      <c r="JXB16" s="175"/>
      <c r="JXC16" s="175"/>
      <c r="JXD16" s="175"/>
      <c r="JXE16" s="175"/>
      <c r="JXF16" s="175"/>
      <c r="JXG16" s="175"/>
      <c r="JXH16" s="175"/>
      <c r="JXI16" s="175"/>
      <c r="JXJ16" s="175"/>
      <c r="JXK16" s="175"/>
      <c r="JXL16" s="175"/>
      <c r="JXM16" s="175"/>
      <c r="JXN16" s="175"/>
      <c r="JXO16" s="175"/>
      <c r="JXP16" s="175"/>
      <c r="JXQ16" s="175"/>
      <c r="JXR16" s="175"/>
      <c r="JXS16" s="175"/>
      <c r="JXT16" s="175"/>
      <c r="JXU16" s="175"/>
      <c r="JXV16" s="175"/>
      <c r="JXW16" s="175"/>
      <c r="JXX16" s="175"/>
      <c r="JXY16" s="175"/>
      <c r="JXZ16" s="175"/>
      <c r="JYA16" s="175"/>
      <c r="JYB16" s="175"/>
      <c r="JYC16" s="175"/>
      <c r="JYD16" s="175"/>
      <c r="JYE16" s="175"/>
      <c r="JYF16" s="175"/>
      <c r="JYG16" s="175"/>
      <c r="JYH16" s="175"/>
      <c r="JYI16" s="175"/>
      <c r="JYJ16" s="175"/>
      <c r="JYK16" s="175"/>
      <c r="JYL16" s="175"/>
      <c r="JYM16" s="175"/>
      <c r="JYN16" s="175"/>
      <c r="JYO16" s="175"/>
      <c r="JYP16" s="175"/>
      <c r="JYQ16" s="175"/>
      <c r="JYR16" s="175"/>
      <c r="JYS16" s="175"/>
      <c r="JYT16" s="175"/>
      <c r="JYU16" s="175"/>
      <c r="JYV16" s="175"/>
      <c r="JYW16" s="175"/>
      <c r="JYX16" s="175"/>
      <c r="JYY16" s="175"/>
      <c r="JYZ16" s="175"/>
      <c r="JZA16" s="175"/>
      <c r="JZB16" s="175"/>
      <c r="JZC16" s="175"/>
      <c r="JZD16" s="175"/>
      <c r="JZE16" s="175"/>
      <c r="JZF16" s="175"/>
      <c r="JZG16" s="175"/>
      <c r="JZH16" s="175"/>
      <c r="JZI16" s="175"/>
      <c r="JZJ16" s="175"/>
      <c r="JZK16" s="175"/>
      <c r="JZL16" s="175"/>
      <c r="JZM16" s="175"/>
      <c r="JZN16" s="175"/>
      <c r="JZO16" s="175"/>
      <c r="JZP16" s="175"/>
      <c r="JZQ16" s="175"/>
      <c r="JZR16" s="175"/>
      <c r="JZS16" s="175"/>
      <c r="JZT16" s="175"/>
      <c r="JZU16" s="175"/>
      <c r="JZV16" s="175"/>
      <c r="JZW16" s="175"/>
      <c r="JZX16" s="175"/>
      <c r="JZY16" s="175"/>
      <c r="JZZ16" s="175"/>
      <c r="KAA16" s="175"/>
      <c r="KAB16" s="175"/>
      <c r="KAC16" s="175"/>
      <c r="KAD16" s="175"/>
      <c r="KAE16" s="175"/>
      <c r="KAF16" s="175"/>
      <c r="KAG16" s="175"/>
      <c r="KAH16" s="175"/>
      <c r="KAI16" s="175"/>
      <c r="KAJ16" s="175"/>
      <c r="KAK16" s="175"/>
      <c r="KAL16" s="175"/>
      <c r="KAM16" s="175"/>
      <c r="KAN16" s="175"/>
      <c r="KAO16" s="175"/>
      <c r="KAP16" s="175"/>
      <c r="KAQ16" s="175"/>
      <c r="KAR16" s="175"/>
      <c r="KAS16" s="175"/>
      <c r="KAT16" s="175"/>
      <c r="KAU16" s="175"/>
      <c r="KAV16" s="175"/>
      <c r="KAW16" s="175"/>
      <c r="KAX16" s="175"/>
      <c r="KAY16" s="175"/>
      <c r="KAZ16" s="175"/>
      <c r="KBA16" s="175"/>
      <c r="KBB16" s="175"/>
      <c r="KBC16" s="175"/>
      <c r="KBD16" s="175"/>
      <c r="KBE16" s="175"/>
      <c r="KBF16" s="175"/>
      <c r="KBG16" s="175"/>
      <c r="KBH16" s="175"/>
      <c r="KBI16" s="175"/>
      <c r="KBJ16" s="175"/>
      <c r="KBK16" s="175"/>
      <c r="KBL16" s="175"/>
      <c r="KBM16" s="175"/>
      <c r="KBN16" s="175"/>
      <c r="KBO16" s="175"/>
      <c r="KBP16" s="175"/>
      <c r="KBQ16" s="175"/>
      <c r="KBR16" s="175"/>
      <c r="KBS16" s="175"/>
      <c r="KBT16" s="175"/>
      <c r="KBU16" s="175"/>
      <c r="KBV16" s="175"/>
      <c r="KBW16" s="175"/>
      <c r="KBX16" s="175"/>
      <c r="KBY16" s="175"/>
      <c r="KBZ16" s="175"/>
      <c r="KCA16" s="175"/>
      <c r="KCB16" s="175"/>
      <c r="KCC16" s="175"/>
      <c r="KCD16" s="175"/>
      <c r="KCE16" s="175"/>
      <c r="KCF16" s="175"/>
      <c r="KCG16" s="175"/>
      <c r="KCH16" s="175"/>
      <c r="KCI16" s="175"/>
      <c r="KCJ16" s="175"/>
      <c r="KCK16" s="175"/>
      <c r="KCL16" s="175"/>
      <c r="KCM16" s="175"/>
      <c r="KCN16" s="175"/>
      <c r="KCO16" s="175"/>
      <c r="KCP16" s="175"/>
      <c r="KCQ16" s="175"/>
      <c r="KCR16" s="175"/>
      <c r="KCS16" s="175"/>
      <c r="KCT16" s="175"/>
      <c r="KCU16" s="175"/>
      <c r="KCV16" s="175"/>
      <c r="KCW16" s="175"/>
      <c r="KCX16" s="175"/>
      <c r="KCY16" s="175"/>
      <c r="KCZ16" s="175"/>
      <c r="KDA16" s="175"/>
      <c r="KDB16" s="175"/>
      <c r="KDC16" s="175"/>
      <c r="KDD16" s="175"/>
      <c r="KDE16" s="175"/>
      <c r="KDF16" s="175"/>
      <c r="KDG16" s="175"/>
      <c r="KDH16" s="175"/>
      <c r="KDI16" s="175"/>
      <c r="KDJ16" s="175"/>
      <c r="KDK16" s="175"/>
      <c r="KDL16" s="175"/>
      <c r="KDM16" s="175"/>
      <c r="KDN16" s="175"/>
      <c r="KDO16" s="175"/>
      <c r="KDP16" s="175"/>
      <c r="KDQ16" s="175"/>
      <c r="KDR16" s="175"/>
      <c r="KDS16" s="175"/>
      <c r="KDT16" s="175"/>
      <c r="KDU16" s="175"/>
      <c r="KDV16" s="175"/>
      <c r="KDW16" s="175"/>
      <c r="KDX16" s="175"/>
      <c r="KDY16" s="175"/>
      <c r="KDZ16" s="175"/>
      <c r="KEA16" s="175"/>
      <c r="KEB16" s="175"/>
      <c r="KEC16" s="175"/>
      <c r="KED16" s="175"/>
      <c r="KEE16" s="175"/>
      <c r="KEF16" s="175"/>
      <c r="KEG16" s="175"/>
      <c r="KEH16" s="175"/>
      <c r="KEI16" s="175"/>
      <c r="KEJ16" s="175"/>
      <c r="KEK16" s="175"/>
      <c r="KEL16" s="175"/>
      <c r="KEM16" s="175"/>
      <c r="KEN16" s="175"/>
      <c r="KEO16" s="175"/>
      <c r="KEP16" s="175"/>
      <c r="KEQ16" s="175"/>
      <c r="KER16" s="175"/>
      <c r="KES16" s="175"/>
      <c r="KET16" s="175"/>
      <c r="KEU16" s="175"/>
      <c r="KEV16" s="175"/>
      <c r="KEW16" s="175"/>
      <c r="KEX16" s="175"/>
      <c r="KEY16" s="175"/>
      <c r="KEZ16" s="175"/>
      <c r="KFA16" s="175"/>
      <c r="KFB16" s="175"/>
      <c r="KFC16" s="175"/>
      <c r="KFD16" s="175"/>
      <c r="KFE16" s="175"/>
      <c r="KFF16" s="175"/>
      <c r="KFG16" s="175"/>
      <c r="KFH16" s="175"/>
      <c r="KFI16" s="175"/>
      <c r="KFJ16" s="175"/>
      <c r="KFK16" s="175"/>
      <c r="KFL16" s="175"/>
      <c r="KFM16" s="175"/>
      <c r="KFN16" s="175"/>
      <c r="KFO16" s="175"/>
      <c r="KFP16" s="175"/>
      <c r="KFQ16" s="175"/>
      <c r="KFR16" s="175"/>
      <c r="KFS16" s="175"/>
      <c r="KFT16" s="175"/>
      <c r="KFU16" s="175"/>
      <c r="KFV16" s="175"/>
      <c r="KFW16" s="175"/>
      <c r="KFX16" s="175"/>
      <c r="KFY16" s="175"/>
      <c r="KFZ16" s="175"/>
      <c r="KGA16" s="175"/>
      <c r="KGB16" s="175"/>
      <c r="KGC16" s="175"/>
      <c r="KGD16" s="175"/>
      <c r="KGE16" s="175"/>
      <c r="KGF16" s="175"/>
      <c r="KGG16" s="175"/>
      <c r="KGH16" s="175"/>
      <c r="KGI16" s="175"/>
      <c r="KGJ16" s="175"/>
      <c r="KGK16" s="175"/>
      <c r="KGL16" s="175"/>
      <c r="KGM16" s="175"/>
      <c r="KGN16" s="175"/>
      <c r="KGO16" s="175"/>
      <c r="KGP16" s="175"/>
      <c r="KGQ16" s="175"/>
      <c r="KGR16" s="175"/>
      <c r="KGS16" s="175"/>
      <c r="KGT16" s="175"/>
      <c r="KGU16" s="175"/>
      <c r="KGV16" s="175"/>
      <c r="KGW16" s="175"/>
      <c r="KGX16" s="175"/>
      <c r="KGY16" s="175"/>
      <c r="KGZ16" s="175"/>
      <c r="KHA16" s="175"/>
      <c r="KHB16" s="175"/>
      <c r="KHC16" s="175"/>
      <c r="KHD16" s="175"/>
      <c r="KHE16" s="175"/>
      <c r="KHF16" s="175"/>
      <c r="KHG16" s="175"/>
      <c r="KHH16" s="175"/>
      <c r="KHI16" s="175"/>
      <c r="KHJ16" s="175"/>
      <c r="KHK16" s="175"/>
      <c r="KHL16" s="175"/>
      <c r="KHM16" s="175"/>
      <c r="KHN16" s="175"/>
      <c r="KHO16" s="175"/>
      <c r="KHP16" s="175"/>
      <c r="KHQ16" s="175"/>
      <c r="KHR16" s="175"/>
      <c r="KHS16" s="175"/>
      <c r="KHT16" s="175"/>
      <c r="KHU16" s="175"/>
      <c r="KHV16" s="175"/>
      <c r="KHW16" s="175"/>
      <c r="KHX16" s="175"/>
      <c r="KHY16" s="175"/>
      <c r="KHZ16" s="175"/>
      <c r="KIA16" s="175"/>
      <c r="KIB16" s="175"/>
      <c r="KIC16" s="175"/>
      <c r="KID16" s="175"/>
      <c r="KIE16" s="175"/>
      <c r="KIF16" s="175"/>
      <c r="KIG16" s="175"/>
      <c r="KIH16" s="175"/>
      <c r="KII16" s="175"/>
      <c r="KIJ16" s="175"/>
      <c r="KIK16" s="175"/>
      <c r="KIL16" s="175"/>
      <c r="KIM16" s="175"/>
      <c r="KIN16" s="175"/>
      <c r="KIO16" s="175"/>
      <c r="KIP16" s="175"/>
      <c r="KIQ16" s="175"/>
      <c r="KIR16" s="175"/>
      <c r="KIS16" s="175"/>
      <c r="KIT16" s="175"/>
      <c r="KIU16" s="175"/>
      <c r="KIV16" s="175"/>
      <c r="KIW16" s="175"/>
      <c r="KIX16" s="175"/>
      <c r="KIY16" s="175"/>
      <c r="KIZ16" s="175"/>
      <c r="KJA16" s="175"/>
      <c r="KJB16" s="175"/>
      <c r="KJC16" s="175"/>
      <c r="KJD16" s="175"/>
      <c r="KJE16" s="175"/>
      <c r="KJF16" s="175"/>
      <c r="KJG16" s="175"/>
      <c r="KJH16" s="175"/>
      <c r="KJI16" s="175"/>
      <c r="KJJ16" s="175"/>
      <c r="KJK16" s="175"/>
      <c r="KJL16" s="175"/>
      <c r="KJM16" s="175"/>
      <c r="KJN16" s="175"/>
      <c r="KJO16" s="175"/>
      <c r="KJP16" s="175"/>
      <c r="KJQ16" s="175"/>
      <c r="KJR16" s="175"/>
      <c r="KJS16" s="175"/>
      <c r="KJT16" s="175"/>
      <c r="KJU16" s="175"/>
      <c r="KJV16" s="175"/>
      <c r="KJW16" s="175"/>
      <c r="KJX16" s="175"/>
      <c r="KJY16" s="175"/>
      <c r="KJZ16" s="175"/>
      <c r="KKA16" s="175"/>
      <c r="KKB16" s="175"/>
      <c r="KKC16" s="175"/>
      <c r="KKD16" s="175"/>
      <c r="KKE16" s="175"/>
      <c r="KKF16" s="175"/>
      <c r="KKG16" s="175"/>
      <c r="KKH16" s="175"/>
      <c r="KKI16" s="175"/>
      <c r="KKJ16" s="175"/>
      <c r="KKK16" s="175"/>
      <c r="KKL16" s="175"/>
      <c r="KKM16" s="175"/>
      <c r="KKN16" s="175"/>
      <c r="KKO16" s="175"/>
      <c r="KKP16" s="175"/>
      <c r="KKQ16" s="175"/>
      <c r="KKR16" s="175"/>
      <c r="KKS16" s="175"/>
      <c r="KKT16" s="175"/>
      <c r="KKU16" s="175"/>
      <c r="KKV16" s="175"/>
      <c r="KKW16" s="175"/>
      <c r="KKX16" s="175"/>
      <c r="KKY16" s="175"/>
      <c r="KKZ16" s="175"/>
      <c r="KLA16" s="175"/>
      <c r="KLB16" s="175"/>
      <c r="KLC16" s="175"/>
      <c r="KLD16" s="175"/>
      <c r="KLE16" s="175"/>
      <c r="KLF16" s="175"/>
      <c r="KLG16" s="175"/>
      <c r="KLH16" s="175"/>
      <c r="KLI16" s="175"/>
      <c r="KLJ16" s="175"/>
      <c r="KLK16" s="175"/>
      <c r="KLL16" s="175"/>
      <c r="KLM16" s="175"/>
      <c r="KLN16" s="175"/>
      <c r="KLO16" s="175"/>
      <c r="KLP16" s="175"/>
      <c r="KLQ16" s="175"/>
      <c r="KLR16" s="175"/>
      <c r="KLS16" s="175"/>
      <c r="KLT16" s="175"/>
      <c r="KLU16" s="175"/>
      <c r="KLV16" s="175"/>
      <c r="KLW16" s="175"/>
      <c r="KLX16" s="175"/>
      <c r="KLY16" s="175"/>
      <c r="KLZ16" s="175"/>
      <c r="KMA16" s="175"/>
      <c r="KMB16" s="175"/>
      <c r="KMC16" s="175"/>
      <c r="KMD16" s="175"/>
      <c r="KME16" s="175"/>
      <c r="KMF16" s="175"/>
      <c r="KMG16" s="175"/>
      <c r="KMH16" s="175"/>
      <c r="KMI16" s="175"/>
      <c r="KMJ16" s="175"/>
      <c r="KMK16" s="175"/>
      <c r="KML16" s="175"/>
      <c r="KMM16" s="175"/>
      <c r="KMN16" s="175"/>
      <c r="KMO16" s="175"/>
      <c r="KMP16" s="175"/>
      <c r="KMQ16" s="175"/>
      <c r="KMR16" s="175"/>
      <c r="KMS16" s="175"/>
      <c r="KMT16" s="175"/>
      <c r="KMU16" s="175"/>
      <c r="KMV16" s="175"/>
      <c r="KMW16" s="175"/>
      <c r="KMX16" s="175"/>
      <c r="KMY16" s="175"/>
      <c r="KMZ16" s="175"/>
      <c r="KNA16" s="175"/>
      <c r="KNB16" s="175"/>
      <c r="KNC16" s="175"/>
      <c r="KND16" s="175"/>
      <c r="KNE16" s="175"/>
      <c r="KNF16" s="175"/>
      <c r="KNG16" s="175"/>
      <c r="KNH16" s="175"/>
      <c r="KNI16" s="175"/>
      <c r="KNJ16" s="175"/>
      <c r="KNK16" s="175"/>
      <c r="KNL16" s="175"/>
      <c r="KNM16" s="175"/>
      <c r="KNN16" s="175"/>
      <c r="KNO16" s="175"/>
      <c r="KNP16" s="175"/>
      <c r="KNQ16" s="175"/>
      <c r="KNR16" s="175"/>
      <c r="KNS16" s="175"/>
      <c r="KNT16" s="175"/>
      <c r="KNU16" s="175"/>
      <c r="KNV16" s="175"/>
      <c r="KNW16" s="175"/>
      <c r="KNX16" s="175"/>
      <c r="KNY16" s="175"/>
      <c r="KNZ16" s="175"/>
      <c r="KOA16" s="175"/>
      <c r="KOB16" s="175"/>
      <c r="KOC16" s="175"/>
      <c r="KOD16" s="175"/>
      <c r="KOE16" s="175"/>
      <c r="KOF16" s="175"/>
      <c r="KOG16" s="175"/>
      <c r="KOH16" s="175"/>
      <c r="KOI16" s="175"/>
      <c r="KOJ16" s="175"/>
      <c r="KOK16" s="175"/>
      <c r="KOL16" s="175"/>
      <c r="KOM16" s="175"/>
      <c r="KON16" s="175"/>
      <c r="KOO16" s="175"/>
      <c r="KOP16" s="175"/>
      <c r="KOQ16" s="175"/>
      <c r="KOR16" s="175"/>
      <c r="KOS16" s="175"/>
      <c r="KOT16" s="175"/>
      <c r="KOU16" s="175"/>
      <c r="KOV16" s="175"/>
      <c r="KOW16" s="175"/>
      <c r="KOX16" s="175"/>
      <c r="KOY16" s="175"/>
      <c r="KOZ16" s="175"/>
      <c r="KPA16" s="175"/>
      <c r="KPB16" s="175"/>
      <c r="KPC16" s="175"/>
      <c r="KPD16" s="175"/>
      <c r="KPE16" s="175"/>
      <c r="KPF16" s="175"/>
      <c r="KPG16" s="175"/>
      <c r="KPH16" s="175"/>
      <c r="KPI16" s="175"/>
      <c r="KPJ16" s="175"/>
      <c r="KPK16" s="175"/>
      <c r="KPL16" s="175"/>
      <c r="KPM16" s="175"/>
      <c r="KPN16" s="175"/>
      <c r="KPO16" s="175"/>
      <c r="KPP16" s="175"/>
      <c r="KPQ16" s="175"/>
      <c r="KPR16" s="175"/>
      <c r="KPS16" s="175"/>
      <c r="KPT16" s="175"/>
      <c r="KPU16" s="175"/>
      <c r="KPV16" s="175"/>
      <c r="KPW16" s="175"/>
      <c r="KPX16" s="175"/>
      <c r="KPY16" s="175"/>
      <c r="KPZ16" s="175"/>
      <c r="KQA16" s="175"/>
      <c r="KQB16" s="175"/>
      <c r="KQC16" s="175"/>
      <c r="KQD16" s="175"/>
      <c r="KQE16" s="175"/>
      <c r="KQF16" s="175"/>
      <c r="KQG16" s="175"/>
      <c r="KQH16" s="175"/>
      <c r="KQI16" s="175"/>
      <c r="KQJ16" s="175"/>
      <c r="KQK16" s="175"/>
      <c r="KQL16" s="175"/>
      <c r="KQM16" s="175"/>
      <c r="KQN16" s="175"/>
      <c r="KQO16" s="175"/>
      <c r="KQP16" s="175"/>
      <c r="KQQ16" s="175"/>
      <c r="KQR16" s="175"/>
      <c r="KQS16" s="175"/>
      <c r="KQT16" s="175"/>
      <c r="KQU16" s="175"/>
      <c r="KQV16" s="175"/>
      <c r="KQW16" s="175"/>
      <c r="KQX16" s="175"/>
      <c r="KQY16" s="175"/>
      <c r="KQZ16" s="175"/>
      <c r="KRA16" s="175"/>
      <c r="KRB16" s="175"/>
      <c r="KRC16" s="175"/>
      <c r="KRD16" s="175"/>
      <c r="KRE16" s="175"/>
      <c r="KRF16" s="175"/>
      <c r="KRG16" s="175"/>
      <c r="KRH16" s="175"/>
      <c r="KRI16" s="175"/>
      <c r="KRJ16" s="175"/>
      <c r="KRK16" s="175"/>
      <c r="KRL16" s="175"/>
      <c r="KRM16" s="175"/>
      <c r="KRN16" s="175"/>
      <c r="KRO16" s="175"/>
      <c r="KRP16" s="175"/>
      <c r="KRQ16" s="175"/>
      <c r="KRR16" s="175"/>
      <c r="KRS16" s="175"/>
      <c r="KRT16" s="175"/>
      <c r="KRU16" s="175"/>
      <c r="KRV16" s="175"/>
      <c r="KRW16" s="175"/>
      <c r="KRX16" s="175"/>
      <c r="KRY16" s="175"/>
      <c r="KRZ16" s="175"/>
      <c r="KSA16" s="175"/>
      <c r="KSB16" s="175"/>
      <c r="KSC16" s="175"/>
      <c r="KSD16" s="175"/>
      <c r="KSE16" s="175"/>
      <c r="KSF16" s="175"/>
      <c r="KSG16" s="175"/>
      <c r="KSH16" s="175"/>
      <c r="KSI16" s="175"/>
      <c r="KSJ16" s="175"/>
      <c r="KSK16" s="175"/>
      <c r="KSL16" s="175"/>
      <c r="KSM16" s="175"/>
      <c r="KSN16" s="175"/>
      <c r="KSO16" s="175"/>
      <c r="KSP16" s="175"/>
      <c r="KSQ16" s="175"/>
      <c r="KSR16" s="175"/>
      <c r="KSS16" s="175"/>
      <c r="KST16" s="175"/>
      <c r="KSU16" s="175"/>
      <c r="KSV16" s="175"/>
      <c r="KSW16" s="175"/>
      <c r="KSX16" s="175"/>
      <c r="KSY16" s="175"/>
      <c r="KSZ16" s="175"/>
      <c r="KTA16" s="175"/>
      <c r="KTB16" s="175"/>
      <c r="KTC16" s="175"/>
      <c r="KTD16" s="175"/>
      <c r="KTE16" s="175"/>
      <c r="KTF16" s="175"/>
      <c r="KTG16" s="175"/>
      <c r="KTH16" s="175"/>
      <c r="KTI16" s="175"/>
      <c r="KTJ16" s="175"/>
      <c r="KTK16" s="175"/>
      <c r="KTL16" s="175"/>
      <c r="KTM16" s="175"/>
      <c r="KTN16" s="175"/>
      <c r="KTO16" s="175"/>
      <c r="KTP16" s="175"/>
      <c r="KTQ16" s="175"/>
      <c r="KTR16" s="175"/>
      <c r="KTS16" s="175"/>
      <c r="KTT16" s="175"/>
      <c r="KTU16" s="175"/>
      <c r="KTV16" s="175"/>
      <c r="KTW16" s="175"/>
      <c r="KTX16" s="175"/>
      <c r="KTY16" s="175"/>
      <c r="KTZ16" s="175"/>
      <c r="KUA16" s="175"/>
      <c r="KUB16" s="175"/>
      <c r="KUC16" s="175"/>
      <c r="KUD16" s="175"/>
      <c r="KUE16" s="175"/>
      <c r="KUF16" s="175"/>
      <c r="KUG16" s="175"/>
      <c r="KUH16" s="175"/>
      <c r="KUI16" s="175"/>
      <c r="KUJ16" s="175"/>
      <c r="KUK16" s="175"/>
      <c r="KUL16" s="175"/>
      <c r="KUM16" s="175"/>
      <c r="KUN16" s="175"/>
      <c r="KUO16" s="175"/>
      <c r="KUP16" s="175"/>
      <c r="KUQ16" s="175"/>
      <c r="KUR16" s="175"/>
      <c r="KUS16" s="175"/>
      <c r="KUT16" s="175"/>
      <c r="KUU16" s="175"/>
      <c r="KUV16" s="175"/>
      <c r="KUW16" s="175"/>
      <c r="KUX16" s="175"/>
      <c r="KUY16" s="175"/>
      <c r="KUZ16" s="175"/>
      <c r="KVA16" s="175"/>
      <c r="KVB16" s="175"/>
      <c r="KVC16" s="175"/>
      <c r="KVD16" s="175"/>
      <c r="KVE16" s="175"/>
      <c r="KVF16" s="175"/>
      <c r="KVG16" s="175"/>
      <c r="KVH16" s="175"/>
      <c r="KVI16" s="175"/>
      <c r="KVJ16" s="175"/>
      <c r="KVK16" s="175"/>
      <c r="KVL16" s="175"/>
      <c r="KVM16" s="175"/>
      <c r="KVN16" s="175"/>
      <c r="KVO16" s="175"/>
      <c r="KVP16" s="175"/>
      <c r="KVQ16" s="175"/>
      <c r="KVR16" s="175"/>
      <c r="KVS16" s="175"/>
      <c r="KVT16" s="175"/>
      <c r="KVU16" s="175"/>
      <c r="KVV16" s="175"/>
      <c r="KVW16" s="175"/>
      <c r="KVX16" s="175"/>
      <c r="KVY16" s="175"/>
      <c r="KVZ16" s="175"/>
      <c r="KWA16" s="175"/>
      <c r="KWB16" s="175"/>
      <c r="KWC16" s="175"/>
      <c r="KWD16" s="175"/>
      <c r="KWE16" s="175"/>
      <c r="KWF16" s="175"/>
      <c r="KWG16" s="175"/>
      <c r="KWH16" s="175"/>
      <c r="KWI16" s="175"/>
      <c r="KWJ16" s="175"/>
      <c r="KWK16" s="175"/>
      <c r="KWL16" s="175"/>
      <c r="KWM16" s="175"/>
      <c r="KWN16" s="175"/>
      <c r="KWO16" s="175"/>
      <c r="KWP16" s="175"/>
      <c r="KWQ16" s="175"/>
      <c r="KWR16" s="175"/>
      <c r="KWS16" s="175"/>
      <c r="KWT16" s="175"/>
      <c r="KWU16" s="175"/>
      <c r="KWV16" s="175"/>
      <c r="KWW16" s="175"/>
      <c r="KWX16" s="175"/>
      <c r="KWY16" s="175"/>
      <c r="KWZ16" s="175"/>
      <c r="KXA16" s="175"/>
      <c r="KXB16" s="175"/>
      <c r="KXC16" s="175"/>
      <c r="KXD16" s="175"/>
      <c r="KXE16" s="175"/>
      <c r="KXF16" s="175"/>
      <c r="KXG16" s="175"/>
      <c r="KXH16" s="175"/>
      <c r="KXI16" s="175"/>
      <c r="KXJ16" s="175"/>
      <c r="KXK16" s="175"/>
      <c r="KXL16" s="175"/>
      <c r="KXM16" s="175"/>
      <c r="KXN16" s="175"/>
      <c r="KXO16" s="175"/>
      <c r="KXP16" s="175"/>
      <c r="KXQ16" s="175"/>
      <c r="KXR16" s="175"/>
      <c r="KXS16" s="175"/>
      <c r="KXT16" s="175"/>
      <c r="KXU16" s="175"/>
      <c r="KXV16" s="175"/>
      <c r="KXW16" s="175"/>
      <c r="KXX16" s="175"/>
      <c r="KXY16" s="175"/>
      <c r="KXZ16" s="175"/>
      <c r="KYA16" s="175"/>
      <c r="KYB16" s="175"/>
      <c r="KYC16" s="175"/>
      <c r="KYD16" s="175"/>
      <c r="KYE16" s="175"/>
      <c r="KYF16" s="175"/>
      <c r="KYG16" s="175"/>
      <c r="KYH16" s="175"/>
      <c r="KYI16" s="175"/>
      <c r="KYJ16" s="175"/>
      <c r="KYK16" s="175"/>
      <c r="KYL16" s="175"/>
      <c r="KYM16" s="175"/>
      <c r="KYN16" s="175"/>
      <c r="KYO16" s="175"/>
      <c r="KYP16" s="175"/>
      <c r="KYQ16" s="175"/>
      <c r="KYR16" s="175"/>
      <c r="KYS16" s="175"/>
      <c r="KYT16" s="175"/>
      <c r="KYU16" s="175"/>
      <c r="KYV16" s="175"/>
      <c r="KYW16" s="175"/>
      <c r="KYX16" s="175"/>
      <c r="KYY16" s="175"/>
      <c r="KYZ16" s="175"/>
      <c r="KZA16" s="175"/>
      <c r="KZB16" s="175"/>
      <c r="KZC16" s="175"/>
      <c r="KZD16" s="175"/>
      <c r="KZE16" s="175"/>
      <c r="KZF16" s="175"/>
      <c r="KZG16" s="175"/>
      <c r="KZH16" s="175"/>
      <c r="KZI16" s="175"/>
      <c r="KZJ16" s="175"/>
      <c r="KZK16" s="175"/>
      <c r="KZL16" s="175"/>
      <c r="KZM16" s="175"/>
      <c r="KZN16" s="175"/>
      <c r="KZO16" s="175"/>
      <c r="KZP16" s="175"/>
      <c r="KZQ16" s="175"/>
      <c r="KZR16" s="175"/>
      <c r="KZS16" s="175"/>
      <c r="KZT16" s="175"/>
      <c r="KZU16" s="175"/>
      <c r="KZV16" s="175"/>
      <c r="KZW16" s="175"/>
      <c r="KZX16" s="175"/>
      <c r="KZY16" s="175"/>
      <c r="KZZ16" s="175"/>
      <c r="LAA16" s="175"/>
      <c r="LAB16" s="175"/>
      <c r="LAC16" s="175"/>
      <c r="LAD16" s="175"/>
      <c r="LAE16" s="175"/>
      <c r="LAF16" s="175"/>
      <c r="LAG16" s="175"/>
      <c r="LAH16" s="175"/>
      <c r="LAI16" s="175"/>
      <c r="LAJ16" s="175"/>
      <c r="LAK16" s="175"/>
      <c r="LAL16" s="175"/>
      <c r="LAM16" s="175"/>
      <c r="LAN16" s="175"/>
      <c r="LAO16" s="175"/>
      <c r="LAP16" s="175"/>
      <c r="LAQ16" s="175"/>
      <c r="LAR16" s="175"/>
      <c r="LAS16" s="175"/>
      <c r="LAT16" s="175"/>
      <c r="LAU16" s="175"/>
      <c r="LAV16" s="175"/>
      <c r="LAW16" s="175"/>
      <c r="LAX16" s="175"/>
      <c r="LAY16" s="175"/>
      <c r="LAZ16" s="175"/>
      <c r="LBA16" s="175"/>
      <c r="LBB16" s="175"/>
      <c r="LBC16" s="175"/>
      <c r="LBD16" s="175"/>
      <c r="LBE16" s="175"/>
      <c r="LBF16" s="175"/>
      <c r="LBG16" s="175"/>
      <c r="LBH16" s="175"/>
      <c r="LBI16" s="175"/>
      <c r="LBJ16" s="175"/>
      <c r="LBK16" s="175"/>
      <c r="LBL16" s="175"/>
      <c r="LBM16" s="175"/>
      <c r="LBN16" s="175"/>
      <c r="LBO16" s="175"/>
      <c r="LBP16" s="175"/>
      <c r="LBQ16" s="175"/>
      <c r="LBR16" s="175"/>
      <c r="LBS16" s="175"/>
      <c r="LBT16" s="175"/>
      <c r="LBU16" s="175"/>
      <c r="LBV16" s="175"/>
      <c r="LBW16" s="175"/>
      <c r="LBX16" s="175"/>
      <c r="LBY16" s="175"/>
      <c r="LBZ16" s="175"/>
      <c r="LCA16" s="175"/>
      <c r="LCB16" s="175"/>
      <c r="LCC16" s="175"/>
      <c r="LCD16" s="175"/>
      <c r="LCE16" s="175"/>
      <c r="LCF16" s="175"/>
      <c r="LCG16" s="175"/>
      <c r="LCH16" s="175"/>
      <c r="LCI16" s="175"/>
      <c r="LCJ16" s="175"/>
      <c r="LCK16" s="175"/>
      <c r="LCL16" s="175"/>
      <c r="LCM16" s="175"/>
      <c r="LCN16" s="175"/>
      <c r="LCO16" s="175"/>
      <c r="LCP16" s="175"/>
      <c r="LCQ16" s="175"/>
      <c r="LCR16" s="175"/>
      <c r="LCS16" s="175"/>
      <c r="LCT16" s="175"/>
      <c r="LCU16" s="175"/>
      <c r="LCV16" s="175"/>
      <c r="LCW16" s="175"/>
      <c r="LCX16" s="175"/>
      <c r="LCY16" s="175"/>
      <c r="LCZ16" s="175"/>
      <c r="LDA16" s="175"/>
      <c r="LDB16" s="175"/>
      <c r="LDC16" s="175"/>
      <c r="LDD16" s="175"/>
      <c r="LDE16" s="175"/>
      <c r="LDF16" s="175"/>
      <c r="LDG16" s="175"/>
      <c r="LDH16" s="175"/>
      <c r="LDI16" s="175"/>
      <c r="LDJ16" s="175"/>
      <c r="LDK16" s="175"/>
      <c r="LDL16" s="175"/>
      <c r="LDM16" s="175"/>
      <c r="LDN16" s="175"/>
      <c r="LDO16" s="175"/>
      <c r="LDP16" s="175"/>
      <c r="LDQ16" s="175"/>
      <c r="LDR16" s="175"/>
      <c r="LDS16" s="175"/>
      <c r="LDT16" s="175"/>
      <c r="LDU16" s="175"/>
      <c r="LDV16" s="175"/>
      <c r="LDW16" s="175"/>
      <c r="LDX16" s="175"/>
      <c r="LDY16" s="175"/>
      <c r="LDZ16" s="175"/>
      <c r="LEA16" s="175"/>
      <c r="LEB16" s="175"/>
      <c r="LEC16" s="175"/>
      <c r="LED16" s="175"/>
      <c r="LEE16" s="175"/>
      <c r="LEF16" s="175"/>
      <c r="LEG16" s="175"/>
      <c r="LEH16" s="175"/>
      <c r="LEI16" s="175"/>
      <c r="LEJ16" s="175"/>
      <c r="LEK16" s="175"/>
      <c r="LEL16" s="175"/>
      <c r="LEM16" s="175"/>
      <c r="LEN16" s="175"/>
      <c r="LEO16" s="175"/>
      <c r="LEP16" s="175"/>
      <c r="LEQ16" s="175"/>
      <c r="LER16" s="175"/>
      <c r="LES16" s="175"/>
      <c r="LET16" s="175"/>
      <c r="LEU16" s="175"/>
      <c r="LEV16" s="175"/>
      <c r="LEW16" s="175"/>
      <c r="LEX16" s="175"/>
      <c r="LEY16" s="175"/>
      <c r="LEZ16" s="175"/>
      <c r="LFA16" s="175"/>
      <c r="LFB16" s="175"/>
      <c r="LFC16" s="175"/>
      <c r="LFD16" s="175"/>
      <c r="LFE16" s="175"/>
      <c r="LFF16" s="175"/>
      <c r="LFG16" s="175"/>
      <c r="LFH16" s="175"/>
      <c r="LFI16" s="175"/>
      <c r="LFJ16" s="175"/>
      <c r="LFK16" s="175"/>
      <c r="LFL16" s="175"/>
      <c r="LFM16" s="175"/>
      <c r="LFN16" s="175"/>
      <c r="LFO16" s="175"/>
      <c r="LFP16" s="175"/>
      <c r="LFQ16" s="175"/>
      <c r="LFR16" s="175"/>
      <c r="LFS16" s="175"/>
      <c r="LFT16" s="175"/>
      <c r="LFU16" s="175"/>
      <c r="LFV16" s="175"/>
      <c r="LFW16" s="175"/>
      <c r="LFX16" s="175"/>
      <c r="LFY16" s="175"/>
      <c r="LFZ16" s="175"/>
      <c r="LGA16" s="175"/>
      <c r="LGB16" s="175"/>
      <c r="LGC16" s="175"/>
      <c r="LGD16" s="175"/>
      <c r="LGE16" s="175"/>
      <c r="LGF16" s="175"/>
      <c r="LGG16" s="175"/>
      <c r="LGH16" s="175"/>
      <c r="LGI16" s="175"/>
      <c r="LGJ16" s="175"/>
      <c r="LGK16" s="175"/>
      <c r="LGL16" s="175"/>
      <c r="LGM16" s="175"/>
      <c r="LGN16" s="175"/>
      <c r="LGO16" s="175"/>
      <c r="LGP16" s="175"/>
      <c r="LGQ16" s="175"/>
      <c r="LGR16" s="175"/>
      <c r="LGS16" s="175"/>
      <c r="LGT16" s="175"/>
      <c r="LGU16" s="175"/>
      <c r="LGV16" s="175"/>
      <c r="LGW16" s="175"/>
      <c r="LGX16" s="175"/>
      <c r="LGY16" s="175"/>
      <c r="LGZ16" s="175"/>
      <c r="LHA16" s="175"/>
      <c r="LHB16" s="175"/>
      <c r="LHC16" s="175"/>
      <c r="LHD16" s="175"/>
      <c r="LHE16" s="175"/>
      <c r="LHF16" s="175"/>
      <c r="LHG16" s="175"/>
      <c r="LHH16" s="175"/>
      <c r="LHI16" s="175"/>
      <c r="LHJ16" s="175"/>
      <c r="LHK16" s="175"/>
      <c r="LHL16" s="175"/>
      <c r="LHM16" s="175"/>
      <c r="LHN16" s="175"/>
      <c r="LHO16" s="175"/>
      <c r="LHP16" s="175"/>
      <c r="LHQ16" s="175"/>
      <c r="LHR16" s="175"/>
      <c r="LHS16" s="175"/>
      <c r="LHT16" s="175"/>
      <c r="LHU16" s="175"/>
      <c r="LHV16" s="175"/>
      <c r="LHW16" s="175"/>
      <c r="LHX16" s="175"/>
      <c r="LHY16" s="175"/>
      <c r="LHZ16" s="175"/>
      <c r="LIA16" s="175"/>
      <c r="LIB16" s="175"/>
      <c r="LIC16" s="175"/>
      <c r="LID16" s="175"/>
      <c r="LIE16" s="175"/>
      <c r="LIF16" s="175"/>
      <c r="LIG16" s="175"/>
      <c r="LIH16" s="175"/>
      <c r="LII16" s="175"/>
      <c r="LIJ16" s="175"/>
      <c r="LIK16" s="175"/>
      <c r="LIL16" s="175"/>
      <c r="LIM16" s="175"/>
      <c r="LIN16" s="175"/>
      <c r="LIO16" s="175"/>
      <c r="LIP16" s="175"/>
      <c r="LIQ16" s="175"/>
      <c r="LIR16" s="175"/>
      <c r="LIS16" s="175"/>
      <c r="LIT16" s="175"/>
      <c r="LIU16" s="175"/>
      <c r="LIV16" s="175"/>
      <c r="LIW16" s="175"/>
      <c r="LIX16" s="175"/>
      <c r="LIY16" s="175"/>
      <c r="LIZ16" s="175"/>
      <c r="LJA16" s="175"/>
      <c r="LJB16" s="175"/>
      <c r="LJC16" s="175"/>
      <c r="LJD16" s="175"/>
      <c r="LJE16" s="175"/>
      <c r="LJF16" s="175"/>
      <c r="LJG16" s="175"/>
      <c r="LJH16" s="175"/>
      <c r="LJI16" s="175"/>
      <c r="LJJ16" s="175"/>
      <c r="LJK16" s="175"/>
      <c r="LJL16" s="175"/>
      <c r="LJM16" s="175"/>
      <c r="LJN16" s="175"/>
      <c r="LJO16" s="175"/>
      <c r="LJP16" s="175"/>
      <c r="LJQ16" s="175"/>
      <c r="LJR16" s="175"/>
      <c r="LJS16" s="175"/>
      <c r="LJT16" s="175"/>
      <c r="LJU16" s="175"/>
      <c r="LJV16" s="175"/>
      <c r="LJW16" s="175"/>
      <c r="LJX16" s="175"/>
      <c r="LJY16" s="175"/>
      <c r="LJZ16" s="175"/>
      <c r="LKA16" s="175"/>
      <c r="LKB16" s="175"/>
      <c r="LKC16" s="175"/>
      <c r="LKD16" s="175"/>
      <c r="LKE16" s="175"/>
      <c r="LKF16" s="175"/>
      <c r="LKG16" s="175"/>
      <c r="LKH16" s="175"/>
      <c r="LKI16" s="175"/>
      <c r="LKJ16" s="175"/>
      <c r="LKK16" s="175"/>
      <c r="LKL16" s="175"/>
      <c r="LKM16" s="175"/>
      <c r="LKN16" s="175"/>
      <c r="LKO16" s="175"/>
      <c r="LKP16" s="175"/>
      <c r="LKQ16" s="175"/>
      <c r="LKR16" s="175"/>
      <c r="LKS16" s="175"/>
      <c r="LKT16" s="175"/>
      <c r="LKU16" s="175"/>
      <c r="LKV16" s="175"/>
      <c r="LKW16" s="175"/>
      <c r="LKX16" s="175"/>
      <c r="LKY16" s="175"/>
      <c r="LKZ16" s="175"/>
      <c r="LLA16" s="175"/>
      <c r="LLB16" s="175"/>
      <c r="LLC16" s="175"/>
      <c r="LLD16" s="175"/>
      <c r="LLE16" s="175"/>
      <c r="LLF16" s="175"/>
      <c r="LLG16" s="175"/>
      <c r="LLH16" s="175"/>
      <c r="LLI16" s="175"/>
      <c r="LLJ16" s="175"/>
      <c r="LLK16" s="175"/>
      <c r="LLL16" s="175"/>
      <c r="LLM16" s="175"/>
      <c r="LLN16" s="175"/>
      <c r="LLO16" s="175"/>
      <c r="LLP16" s="175"/>
      <c r="LLQ16" s="175"/>
      <c r="LLR16" s="175"/>
      <c r="LLS16" s="175"/>
      <c r="LLT16" s="175"/>
      <c r="LLU16" s="175"/>
      <c r="LLV16" s="175"/>
      <c r="LLW16" s="175"/>
      <c r="LLX16" s="175"/>
      <c r="LLY16" s="175"/>
      <c r="LLZ16" s="175"/>
      <c r="LMA16" s="175"/>
      <c r="LMB16" s="175"/>
      <c r="LMC16" s="175"/>
      <c r="LMD16" s="175"/>
      <c r="LME16" s="175"/>
      <c r="LMF16" s="175"/>
      <c r="LMG16" s="175"/>
      <c r="LMH16" s="175"/>
      <c r="LMI16" s="175"/>
      <c r="LMJ16" s="175"/>
      <c r="LMK16" s="175"/>
      <c r="LML16" s="175"/>
      <c r="LMM16" s="175"/>
      <c r="LMN16" s="175"/>
      <c r="LMO16" s="175"/>
      <c r="LMP16" s="175"/>
      <c r="LMQ16" s="175"/>
      <c r="LMR16" s="175"/>
      <c r="LMS16" s="175"/>
      <c r="LMT16" s="175"/>
      <c r="LMU16" s="175"/>
      <c r="LMV16" s="175"/>
      <c r="LMW16" s="175"/>
      <c r="LMX16" s="175"/>
      <c r="LMY16" s="175"/>
      <c r="LMZ16" s="175"/>
      <c r="LNA16" s="175"/>
      <c r="LNB16" s="175"/>
      <c r="LNC16" s="175"/>
      <c r="LND16" s="175"/>
      <c r="LNE16" s="175"/>
      <c r="LNF16" s="175"/>
      <c r="LNG16" s="175"/>
      <c r="LNH16" s="175"/>
      <c r="LNI16" s="175"/>
      <c r="LNJ16" s="175"/>
      <c r="LNK16" s="175"/>
      <c r="LNL16" s="175"/>
      <c r="LNM16" s="175"/>
      <c r="LNN16" s="175"/>
      <c r="LNO16" s="175"/>
      <c r="LNP16" s="175"/>
      <c r="LNQ16" s="175"/>
      <c r="LNR16" s="175"/>
      <c r="LNS16" s="175"/>
      <c r="LNT16" s="175"/>
      <c r="LNU16" s="175"/>
      <c r="LNV16" s="175"/>
      <c r="LNW16" s="175"/>
      <c r="LNX16" s="175"/>
      <c r="LNY16" s="175"/>
      <c r="LNZ16" s="175"/>
      <c r="LOA16" s="175"/>
      <c r="LOB16" s="175"/>
      <c r="LOC16" s="175"/>
      <c r="LOD16" s="175"/>
      <c r="LOE16" s="175"/>
      <c r="LOF16" s="175"/>
      <c r="LOG16" s="175"/>
      <c r="LOH16" s="175"/>
      <c r="LOI16" s="175"/>
      <c r="LOJ16" s="175"/>
      <c r="LOK16" s="175"/>
      <c r="LOL16" s="175"/>
      <c r="LOM16" s="175"/>
      <c r="LON16" s="175"/>
      <c r="LOO16" s="175"/>
      <c r="LOP16" s="175"/>
      <c r="LOQ16" s="175"/>
      <c r="LOR16" s="175"/>
      <c r="LOS16" s="175"/>
      <c r="LOT16" s="175"/>
      <c r="LOU16" s="175"/>
      <c r="LOV16" s="175"/>
      <c r="LOW16" s="175"/>
      <c r="LOX16" s="175"/>
      <c r="LOY16" s="175"/>
      <c r="LOZ16" s="175"/>
      <c r="LPA16" s="175"/>
      <c r="LPB16" s="175"/>
      <c r="LPC16" s="175"/>
      <c r="LPD16" s="175"/>
      <c r="LPE16" s="175"/>
      <c r="LPF16" s="175"/>
      <c r="LPG16" s="175"/>
      <c r="LPH16" s="175"/>
      <c r="LPI16" s="175"/>
      <c r="LPJ16" s="175"/>
      <c r="LPK16" s="175"/>
      <c r="LPL16" s="175"/>
      <c r="LPM16" s="175"/>
      <c r="LPN16" s="175"/>
      <c r="LPO16" s="175"/>
      <c r="LPP16" s="175"/>
      <c r="LPQ16" s="175"/>
      <c r="LPR16" s="175"/>
      <c r="LPS16" s="175"/>
      <c r="LPT16" s="175"/>
      <c r="LPU16" s="175"/>
      <c r="LPV16" s="175"/>
      <c r="LPW16" s="175"/>
      <c r="LPX16" s="175"/>
      <c r="LPY16" s="175"/>
      <c r="LPZ16" s="175"/>
      <c r="LQA16" s="175"/>
      <c r="LQB16" s="175"/>
      <c r="LQC16" s="175"/>
      <c r="LQD16" s="175"/>
      <c r="LQE16" s="175"/>
      <c r="LQF16" s="175"/>
      <c r="LQG16" s="175"/>
      <c r="LQH16" s="175"/>
      <c r="LQI16" s="175"/>
      <c r="LQJ16" s="175"/>
      <c r="LQK16" s="175"/>
      <c r="LQL16" s="175"/>
      <c r="LQM16" s="175"/>
      <c r="LQN16" s="175"/>
      <c r="LQO16" s="175"/>
      <c r="LQP16" s="175"/>
      <c r="LQQ16" s="175"/>
      <c r="LQR16" s="175"/>
      <c r="LQS16" s="175"/>
      <c r="LQT16" s="175"/>
      <c r="LQU16" s="175"/>
      <c r="LQV16" s="175"/>
      <c r="LQW16" s="175"/>
      <c r="LQX16" s="175"/>
      <c r="LQY16" s="175"/>
      <c r="LQZ16" s="175"/>
      <c r="LRA16" s="175"/>
      <c r="LRB16" s="175"/>
      <c r="LRC16" s="175"/>
      <c r="LRD16" s="175"/>
      <c r="LRE16" s="175"/>
      <c r="LRF16" s="175"/>
      <c r="LRG16" s="175"/>
      <c r="LRH16" s="175"/>
      <c r="LRI16" s="175"/>
      <c r="LRJ16" s="175"/>
      <c r="LRK16" s="175"/>
      <c r="LRL16" s="175"/>
      <c r="LRM16" s="175"/>
      <c r="LRN16" s="175"/>
      <c r="LRO16" s="175"/>
      <c r="LRP16" s="175"/>
      <c r="LRQ16" s="175"/>
      <c r="LRR16" s="175"/>
      <c r="LRS16" s="175"/>
      <c r="LRT16" s="175"/>
      <c r="LRU16" s="175"/>
      <c r="LRV16" s="175"/>
      <c r="LRW16" s="175"/>
      <c r="LRX16" s="175"/>
      <c r="LRY16" s="175"/>
      <c r="LRZ16" s="175"/>
      <c r="LSA16" s="175"/>
      <c r="LSB16" s="175"/>
      <c r="LSC16" s="175"/>
      <c r="LSD16" s="175"/>
      <c r="LSE16" s="175"/>
      <c r="LSF16" s="175"/>
      <c r="LSG16" s="175"/>
      <c r="LSH16" s="175"/>
      <c r="LSI16" s="175"/>
      <c r="LSJ16" s="175"/>
      <c r="LSK16" s="175"/>
      <c r="LSL16" s="175"/>
      <c r="LSM16" s="175"/>
      <c r="LSN16" s="175"/>
      <c r="LSO16" s="175"/>
      <c r="LSP16" s="175"/>
      <c r="LSQ16" s="175"/>
      <c r="LSR16" s="175"/>
      <c r="LSS16" s="175"/>
      <c r="LST16" s="175"/>
      <c r="LSU16" s="175"/>
      <c r="LSV16" s="175"/>
      <c r="LSW16" s="175"/>
      <c r="LSX16" s="175"/>
      <c r="LSY16" s="175"/>
      <c r="LSZ16" s="175"/>
      <c r="LTA16" s="175"/>
      <c r="LTB16" s="175"/>
      <c r="LTC16" s="175"/>
      <c r="LTD16" s="175"/>
      <c r="LTE16" s="175"/>
      <c r="LTF16" s="175"/>
      <c r="LTG16" s="175"/>
      <c r="LTH16" s="175"/>
      <c r="LTI16" s="175"/>
      <c r="LTJ16" s="175"/>
      <c r="LTK16" s="175"/>
      <c r="LTL16" s="175"/>
      <c r="LTM16" s="175"/>
      <c r="LTN16" s="175"/>
      <c r="LTO16" s="175"/>
      <c r="LTP16" s="175"/>
      <c r="LTQ16" s="175"/>
      <c r="LTR16" s="175"/>
      <c r="LTS16" s="175"/>
      <c r="LTT16" s="175"/>
      <c r="LTU16" s="175"/>
      <c r="LTV16" s="175"/>
      <c r="LTW16" s="175"/>
      <c r="LTX16" s="175"/>
      <c r="LTY16" s="175"/>
      <c r="LTZ16" s="175"/>
      <c r="LUA16" s="175"/>
      <c r="LUB16" s="175"/>
      <c r="LUC16" s="175"/>
      <c r="LUD16" s="175"/>
      <c r="LUE16" s="175"/>
      <c r="LUF16" s="175"/>
      <c r="LUG16" s="175"/>
      <c r="LUH16" s="175"/>
      <c r="LUI16" s="175"/>
      <c r="LUJ16" s="175"/>
      <c r="LUK16" s="175"/>
      <c r="LUL16" s="175"/>
      <c r="LUM16" s="175"/>
      <c r="LUN16" s="175"/>
      <c r="LUO16" s="175"/>
      <c r="LUP16" s="175"/>
      <c r="LUQ16" s="175"/>
      <c r="LUR16" s="175"/>
      <c r="LUS16" s="175"/>
      <c r="LUT16" s="175"/>
      <c r="LUU16" s="175"/>
      <c r="LUV16" s="175"/>
      <c r="LUW16" s="175"/>
      <c r="LUX16" s="175"/>
      <c r="LUY16" s="175"/>
      <c r="LUZ16" s="175"/>
      <c r="LVA16" s="175"/>
      <c r="LVB16" s="175"/>
      <c r="LVC16" s="175"/>
      <c r="LVD16" s="175"/>
      <c r="LVE16" s="175"/>
      <c r="LVF16" s="175"/>
      <c r="LVG16" s="175"/>
      <c r="LVH16" s="175"/>
      <c r="LVI16" s="175"/>
      <c r="LVJ16" s="175"/>
      <c r="LVK16" s="175"/>
      <c r="LVL16" s="175"/>
      <c r="LVM16" s="175"/>
      <c r="LVN16" s="175"/>
      <c r="LVO16" s="175"/>
      <c r="LVP16" s="175"/>
      <c r="LVQ16" s="175"/>
      <c r="LVR16" s="175"/>
      <c r="LVS16" s="175"/>
      <c r="LVT16" s="175"/>
      <c r="LVU16" s="175"/>
      <c r="LVV16" s="175"/>
      <c r="LVW16" s="175"/>
      <c r="LVX16" s="175"/>
      <c r="LVY16" s="175"/>
      <c r="LVZ16" s="175"/>
      <c r="LWA16" s="175"/>
      <c r="LWB16" s="175"/>
      <c r="LWC16" s="175"/>
      <c r="LWD16" s="175"/>
      <c r="LWE16" s="175"/>
      <c r="LWF16" s="175"/>
      <c r="LWG16" s="175"/>
      <c r="LWH16" s="175"/>
      <c r="LWI16" s="175"/>
      <c r="LWJ16" s="175"/>
      <c r="LWK16" s="175"/>
      <c r="LWL16" s="175"/>
      <c r="LWM16" s="175"/>
      <c r="LWN16" s="175"/>
      <c r="LWO16" s="175"/>
      <c r="LWP16" s="175"/>
      <c r="LWQ16" s="175"/>
      <c r="LWR16" s="175"/>
      <c r="LWS16" s="175"/>
      <c r="LWT16" s="175"/>
      <c r="LWU16" s="175"/>
      <c r="LWV16" s="175"/>
      <c r="LWW16" s="175"/>
      <c r="LWX16" s="175"/>
      <c r="LWY16" s="175"/>
      <c r="LWZ16" s="175"/>
      <c r="LXA16" s="175"/>
      <c r="LXB16" s="175"/>
      <c r="LXC16" s="175"/>
      <c r="LXD16" s="175"/>
      <c r="LXE16" s="175"/>
      <c r="LXF16" s="175"/>
      <c r="LXG16" s="175"/>
      <c r="LXH16" s="175"/>
      <c r="LXI16" s="175"/>
      <c r="LXJ16" s="175"/>
      <c r="LXK16" s="175"/>
      <c r="LXL16" s="175"/>
      <c r="LXM16" s="175"/>
      <c r="LXN16" s="175"/>
      <c r="LXO16" s="175"/>
      <c r="LXP16" s="175"/>
      <c r="LXQ16" s="175"/>
      <c r="LXR16" s="175"/>
      <c r="LXS16" s="175"/>
      <c r="LXT16" s="175"/>
      <c r="LXU16" s="175"/>
      <c r="LXV16" s="175"/>
      <c r="LXW16" s="175"/>
      <c r="LXX16" s="175"/>
      <c r="LXY16" s="175"/>
      <c r="LXZ16" s="175"/>
      <c r="LYA16" s="175"/>
      <c r="LYB16" s="175"/>
      <c r="LYC16" s="175"/>
      <c r="LYD16" s="175"/>
      <c r="LYE16" s="175"/>
      <c r="LYF16" s="175"/>
      <c r="LYG16" s="175"/>
      <c r="LYH16" s="175"/>
      <c r="LYI16" s="175"/>
      <c r="LYJ16" s="175"/>
      <c r="LYK16" s="175"/>
      <c r="LYL16" s="175"/>
      <c r="LYM16" s="175"/>
      <c r="LYN16" s="175"/>
      <c r="LYO16" s="175"/>
      <c r="LYP16" s="175"/>
      <c r="LYQ16" s="175"/>
      <c r="LYR16" s="175"/>
      <c r="LYS16" s="175"/>
      <c r="LYT16" s="175"/>
      <c r="LYU16" s="175"/>
      <c r="LYV16" s="175"/>
      <c r="LYW16" s="175"/>
      <c r="LYX16" s="175"/>
      <c r="LYY16" s="175"/>
      <c r="LYZ16" s="175"/>
      <c r="LZA16" s="175"/>
      <c r="LZB16" s="175"/>
      <c r="LZC16" s="175"/>
      <c r="LZD16" s="175"/>
      <c r="LZE16" s="175"/>
      <c r="LZF16" s="175"/>
      <c r="LZG16" s="175"/>
      <c r="LZH16" s="175"/>
      <c r="LZI16" s="175"/>
      <c r="LZJ16" s="175"/>
      <c r="LZK16" s="175"/>
      <c r="LZL16" s="175"/>
      <c r="LZM16" s="175"/>
      <c r="LZN16" s="175"/>
      <c r="LZO16" s="175"/>
      <c r="LZP16" s="175"/>
      <c r="LZQ16" s="175"/>
      <c r="LZR16" s="175"/>
      <c r="LZS16" s="175"/>
      <c r="LZT16" s="175"/>
      <c r="LZU16" s="175"/>
      <c r="LZV16" s="175"/>
      <c r="LZW16" s="175"/>
      <c r="LZX16" s="175"/>
      <c r="LZY16" s="175"/>
      <c r="LZZ16" s="175"/>
      <c r="MAA16" s="175"/>
      <c r="MAB16" s="175"/>
      <c r="MAC16" s="175"/>
      <c r="MAD16" s="175"/>
      <c r="MAE16" s="175"/>
      <c r="MAF16" s="175"/>
      <c r="MAG16" s="175"/>
      <c r="MAH16" s="175"/>
      <c r="MAI16" s="175"/>
      <c r="MAJ16" s="175"/>
      <c r="MAK16" s="175"/>
      <c r="MAL16" s="175"/>
      <c r="MAM16" s="175"/>
      <c r="MAN16" s="175"/>
      <c r="MAO16" s="175"/>
      <c r="MAP16" s="175"/>
      <c r="MAQ16" s="175"/>
      <c r="MAR16" s="175"/>
      <c r="MAS16" s="175"/>
      <c r="MAT16" s="175"/>
      <c r="MAU16" s="175"/>
      <c r="MAV16" s="175"/>
      <c r="MAW16" s="175"/>
      <c r="MAX16" s="175"/>
      <c r="MAY16" s="175"/>
      <c r="MAZ16" s="175"/>
      <c r="MBA16" s="175"/>
      <c r="MBB16" s="175"/>
      <c r="MBC16" s="175"/>
      <c r="MBD16" s="175"/>
      <c r="MBE16" s="175"/>
      <c r="MBF16" s="175"/>
      <c r="MBG16" s="175"/>
      <c r="MBH16" s="175"/>
      <c r="MBI16" s="175"/>
      <c r="MBJ16" s="175"/>
      <c r="MBK16" s="175"/>
      <c r="MBL16" s="175"/>
      <c r="MBM16" s="175"/>
      <c r="MBN16" s="175"/>
      <c r="MBO16" s="175"/>
      <c r="MBP16" s="175"/>
      <c r="MBQ16" s="175"/>
      <c r="MBR16" s="175"/>
      <c r="MBS16" s="175"/>
      <c r="MBT16" s="175"/>
      <c r="MBU16" s="175"/>
      <c r="MBV16" s="175"/>
      <c r="MBW16" s="175"/>
      <c r="MBX16" s="175"/>
      <c r="MBY16" s="175"/>
      <c r="MBZ16" s="175"/>
      <c r="MCA16" s="175"/>
      <c r="MCB16" s="175"/>
      <c r="MCC16" s="175"/>
      <c r="MCD16" s="175"/>
      <c r="MCE16" s="175"/>
      <c r="MCF16" s="175"/>
      <c r="MCG16" s="175"/>
      <c r="MCH16" s="175"/>
      <c r="MCI16" s="175"/>
      <c r="MCJ16" s="175"/>
      <c r="MCK16" s="175"/>
      <c r="MCL16" s="175"/>
      <c r="MCM16" s="175"/>
      <c r="MCN16" s="175"/>
      <c r="MCO16" s="175"/>
      <c r="MCP16" s="175"/>
      <c r="MCQ16" s="175"/>
      <c r="MCR16" s="175"/>
      <c r="MCS16" s="175"/>
      <c r="MCT16" s="175"/>
      <c r="MCU16" s="175"/>
      <c r="MCV16" s="175"/>
      <c r="MCW16" s="175"/>
      <c r="MCX16" s="175"/>
      <c r="MCY16" s="175"/>
      <c r="MCZ16" s="175"/>
      <c r="MDA16" s="175"/>
      <c r="MDB16" s="175"/>
      <c r="MDC16" s="175"/>
      <c r="MDD16" s="175"/>
      <c r="MDE16" s="175"/>
      <c r="MDF16" s="175"/>
      <c r="MDG16" s="175"/>
      <c r="MDH16" s="175"/>
      <c r="MDI16" s="175"/>
      <c r="MDJ16" s="175"/>
      <c r="MDK16" s="175"/>
      <c r="MDL16" s="175"/>
      <c r="MDM16" s="175"/>
      <c r="MDN16" s="175"/>
      <c r="MDO16" s="175"/>
      <c r="MDP16" s="175"/>
      <c r="MDQ16" s="175"/>
      <c r="MDR16" s="175"/>
      <c r="MDS16" s="175"/>
      <c r="MDT16" s="175"/>
      <c r="MDU16" s="175"/>
      <c r="MDV16" s="175"/>
      <c r="MDW16" s="175"/>
      <c r="MDX16" s="175"/>
      <c r="MDY16" s="175"/>
      <c r="MDZ16" s="175"/>
      <c r="MEA16" s="175"/>
      <c r="MEB16" s="175"/>
      <c r="MEC16" s="175"/>
      <c r="MED16" s="175"/>
      <c r="MEE16" s="175"/>
      <c r="MEF16" s="175"/>
      <c r="MEG16" s="175"/>
      <c r="MEH16" s="175"/>
      <c r="MEI16" s="175"/>
      <c r="MEJ16" s="175"/>
      <c r="MEK16" s="175"/>
      <c r="MEL16" s="175"/>
      <c r="MEM16" s="175"/>
      <c r="MEN16" s="175"/>
      <c r="MEO16" s="175"/>
      <c r="MEP16" s="175"/>
      <c r="MEQ16" s="175"/>
      <c r="MER16" s="175"/>
      <c r="MES16" s="175"/>
      <c r="MET16" s="175"/>
      <c r="MEU16" s="175"/>
      <c r="MEV16" s="175"/>
      <c r="MEW16" s="175"/>
      <c r="MEX16" s="175"/>
      <c r="MEY16" s="175"/>
      <c r="MEZ16" s="175"/>
      <c r="MFA16" s="175"/>
      <c r="MFB16" s="175"/>
      <c r="MFC16" s="175"/>
      <c r="MFD16" s="175"/>
      <c r="MFE16" s="175"/>
      <c r="MFF16" s="175"/>
      <c r="MFG16" s="175"/>
      <c r="MFH16" s="175"/>
      <c r="MFI16" s="175"/>
      <c r="MFJ16" s="175"/>
      <c r="MFK16" s="175"/>
      <c r="MFL16" s="175"/>
      <c r="MFM16" s="175"/>
      <c r="MFN16" s="175"/>
      <c r="MFO16" s="175"/>
      <c r="MFP16" s="175"/>
      <c r="MFQ16" s="175"/>
      <c r="MFR16" s="175"/>
      <c r="MFS16" s="175"/>
      <c r="MFT16" s="175"/>
      <c r="MFU16" s="175"/>
      <c r="MFV16" s="175"/>
      <c r="MFW16" s="175"/>
      <c r="MFX16" s="175"/>
      <c r="MFY16" s="175"/>
      <c r="MFZ16" s="175"/>
      <c r="MGA16" s="175"/>
      <c r="MGB16" s="175"/>
      <c r="MGC16" s="175"/>
      <c r="MGD16" s="175"/>
      <c r="MGE16" s="175"/>
      <c r="MGF16" s="175"/>
      <c r="MGG16" s="175"/>
      <c r="MGH16" s="175"/>
      <c r="MGI16" s="175"/>
      <c r="MGJ16" s="175"/>
      <c r="MGK16" s="175"/>
      <c r="MGL16" s="175"/>
      <c r="MGM16" s="175"/>
      <c r="MGN16" s="175"/>
      <c r="MGO16" s="175"/>
      <c r="MGP16" s="175"/>
      <c r="MGQ16" s="175"/>
      <c r="MGR16" s="175"/>
      <c r="MGS16" s="175"/>
      <c r="MGT16" s="175"/>
      <c r="MGU16" s="175"/>
      <c r="MGV16" s="175"/>
      <c r="MGW16" s="175"/>
      <c r="MGX16" s="175"/>
      <c r="MGY16" s="175"/>
      <c r="MGZ16" s="175"/>
      <c r="MHA16" s="175"/>
      <c r="MHB16" s="175"/>
      <c r="MHC16" s="175"/>
      <c r="MHD16" s="175"/>
      <c r="MHE16" s="175"/>
      <c r="MHF16" s="175"/>
      <c r="MHG16" s="175"/>
      <c r="MHH16" s="175"/>
      <c r="MHI16" s="175"/>
      <c r="MHJ16" s="175"/>
      <c r="MHK16" s="175"/>
      <c r="MHL16" s="175"/>
      <c r="MHM16" s="175"/>
      <c r="MHN16" s="175"/>
      <c r="MHO16" s="175"/>
      <c r="MHP16" s="175"/>
      <c r="MHQ16" s="175"/>
      <c r="MHR16" s="175"/>
      <c r="MHS16" s="175"/>
      <c r="MHT16" s="175"/>
      <c r="MHU16" s="175"/>
      <c r="MHV16" s="175"/>
      <c r="MHW16" s="175"/>
      <c r="MHX16" s="175"/>
      <c r="MHY16" s="175"/>
      <c r="MHZ16" s="175"/>
      <c r="MIA16" s="175"/>
      <c r="MIB16" s="175"/>
      <c r="MIC16" s="175"/>
      <c r="MID16" s="175"/>
      <c r="MIE16" s="175"/>
      <c r="MIF16" s="175"/>
      <c r="MIG16" s="175"/>
      <c r="MIH16" s="175"/>
      <c r="MII16" s="175"/>
      <c r="MIJ16" s="175"/>
      <c r="MIK16" s="175"/>
      <c r="MIL16" s="175"/>
      <c r="MIM16" s="175"/>
      <c r="MIN16" s="175"/>
      <c r="MIO16" s="175"/>
      <c r="MIP16" s="175"/>
      <c r="MIQ16" s="175"/>
      <c r="MIR16" s="175"/>
      <c r="MIS16" s="175"/>
      <c r="MIT16" s="175"/>
      <c r="MIU16" s="175"/>
      <c r="MIV16" s="175"/>
      <c r="MIW16" s="175"/>
      <c r="MIX16" s="175"/>
      <c r="MIY16" s="175"/>
      <c r="MIZ16" s="175"/>
      <c r="MJA16" s="175"/>
      <c r="MJB16" s="175"/>
      <c r="MJC16" s="175"/>
      <c r="MJD16" s="175"/>
      <c r="MJE16" s="175"/>
      <c r="MJF16" s="175"/>
      <c r="MJG16" s="175"/>
      <c r="MJH16" s="175"/>
      <c r="MJI16" s="175"/>
      <c r="MJJ16" s="175"/>
      <c r="MJK16" s="175"/>
      <c r="MJL16" s="175"/>
      <c r="MJM16" s="175"/>
      <c r="MJN16" s="175"/>
      <c r="MJO16" s="175"/>
      <c r="MJP16" s="175"/>
      <c r="MJQ16" s="175"/>
      <c r="MJR16" s="175"/>
      <c r="MJS16" s="175"/>
      <c r="MJT16" s="175"/>
      <c r="MJU16" s="175"/>
      <c r="MJV16" s="175"/>
      <c r="MJW16" s="175"/>
      <c r="MJX16" s="175"/>
      <c r="MJY16" s="175"/>
      <c r="MJZ16" s="175"/>
      <c r="MKA16" s="175"/>
      <c r="MKB16" s="175"/>
      <c r="MKC16" s="175"/>
      <c r="MKD16" s="175"/>
      <c r="MKE16" s="175"/>
      <c r="MKF16" s="175"/>
      <c r="MKG16" s="175"/>
      <c r="MKH16" s="175"/>
      <c r="MKI16" s="175"/>
      <c r="MKJ16" s="175"/>
      <c r="MKK16" s="175"/>
      <c r="MKL16" s="175"/>
      <c r="MKM16" s="175"/>
      <c r="MKN16" s="175"/>
      <c r="MKO16" s="175"/>
      <c r="MKP16" s="175"/>
      <c r="MKQ16" s="175"/>
      <c r="MKR16" s="175"/>
      <c r="MKS16" s="175"/>
      <c r="MKT16" s="175"/>
      <c r="MKU16" s="175"/>
      <c r="MKV16" s="175"/>
      <c r="MKW16" s="175"/>
      <c r="MKX16" s="175"/>
      <c r="MKY16" s="175"/>
      <c r="MKZ16" s="175"/>
      <c r="MLA16" s="175"/>
      <c r="MLB16" s="175"/>
      <c r="MLC16" s="175"/>
      <c r="MLD16" s="175"/>
      <c r="MLE16" s="175"/>
      <c r="MLF16" s="175"/>
      <c r="MLG16" s="175"/>
      <c r="MLH16" s="175"/>
      <c r="MLI16" s="175"/>
      <c r="MLJ16" s="175"/>
      <c r="MLK16" s="175"/>
      <c r="MLL16" s="175"/>
      <c r="MLM16" s="175"/>
      <c r="MLN16" s="175"/>
      <c r="MLO16" s="175"/>
      <c r="MLP16" s="175"/>
      <c r="MLQ16" s="175"/>
      <c r="MLR16" s="175"/>
      <c r="MLS16" s="175"/>
      <c r="MLT16" s="175"/>
      <c r="MLU16" s="175"/>
      <c r="MLV16" s="175"/>
      <c r="MLW16" s="175"/>
      <c r="MLX16" s="175"/>
      <c r="MLY16" s="175"/>
      <c r="MLZ16" s="175"/>
      <c r="MMA16" s="175"/>
      <c r="MMB16" s="175"/>
      <c r="MMC16" s="175"/>
      <c r="MMD16" s="175"/>
      <c r="MME16" s="175"/>
      <c r="MMF16" s="175"/>
      <c r="MMG16" s="175"/>
      <c r="MMH16" s="175"/>
      <c r="MMI16" s="175"/>
      <c r="MMJ16" s="175"/>
      <c r="MMK16" s="175"/>
      <c r="MML16" s="175"/>
      <c r="MMM16" s="175"/>
      <c r="MMN16" s="175"/>
      <c r="MMO16" s="175"/>
      <c r="MMP16" s="175"/>
      <c r="MMQ16" s="175"/>
      <c r="MMR16" s="175"/>
      <c r="MMS16" s="175"/>
      <c r="MMT16" s="175"/>
      <c r="MMU16" s="175"/>
      <c r="MMV16" s="175"/>
      <c r="MMW16" s="175"/>
      <c r="MMX16" s="175"/>
      <c r="MMY16" s="175"/>
      <c r="MMZ16" s="175"/>
      <c r="MNA16" s="175"/>
      <c r="MNB16" s="175"/>
      <c r="MNC16" s="175"/>
      <c r="MND16" s="175"/>
      <c r="MNE16" s="175"/>
      <c r="MNF16" s="175"/>
      <c r="MNG16" s="175"/>
      <c r="MNH16" s="175"/>
      <c r="MNI16" s="175"/>
      <c r="MNJ16" s="175"/>
      <c r="MNK16" s="175"/>
      <c r="MNL16" s="175"/>
      <c r="MNM16" s="175"/>
      <c r="MNN16" s="175"/>
      <c r="MNO16" s="175"/>
      <c r="MNP16" s="175"/>
      <c r="MNQ16" s="175"/>
      <c r="MNR16" s="175"/>
      <c r="MNS16" s="175"/>
      <c r="MNT16" s="175"/>
      <c r="MNU16" s="175"/>
      <c r="MNV16" s="175"/>
      <c r="MNW16" s="175"/>
      <c r="MNX16" s="175"/>
      <c r="MNY16" s="175"/>
      <c r="MNZ16" s="175"/>
      <c r="MOA16" s="175"/>
      <c r="MOB16" s="175"/>
      <c r="MOC16" s="175"/>
      <c r="MOD16" s="175"/>
      <c r="MOE16" s="175"/>
      <c r="MOF16" s="175"/>
      <c r="MOG16" s="175"/>
      <c r="MOH16" s="175"/>
      <c r="MOI16" s="175"/>
      <c r="MOJ16" s="175"/>
      <c r="MOK16" s="175"/>
      <c r="MOL16" s="175"/>
      <c r="MOM16" s="175"/>
      <c r="MON16" s="175"/>
      <c r="MOO16" s="175"/>
      <c r="MOP16" s="175"/>
      <c r="MOQ16" s="175"/>
      <c r="MOR16" s="175"/>
      <c r="MOS16" s="175"/>
      <c r="MOT16" s="175"/>
      <c r="MOU16" s="175"/>
      <c r="MOV16" s="175"/>
      <c r="MOW16" s="175"/>
      <c r="MOX16" s="175"/>
      <c r="MOY16" s="175"/>
      <c r="MOZ16" s="175"/>
      <c r="MPA16" s="175"/>
      <c r="MPB16" s="175"/>
      <c r="MPC16" s="175"/>
      <c r="MPD16" s="175"/>
      <c r="MPE16" s="175"/>
      <c r="MPF16" s="175"/>
      <c r="MPG16" s="175"/>
      <c r="MPH16" s="175"/>
      <c r="MPI16" s="175"/>
      <c r="MPJ16" s="175"/>
      <c r="MPK16" s="175"/>
      <c r="MPL16" s="175"/>
      <c r="MPM16" s="175"/>
      <c r="MPN16" s="175"/>
      <c r="MPO16" s="175"/>
      <c r="MPP16" s="175"/>
      <c r="MPQ16" s="175"/>
      <c r="MPR16" s="175"/>
      <c r="MPS16" s="175"/>
      <c r="MPT16" s="175"/>
      <c r="MPU16" s="175"/>
      <c r="MPV16" s="175"/>
      <c r="MPW16" s="175"/>
      <c r="MPX16" s="175"/>
      <c r="MPY16" s="175"/>
      <c r="MPZ16" s="175"/>
      <c r="MQA16" s="175"/>
      <c r="MQB16" s="175"/>
      <c r="MQC16" s="175"/>
      <c r="MQD16" s="175"/>
      <c r="MQE16" s="175"/>
      <c r="MQF16" s="175"/>
      <c r="MQG16" s="175"/>
      <c r="MQH16" s="175"/>
      <c r="MQI16" s="175"/>
      <c r="MQJ16" s="175"/>
      <c r="MQK16" s="175"/>
      <c r="MQL16" s="175"/>
      <c r="MQM16" s="175"/>
      <c r="MQN16" s="175"/>
      <c r="MQO16" s="175"/>
      <c r="MQP16" s="175"/>
      <c r="MQQ16" s="175"/>
      <c r="MQR16" s="175"/>
      <c r="MQS16" s="175"/>
      <c r="MQT16" s="175"/>
      <c r="MQU16" s="175"/>
      <c r="MQV16" s="175"/>
      <c r="MQW16" s="175"/>
      <c r="MQX16" s="175"/>
      <c r="MQY16" s="175"/>
      <c r="MQZ16" s="175"/>
      <c r="MRA16" s="175"/>
      <c r="MRB16" s="175"/>
      <c r="MRC16" s="175"/>
      <c r="MRD16" s="175"/>
      <c r="MRE16" s="175"/>
      <c r="MRF16" s="175"/>
      <c r="MRG16" s="175"/>
      <c r="MRH16" s="175"/>
      <c r="MRI16" s="175"/>
      <c r="MRJ16" s="175"/>
      <c r="MRK16" s="175"/>
      <c r="MRL16" s="175"/>
      <c r="MRM16" s="175"/>
      <c r="MRN16" s="175"/>
      <c r="MRO16" s="175"/>
      <c r="MRP16" s="175"/>
      <c r="MRQ16" s="175"/>
      <c r="MRR16" s="175"/>
      <c r="MRS16" s="175"/>
      <c r="MRT16" s="175"/>
      <c r="MRU16" s="175"/>
      <c r="MRV16" s="175"/>
      <c r="MRW16" s="175"/>
      <c r="MRX16" s="175"/>
      <c r="MRY16" s="175"/>
      <c r="MRZ16" s="175"/>
      <c r="MSA16" s="175"/>
      <c r="MSB16" s="175"/>
      <c r="MSC16" s="175"/>
      <c r="MSD16" s="175"/>
      <c r="MSE16" s="175"/>
      <c r="MSF16" s="175"/>
      <c r="MSG16" s="175"/>
      <c r="MSH16" s="175"/>
      <c r="MSI16" s="175"/>
      <c r="MSJ16" s="175"/>
      <c r="MSK16" s="175"/>
      <c r="MSL16" s="175"/>
      <c r="MSM16" s="175"/>
      <c r="MSN16" s="175"/>
      <c r="MSO16" s="175"/>
      <c r="MSP16" s="175"/>
      <c r="MSQ16" s="175"/>
      <c r="MSR16" s="175"/>
      <c r="MSS16" s="175"/>
      <c r="MST16" s="175"/>
      <c r="MSU16" s="175"/>
      <c r="MSV16" s="175"/>
      <c r="MSW16" s="175"/>
      <c r="MSX16" s="175"/>
      <c r="MSY16" s="175"/>
      <c r="MSZ16" s="175"/>
      <c r="MTA16" s="175"/>
      <c r="MTB16" s="175"/>
      <c r="MTC16" s="175"/>
      <c r="MTD16" s="175"/>
      <c r="MTE16" s="175"/>
      <c r="MTF16" s="175"/>
      <c r="MTG16" s="175"/>
      <c r="MTH16" s="175"/>
      <c r="MTI16" s="175"/>
      <c r="MTJ16" s="175"/>
      <c r="MTK16" s="175"/>
      <c r="MTL16" s="175"/>
      <c r="MTM16" s="175"/>
      <c r="MTN16" s="175"/>
      <c r="MTO16" s="175"/>
      <c r="MTP16" s="175"/>
      <c r="MTQ16" s="175"/>
      <c r="MTR16" s="175"/>
      <c r="MTS16" s="175"/>
      <c r="MTT16" s="175"/>
      <c r="MTU16" s="175"/>
      <c r="MTV16" s="175"/>
      <c r="MTW16" s="175"/>
      <c r="MTX16" s="175"/>
      <c r="MTY16" s="175"/>
      <c r="MTZ16" s="175"/>
      <c r="MUA16" s="175"/>
      <c r="MUB16" s="175"/>
      <c r="MUC16" s="175"/>
      <c r="MUD16" s="175"/>
      <c r="MUE16" s="175"/>
      <c r="MUF16" s="175"/>
      <c r="MUG16" s="175"/>
      <c r="MUH16" s="175"/>
      <c r="MUI16" s="175"/>
      <c r="MUJ16" s="175"/>
      <c r="MUK16" s="175"/>
      <c r="MUL16" s="175"/>
      <c r="MUM16" s="175"/>
      <c r="MUN16" s="175"/>
      <c r="MUO16" s="175"/>
      <c r="MUP16" s="175"/>
      <c r="MUQ16" s="175"/>
      <c r="MUR16" s="175"/>
      <c r="MUS16" s="175"/>
      <c r="MUT16" s="175"/>
      <c r="MUU16" s="175"/>
      <c r="MUV16" s="175"/>
      <c r="MUW16" s="175"/>
      <c r="MUX16" s="175"/>
      <c r="MUY16" s="175"/>
      <c r="MUZ16" s="175"/>
      <c r="MVA16" s="175"/>
      <c r="MVB16" s="175"/>
      <c r="MVC16" s="175"/>
      <c r="MVD16" s="175"/>
      <c r="MVE16" s="175"/>
      <c r="MVF16" s="175"/>
      <c r="MVG16" s="175"/>
      <c r="MVH16" s="175"/>
      <c r="MVI16" s="175"/>
      <c r="MVJ16" s="175"/>
      <c r="MVK16" s="175"/>
      <c r="MVL16" s="175"/>
      <c r="MVM16" s="175"/>
      <c r="MVN16" s="175"/>
      <c r="MVO16" s="175"/>
      <c r="MVP16" s="175"/>
      <c r="MVQ16" s="175"/>
      <c r="MVR16" s="175"/>
      <c r="MVS16" s="175"/>
      <c r="MVT16" s="175"/>
      <c r="MVU16" s="175"/>
      <c r="MVV16" s="175"/>
      <c r="MVW16" s="175"/>
      <c r="MVX16" s="175"/>
      <c r="MVY16" s="175"/>
      <c r="MVZ16" s="175"/>
      <c r="MWA16" s="175"/>
      <c r="MWB16" s="175"/>
      <c r="MWC16" s="175"/>
      <c r="MWD16" s="175"/>
      <c r="MWE16" s="175"/>
      <c r="MWF16" s="175"/>
      <c r="MWG16" s="175"/>
      <c r="MWH16" s="175"/>
      <c r="MWI16" s="175"/>
      <c r="MWJ16" s="175"/>
      <c r="MWK16" s="175"/>
      <c r="MWL16" s="175"/>
      <c r="MWM16" s="175"/>
      <c r="MWN16" s="175"/>
      <c r="MWO16" s="175"/>
      <c r="MWP16" s="175"/>
      <c r="MWQ16" s="175"/>
      <c r="MWR16" s="175"/>
      <c r="MWS16" s="175"/>
      <c r="MWT16" s="175"/>
      <c r="MWU16" s="175"/>
      <c r="MWV16" s="175"/>
      <c r="MWW16" s="175"/>
      <c r="MWX16" s="175"/>
      <c r="MWY16" s="175"/>
      <c r="MWZ16" s="175"/>
      <c r="MXA16" s="175"/>
      <c r="MXB16" s="175"/>
      <c r="MXC16" s="175"/>
      <c r="MXD16" s="175"/>
      <c r="MXE16" s="175"/>
      <c r="MXF16" s="175"/>
      <c r="MXG16" s="175"/>
      <c r="MXH16" s="175"/>
      <c r="MXI16" s="175"/>
      <c r="MXJ16" s="175"/>
      <c r="MXK16" s="175"/>
      <c r="MXL16" s="175"/>
      <c r="MXM16" s="175"/>
      <c r="MXN16" s="175"/>
      <c r="MXO16" s="175"/>
      <c r="MXP16" s="175"/>
      <c r="MXQ16" s="175"/>
      <c r="MXR16" s="175"/>
      <c r="MXS16" s="175"/>
      <c r="MXT16" s="175"/>
      <c r="MXU16" s="175"/>
      <c r="MXV16" s="175"/>
      <c r="MXW16" s="175"/>
      <c r="MXX16" s="175"/>
      <c r="MXY16" s="175"/>
      <c r="MXZ16" s="175"/>
      <c r="MYA16" s="175"/>
      <c r="MYB16" s="175"/>
      <c r="MYC16" s="175"/>
      <c r="MYD16" s="175"/>
      <c r="MYE16" s="175"/>
      <c r="MYF16" s="175"/>
      <c r="MYG16" s="175"/>
      <c r="MYH16" s="175"/>
      <c r="MYI16" s="175"/>
      <c r="MYJ16" s="175"/>
      <c r="MYK16" s="175"/>
      <c r="MYL16" s="175"/>
      <c r="MYM16" s="175"/>
      <c r="MYN16" s="175"/>
      <c r="MYO16" s="175"/>
      <c r="MYP16" s="175"/>
      <c r="MYQ16" s="175"/>
      <c r="MYR16" s="175"/>
      <c r="MYS16" s="175"/>
      <c r="MYT16" s="175"/>
      <c r="MYU16" s="175"/>
      <c r="MYV16" s="175"/>
      <c r="MYW16" s="175"/>
      <c r="MYX16" s="175"/>
      <c r="MYY16" s="175"/>
      <c r="MYZ16" s="175"/>
      <c r="MZA16" s="175"/>
      <c r="MZB16" s="175"/>
      <c r="MZC16" s="175"/>
      <c r="MZD16" s="175"/>
      <c r="MZE16" s="175"/>
      <c r="MZF16" s="175"/>
      <c r="MZG16" s="175"/>
      <c r="MZH16" s="175"/>
      <c r="MZI16" s="175"/>
      <c r="MZJ16" s="175"/>
      <c r="MZK16" s="175"/>
      <c r="MZL16" s="175"/>
      <c r="MZM16" s="175"/>
      <c r="MZN16" s="175"/>
      <c r="MZO16" s="175"/>
      <c r="MZP16" s="175"/>
      <c r="MZQ16" s="175"/>
      <c r="MZR16" s="175"/>
      <c r="MZS16" s="175"/>
      <c r="MZT16" s="175"/>
      <c r="MZU16" s="175"/>
      <c r="MZV16" s="175"/>
      <c r="MZW16" s="175"/>
      <c r="MZX16" s="175"/>
      <c r="MZY16" s="175"/>
      <c r="MZZ16" s="175"/>
      <c r="NAA16" s="175"/>
      <c r="NAB16" s="175"/>
      <c r="NAC16" s="175"/>
      <c r="NAD16" s="175"/>
      <c r="NAE16" s="175"/>
      <c r="NAF16" s="175"/>
      <c r="NAG16" s="175"/>
      <c r="NAH16" s="175"/>
      <c r="NAI16" s="175"/>
      <c r="NAJ16" s="175"/>
      <c r="NAK16" s="175"/>
      <c r="NAL16" s="175"/>
      <c r="NAM16" s="175"/>
      <c r="NAN16" s="175"/>
      <c r="NAO16" s="175"/>
      <c r="NAP16" s="175"/>
      <c r="NAQ16" s="175"/>
      <c r="NAR16" s="175"/>
      <c r="NAS16" s="175"/>
      <c r="NAT16" s="175"/>
      <c r="NAU16" s="175"/>
      <c r="NAV16" s="175"/>
      <c r="NAW16" s="175"/>
      <c r="NAX16" s="175"/>
      <c r="NAY16" s="175"/>
      <c r="NAZ16" s="175"/>
      <c r="NBA16" s="175"/>
      <c r="NBB16" s="175"/>
      <c r="NBC16" s="175"/>
      <c r="NBD16" s="175"/>
      <c r="NBE16" s="175"/>
      <c r="NBF16" s="175"/>
      <c r="NBG16" s="175"/>
      <c r="NBH16" s="175"/>
      <c r="NBI16" s="175"/>
      <c r="NBJ16" s="175"/>
      <c r="NBK16" s="175"/>
      <c r="NBL16" s="175"/>
      <c r="NBM16" s="175"/>
      <c r="NBN16" s="175"/>
      <c r="NBO16" s="175"/>
      <c r="NBP16" s="175"/>
      <c r="NBQ16" s="175"/>
      <c r="NBR16" s="175"/>
      <c r="NBS16" s="175"/>
      <c r="NBT16" s="175"/>
      <c r="NBU16" s="175"/>
      <c r="NBV16" s="175"/>
      <c r="NBW16" s="175"/>
      <c r="NBX16" s="175"/>
      <c r="NBY16" s="175"/>
      <c r="NBZ16" s="175"/>
      <c r="NCA16" s="175"/>
      <c r="NCB16" s="175"/>
      <c r="NCC16" s="175"/>
      <c r="NCD16" s="175"/>
      <c r="NCE16" s="175"/>
      <c r="NCF16" s="175"/>
      <c r="NCG16" s="175"/>
      <c r="NCH16" s="175"/>
      <c r="NCI16" s="175"/>
      <c r="NCJ16" s="175"/>
      <c r="NCK16" s="175"/>
      <c r="NCL16" s="175"/>
      <c r="NCM16" s="175"/>
      <c r="NCN16" s="175"/>
      <c r="NCO16" s="175"/>
      <c r="NCP16" s="175"/>
      <c r="NCQ16" s="175"/>
      <c r="NCR16" s="175"/>
      <c r="NCS16" s="175"/>
      <c r="NCT16" s="175"/>
      <c r="NCU16" s="175"/>
      <c r="NCV16" s="175"/>
      <c r="NCW16" s="175"/>
      <c r="NCX16" s="175"/>
      <c r="NCY16" s="175"/>
      <c r="NCZ16" s="175"/>
      <c r="NDA16" s="175"/>
      <c r="NDB16" s="175"/>
      <c r="NDC16" s="175"/>
      <c r="NDD16" s="175"/>
      <c r="NDE16" s="175"/>
      <c r="NDF16" s="175"/>
      <c r="NDG16" s="175"/>
      <c r="NDH16" s="175"/>
      <c r="NDI16" s="175"/>
      <c r="NDJ16" s="175"/>
      <c r="NDK16" s="175"/>
      <c r="NDL16" s="175"/>
      <c r="NDM16" s="175"/>
      <c r="NDN16" s="175"/>
      <c r="NDO16" s="175"/>
      <c r="NDP16" s="175"/>
      <c r="NDQ16" s="175"/>
      <c r="NDR16" s="175"/>
      <c r="NDS16" s="175"/>
      <c r="NDT16" s="175"/>
      <c r="NDU16" s="175"/>
      <c r="NDV16" s="175"/>
      <c r="NDW16" s="175"/>
      <c r="NDX16" s="175"/>
      <c r="NDY16" s="175"/>
      <c r="NDZ16" s="175"/>
      <c r="NEA16" s="175"/>
      <c r="NEB16" s="175"/>
      <c r="NEC16" s="175"/>
      <c r="NED16" s="175"/>
      <c r="NEE16" s="175"/>
      <c r="NEF16" s="175"/>
      <c r="NEG16" s="175"/>
      <c r="NEH16" s="175"/>
      <c r="NEI16" s="175"/>
      <c r="NEJ16" s="175"/>
      <c r="NEK16" s="175"/>
      <c r="NEL16" s="175"/>
      <c r="NEM16" s="175"/>
      <c r="NEN16" s="175"/>
      <c r="NEO16" s="175"/>
      <c r="NEP16" s="175"/>
      <c r="NEQ16" s="175"/>
      <c r="NER16" s="175"/>
      <c r="NES16" s="175"/>
      <c r="NET16" s="175"/>
      <c r="NEU16" s="175"/>
      <c r="NEV16" s="175"/>
      <c r="NEW16" s="175"/>
      <c r="NEX16" s="175"/>
      <c r="NEY16" s="175"/>
      <c r="NEZ16" s="175"/>
      <c r="NFA16" s="175"/>
      <c r="NFB16" s="175"/>
      <c r="NFC16" s="175"/>
      <c r="NFD16" s="175"/>
      <c r="NFE16" s="175"/>
      <c r="NFF16" s="175"/>
      <c r="NFG16" s="175"/>
      <c r="NFH16" s="175"/>
      <c r="NFI16" s="175"/>
      <c r="NFJ16" s="175"/>
      <c r="NFK16" s="175"/>
      <c r="NFL16" s="175"/>
      <c r="NFM16" s="175"/>
      <c r="NFN16" s="175"/>
      <c r="NFO16" s="175"/>
      <c r="NFP16" s="175"/>
      <c r="NFQ16" s="175"/>
      <c r="NFR16" s="175"/>
      <c r="NFS16" s="175"/>
      <c r="NFT16" s="175"/>
      <c r="NFU16" s="175"/>
      <c r="NFV16" s="175"/>
      <c r="NFW16" s="175"/>
      <c r="NFX16" s="175"/>
      <c r="NFY16" s="175"/>
      <c r="NFZ16" s="175"/>
      <c r="NGA16" s="175"/>
      <c r="NGB16" s="175"/>
      <c r="NGC16" s="175"/>
      <c r="NGD16" s="175"/>
      <c r="NGE16" s="175"/>
      <c r="NGF16" s="175"/>
      <c r="NGG16" s="175"/>
      <c r="NGH16" s="175"/>
      <c r="NGI16" s="175"/>
      <c r="NGJ16" s="175"/>
      <c r="NGK16" s="175"/>
      <c r="NGL16" s="175"/>
      <c r="NGM16" s="175"/>
      <c r="NGN16" s="175"/>
      <c r="NGO16" s="175"/>
      <c r="NGP16" s="175"/>
      <c r="NGQ16" s="175"/>
      <c r="NGR16" s="175"/>
      <c r="NGS16" s="175"/>
      <c r="NGT16" s="175"/>
      <c r="NGU16" s="175"/>
      <c r="NGV16" s="175"/>
      <c r="NGW16" s="175"/>
      <c r="NGX16" s="175"/>
      <c r="NGY16" s="175"/>
      <c r="NGZ16" s="175"/>
      <c r="NHA16" s="175"/>
      <c r="NHB16" s="175"/>
      <c r="NHC16" s="175"/>
      <c r="NHD16" s="175"/>
      <c r="NHE16" s="175"/>
      <c r="NHF16" s="175"/>
      <c r="NHG16" s="175"/>
      <c r="NHH16" s="175"/>
      <c r="NHI16" s="175"/>
      <c r="NHJ16" s="175"/>
      <c r="NHK16" s="175"/>
      <c r="NHL16" s="175"/>
      <c r="NHM16" s="175"/>
      <c r="NHN16" s="175"/>
      <c r="NHO16" s="175"/>
      <c r="NHP16" s="175"/>
      <c r="NHQ16" s="175"/>
      <c r="NHR16" s="175"/>
      <c r="NHS16" s="175"/>
      <c r="NHT16" s="175"/>
      <c r="NHU16" s="175"/>
      <c r="NHV16" s="175"/>
      <c r="NHW16" s="175"/>
      <c r="NHX16" s="175"/>
      <c r="NHY16" s="175"/>
      <c r="NHZ16" s="175"/>
      <c r="NIA16" s="175"/>
      <c r="NIB16" s="175"/>
      <c r="NIC16" s="175"/>
      <c r="NID16" s="175"/>
      <c r="NIE16" s="175"/>
      <c r="NIF16" s="175"/>
      <c r="NIG16" s="175"/>
      <c r="NIH16" s="175"/>
      <c r="NII16" s="175"/>
      <c r="NIJ16" s="175"/>
      <c r="NIK16" s="175"/>
      <c r="NIL16" s="175"/>
      <c r="NIM16" s="175"/>
      <c r="NIN16" s="175"/>
      <c r="NIO16" s="175"/>
      <c r="NIP16" s="175"/>
      <c r="NIQ16" s="175"/>
      <c r="NIR16" s="175"/>
      <c r="NIS16" s="175"/>
      <c r="NIT16" s="175"/>
      <c r="NIU16" s="175"/>
      <c r="NIV16" s="175"/>
      <c r="NIW16" s="175"/>
      <c r="NIX16" s="175"/>
      <c r="NIY16" s="175"/>
      <c r="NIZ16" s="175"/>
      <c r="NJA16" s="175"/>
      <c r="NJB16" s="175"/>
      <c r="NJC16" s="175"/>
      <c r="NJD16" s="175"/>
      <c r="NJE16" s="175"/>
      <c r="NJF16" s="175"/>
      <c r="NJG16" s="175"/>
      <c r="NJH16" s="175"/>
      <c r="NJI16" s="175"/>
      <c r="NJJ16" s="175"/>
      <c r="NJK16" s="175"/>
      <c r="NJL16" s="175"/>
      <c r="NJM16" s="175"/>
      <c r="NJN16" s="175"/>
      <c r="NJO16" s="175"/>
      <c r="NJP16" s="175"/>
      <c r="NJQ16" s="175"/>
      <c r="NJR16" s="175"/>
      <c r="NJS16" s="175"/>
      <c r="NJT16" s="175"/>
      <c r="NJU16" s="175"/>
      <c r="NJV16" s="175"/>
      <c r="NJW16" s="175"/>
      <c r="NJX16" s="175"/>
      <c r="NJY16" s="175"/>
      <c r="NJZ16" s="175"/>
      <c r="NKA16" s="175"/>
      <c r="NKB16" s="175"/>
      <c r="NKC16" s="175"/>
      <c r="NKD16" s="175"/>
      <c r="NKE16" s="175"/>
      <c r="NKF16" s="175"/>
      <c r="NKG16" s="175"/>
      <c r="NKH16" s="175"/>
      <c r="NKI16" s="175"/>
      <c r="NKJ16" s="175"/>
      <c r="NKK16" s="175"/>
      <c r="NKL16" s="175"/>
      <c r="NKM16" s="175"/>
      <c r="NKN16" s="175"/>
      <c r="NKO16" s="175"/>
      <c r="NKP16" s="175"/>
      <c r="NKQ16" s="175"/>
      <c r="NKR16" s="175"/>
      <c r="NKS16" s="175"/>
      <c r="NKT16" s="175"/>
      <c r="NKU16" s="175"/>
      <c r="NKV16" s="175"/>
      <c r="NKW16" s="175"/>
      <c r="NKX16" s="175"/>
      <c r="NKY16" s="175"/>
      <c r="NKZ16" s="175"/>
      <c r="NLA16" s="175"/>
      <c r="NLB16" s="175"/>
      <c r="NLC16" s="175"/>
      <c r="NLD16" s="175"/>
      <c r="NLE16" s="175"/>
      <c r="NLF16" s="175"/>
      <c r="NLG16" s="175"/>
      <c r="NLH16" s="175"/>
      <c r="NLI16" s="175"/>
      <c r="NLJ16" s="175"/>
      <c r="NLK16" s="175"/>
      <c r="NLL16" s="175"/>
      <c r="NLM16" s="175"/>
      <c r="NLN16" s="175"/>
      <c r="NLO16" s="175"/>
      <c r="NLP16" s="175"/>
      <c r="NLQ16" s="175"/>
      <c r="NLR16" s="175"/>
      <c r="NLS16" s="175"/>
      <c r="NLT16" s="175"/>
      <c r="NLU16" s="175"/>
      <c r="NLV16" s="175"/>
      <c r="NLW16" s="175"/>
      <c r="NLX16" s="175"/>
      <c r="NLY16" s="175"/>
      <c r="NLZ16" s="175"/>
      <c r="NMA16" s="175"/>
      <c r="NMB16" s="175"/>
      <c r="NMC16" s="175"/>
      <c r="NMD16" s="175"/>
      <c r="NME16" s="175"/>
      <c r="NMF16" s="175"/>
      <c r="NMG16" s="175"/>
      <c r="NMH16" s="175"/>
      <c r="NMI16" s="175"/>
      <c r="NMJ16" s="175"/>
      <c r="NMK16" s="175"/>
      <c r="NML16" s="175"/>
      <c r="NMM16" s="175"/>
      <c r="NMN16" s="175"/>
      <c r="NMO16" s="175"/>
      <c r="NMP16" s="175"/>
      <c r="NMQ16" s="175"/>
      <c r="NMR16" s="175"/>
      <c r="NMS16" s="175"/>
      <c r="NMT16" s="175"/>
      <c r="NMU16" s="175"/>
      <c r="NMV16" s="175"/>
      <c r="NMW16" s="175"/>
      <c r="NMX16" s="175"/>
      <c r="NMY16" s="175"/>
      <c r="NMZ16" s="175"/>
      <c r="NNA16" s="175"/>
      <c r="NNB16" s="175"/>
      <c r="NNC16" s="175"/>
      <c r="NND16" s="175"/>
      <c r="NNE16" s="175"/>
      <c r="NNF16" s="175"/>
      <c r="NNG16" s="175"/>
      <c r="NNH16" s="175"/>
      <c r="NNI16" s="175"/>
      <c r="NNJ16" s="175"/>
      <c r="NNK16" s="175"/>
      <c r="NNL16" s="175"/>
      <c r="NNM16" s="175"/>
      <c r="NNN16" s="175"/>
      <c r="NNO16" s="175"/>
      <c r="NNP16" s="175"/>
      <c r="NNQ16" s="175"/>
      <c r="NNR16" s="175"/>
      <c r="NNS16" s="175"/>
      <c r="NNT16" s="175"/>
      <c r="NNU16" s="175"/>
      <c r="NNV16" s="175"/>
      <c r="NNW16" s="175"/>
      <c r="NNX16" s="175"/>
      <c r="NNY16" s="175"/>
      <c r="NNZ16" s="175"/>
      <c r="NOA16" s="175"/>
      <c r="NOB16" s="175"/>
      <c r="NOC16" s="175"/>
      <c r="NOD16" s="175"/>
      <c r="NOE16" s="175"/>
      <c r="NOF16" s="175"/>
      <c r="NOG16" s="175"/>
      <c r="NOH16" s="175"/>
      <c r="NOI16" s="175"/>
      <c r="NOJ16" s="175"/>
      <c r="NOK16" s="175"/>
      <c r="NOL16" s="175"/>
      <c r="NOM16" s="175"/>
      <c r="NON16" s="175"/>
      <c r="NOO16" s="175"/>
      <c r="NOP16" s="175"/>
      <c r="NOQ16" s="175"/>
      <c r="NOR16" s="175"/>
      <c r="NOS16" s="175"/>
      <c r="NOT16" s="175"/>
      <c r="NOU16" s="175"/>
      <c r="NOV16" s="175"/>
      <c r="NOW16" s="175"/>
      <c r="NOX16" s="175"/>
      <c r="NOY16" s="175"/>
      <c r="NOZ16" s="175"/>
      <c r="NPA16" s="175"/>
      <c r="NPB16" s="175"/>
      <c r="NPC16" s="175"/>
      <c r="NPD16" s="175"/>
      <c r="NPE16" s="175"/>
      <c r="NPF16" s="175"/>
      <c r="NPG16" s="175"/>
      <c r="NPH16" s="175"/>
      <c r="NPI16" s="175"/>
      <c r="NPJ16" s="175"/>
      <c r="NPK16" s="175"/>
      <c r="NPL16" s="175"/>
      <c r="NPM16" s="175"/>
      <c r="NPN16" s="175"/>
      <c r="NPO16" s="175"/>
      <c r="NPP16" s="175"/>
      <c r="NPQ16" s="175"/>
      <c r="NPR16" s="175"/>
      <c r="NPS16" s="175"/>
      <c r="NPT16" s="175"/>
      <c r="NPU16" s="175"/>
      <c r="NPV16" s="175"/>
      <c r="NPW16" s="175"/>
      <c r="NPX16" s="175"/>
      <c r="NPY16" s="175"/>
      <c r="NPZ16" s="175"/>
      <c r="NQA16" s="175"/>
      <c r="NQB16" s="175"/>
      <c r="NQC16" s="175"/>
      <c r="NQD16" s="175"/>
      <c r="NQE16" s="175"/>
      <c r="NQF16" s="175"/>
      <c r="NQG16" s="175"/>
      <c r="NQH16" s="175"/>
      <c r="NQI16" s="175"/>
      <c r="NQJ16" s="175"/>
      <c r="NQK16" s="175"/>
      <c r="NQL16" s="175"/>
      <c r="NQM16" s="175"/>
      <c r="NQN16" s="175"/>
      <c r="NQO16" s="175"/>
      <c r="NQP16" s="175"/>
      <c r="NQQ16" s="175"/>
      <c r="NQR16" s="175"/>
      <c r="NQS16" s="175"/>
      <c r="NQT16" s="175"/>
      <c r="NQU16" s="175"/>
      <c r="NQV16" s="175"/>
      <c r="NQW16" s="175"/>
      <c r="NQX16" s="175"/>
      <c r="NQY16" s="175"/>
      <c r="NQZ16" s="175"/>
      <c r="NRA16" s="175"/>
      <c r="NRB16" s="175"/>
      <c r="NRC16" s="175"/>
      <c r="NRD16" s="175"/>
      <c r="NRE16" s="175"/>
      <c r="NRF16" s="175"/>
      <c r="NRG16" s="175"/>
      <c r="NRH16" s="175"/>
      <c r="NRI16" s="175"/>
      <c r="NRJ16" s="175"/>
      <c r="NRK16" s="175"/>
      <c r="NRL16" s="175"/>
      <c r="NRM16" s="175"/>
      <c r="NRN16" s="175"/>
      <c r="NRO16" s="175"/>
      <c r="NRP16" s="175"/>
      <c r="NRQ16" s="175"/>
      <c r="NRR16" s="175"/>
      <c r="NRS16" s="175"/>
      <c r="NRT16" s="175"/>
      <c r="NRU16" s="175"/>
      <c r="NRV16" s="175"/>
      <c r="NRW16" s="175"/>
      <c r="NRX16" s="175"/>
      <c r="NRY16" s="175"/>
      <c r="NRZ16" s="175"/>
      <c r="NSA16" s="175"/>
      <c r="NSB16" s="175"/>
      <c r="NSC16" s="175"/>
      <c r="NSD16" s="175"/>
      <c r="NSE16" s="175"/>
      <c r="NSF16" s="175"/>
      <c r="NSG16" s="175"/>
      <c r="NSH16" s="175"/>
      <c r="NSI16" s="175"/>
      <c r="NSJ16" s="175"/>
      <c r="NSK16" s="175"/>
      <c r="NSL16" s="175"/>
      <c r="NSM16" s="175"/>
      <c r="NSN16" s="175"/>
      <c r="NSO16" s="175"/>
      <c r="NSP16" s="175"/>
      <c r="NSQ16" s="175"/>
      <c r="NSR16" s="175"/>
      <c r="NSS16" s="175"/>
      <c r="NST16" s="175"/>
      <c r="NSU16" s="175"/>
      <c r="NSV16" s="175"/>
      <c r="NSW16" s="175"/>
      <c r="NSX16" s="175"/>
      <c r="NSY16" s="175"/>
      <c r="NSZ16" s="175"/>
      <c r="NTA16" s="175"/>
      <c r="NTB16" s="175"/>
      <c r="NTC16" s="175"/>
      <c r="NTD16" s="175"/>
      <c r="NTE16" s="175"/>
      <c r="NTF16" s="175"/>
      <c r="NTG16" s="175"/>
      <c r="NTH16" s="175"/>
      <c r="NTI16" s="175"/>
      <c r="NTJ16" s="175"/>
      <c r="NTK16" s="175"/>
      <c r="NTL16" s="175"/>
      <c r="NTM16" s="175"/>
      <c r="NTN16" s="175"/>
      <c r="NTO16" s="175"/>
      <c r="NTP16" s="175"/>
      <c r="NTQ16" s="175"/>
      <c r="NTR16" s="175"/>
      <c r="NTS16" s="175"/>
      <c r="NTT16" s="175"/>
      <c r="NTU16" s="175"/>
      <c r="NTV16" s="175"/>
      <c r="NTW16" s="175"/>
      <c r="NTX16" s="175"/>
      <c r="NTY16" s="175"/>
      <c r="NTZ16" s="175"/>
      <c r="NUA16" s="175"/>
      <c r="NUB16" s="175"/>
      <c r="NUC16" s="175"/>
      <c r="NUD16" s="175"/>
      <c r="NUE16" s="175"/>
      <c r="NUF16" s="175"/>
      <c r="NUG16" s="175"/>
      <c r="NUH16" s="175"/>
      <c r="NUI16" s="175"/>
      <c r="NUJ16" s="175"/>
      <c r="NUK16" s="175"/>
      <c r="NUL16" s="175"/>
      <c r="NUM16" s="175"/>
      <c r="NUN16" s="175"/>
      <c r="NUO16" s="175"/>
      <c r="NUP16" s="175"/>
      <c r="NUQ16" s="175"/>
      <c r="NUR16" s="175"/>
      <c r="NUS16" s="175"/>
      <c r="NUT16" s="175"/>
      <c r="NUU16" s="175"/>
      <c r="NUV16" s="175"/>
      <c r="NUW16" s="175"/>
      <c r="NUX16" s="175"/>
      <c r="NUY16" s="175"/>
      <c r="NUZ16" s="175"/>
      <c r="NVA16" s="175"/>
      <c r="NVB16" s="175"/>
      <c r="NVC16" s="175"/>
      <c r="NVD16" s="175"/>
      <c r="NVE16" s="175"/>
      <c r="NVF16" s="175"/>
      <c r="NVG16" s="175"/>
      <c r="NVH16" s="175"/>
      <c r="NVI16" s="175"/>
      <c r="NVJ16" s="175"/>
      <c r="NVK16" s="175"/>
      <c r="NVL16" s="175"/>
      <c r="NVM16" s="175"/>
      <c r="NVN16" s="175"/>
      <c r="NVO16" s="175"/>
      <c r="NVP16" s="175"/>
      <c r="NVQ16" s="175"/>
      <c r="NVR16" s="175"/>
      <c r="NVS16" s="175"/>
      <c r="NVT16" s="175"/>
      <c r="NVU16" s="175"/>
      <c r="NVV16" s="175"/>
      <c r="NVW16" s="175"/>
      <c r="NVX16" s="175"/>
      <c r="NVY16" s="175"/>
      <c r="NVZ16" s="175"/>
      <c r="NWA16" s="175"/>
      <c r="NWB16" s="175"/>
      <c r="NWC16" s="175"/>
      <c r="NWD16" s="175"/>
      <c r="NWE16" s="175"/>
      <c r="NWF16" s="175"/>
      <c r="NWG16" s="175"/>
      <c r="NWH16" s="175"/>
      <c r="NWI16" s="175"/>
      <c r="NWJ16" s="175"/>
      <c r="NWK16" s="175"/>
      <c r="NWL16" s="175"/>
      <c r="NWM16" s="175"/>
      <c r="NWN16" s="175"/>
      <c r="NWO16" s="175"/>
      <c r="NWP16" s="175"/>
      <c r="NWQ16" s="175"/>
      <c r="NWR16" s="175"/>
      <c r="NWS16" s="175"/>
      <c r="NWT16" s="175"/>
      <c r="NWU16" s="175"/>
      <c r="NWV16" s="175"/>
      <c r="NWW16" s="175"/>
      <c r="NWX16" s="175"/>
      <c r="NWY16" s="175"/>
      <c r="NWZ16" s="175"/>
      <c r="NXA16" s="175"/>
      <c r="NXB16" s="175"/>
      <c r="NXC16" s="175"/>
      <c r="NXD16" s="175"/>
      <c r="NXE16" s="175"/>
      <c r="NXF16" s="175"/>
      <c r="NXG16" s="175"/>
      <c r="NXH16" s="175"/>
      <c r="NXI16" s="175"/>
      <c r="NXJ16" s="175"/>
      <c r="NXK16" s="175"/>
      <c r="NXL16" s="175"/>
      <c r="NXM16" s="175"/>
      <c r="NXN16" s="175"/>
      <c r="NXO16" s="175"/>
      <c r="NXP16" s="175"/>
      <c r="NXQ16" s="175"/>
      <c r="NXR16" s="175"/>
      <c r="NXS16" s="175"/>
      <c r="NXT16" s="175"/>
      <c r="NXU16" s="175"/>
      <c r="NXV16" s="175"/>
      <c r="NXW16" s="175"/>
      <c r="NXX16" s="175"/>
      <c r="NXY16" s="175"/>
      <c r="NXZ16" s="175"/>
      <c r="NYA16" s="175"/>
      <c r="NYB16" s="175"/>
      <c r="NYC16" s="175"/>
      <c r="NYD16" s="175"/>
      <c r="NYE16" s="175"/>
      <c r="NYF16" s="175"/>
      <c r="NYG16" s="175"/>
      <c r="NYH16" s="175"/>
      <c r="NYI16" s="175"/>
      <c r="NYJ16" s="175"/>
      <c r="NYK16" s="175"/>
      <c r="NYL16" s="175"/>
      <c r="NYM16" s="175"/>
      <c r="NYN16" s="175"/>
      <c r="NYO16" s="175"/>
      <c r="NYP16" s="175"/>
      <c r="NYQ16" s="175"/>
      <c r="NYR16" s="175"/>
      <c r="NYS16" s="175"/>
      <c r="NYT16" s="175"/>
      <c r="NYU16" s="175"/>
      <c r="NYV16" s="175"/>
      <c r="NYW16" s="175"/>
      <c r="NYX16" s="175"/>
      <c r="NYY16" s="175"/>
      <c r="NYZ16" s="175"/>
      <c r="NZA16" s="175"/>
      <c r="NZB16" s="175"/>
      <c r="NZC16" s="175"/>
      <c r="NZD16" s="175"/>
      <c r="NZE16" s="175"/>
      <c r="NZF16" s="175"/>
      <c r="NZG16" s="175"/>
      <c r="NZH16" s="175"/>
      <c r="NZI16" s="175"/>
      <c r="NZJ16" s="175"/>
      <c r="NZK16" s="175"/>
      <c r="NZL16" s="175"/>
      <c r="NZM16" s="175"/>
      <c r="NZN16" s="175"/>
      <c r="NZO16" s="175"/>
      <c r="NZP16" s="175"/>
      <c r="NZQ16" s="175"/>
      <c r="NZR16" s="175"/>
      <c r="NZS16" s="175"/>
      <c r="NZT16" s="175"/>
      <c r="NZU16" s="175"/>
      <c r="NZV16" s="175"/>
      <c r="NZW16" s="175"/>
      <c r="NZX16" s="175"/>
      <c r="NZY16" s="175"/>
      <c r="NZZ16" s="175"/>
      <c r="OAA16" s="175"/>
      <c r="OAB16" s="175"/>
      <c r="OAC16" s="175"/>
      <c r="OAD16" s="175"/>
      <c r="OAE16" s="175"/>
      <c r="OAF16" s="175"/>
      <c r="OAG16" s="175"/>
      <c r="OAH16" s="175"/>
      <c r="OAI16" s="175"/>
      <c r="OAJ16" s="175"/>
      <c r="OAK16" s="175"/>
      <c r="OAL16" s="175"/>
      <c r="OAM16" s="175"/>
      <c r="OAN16" s="175"/>
      <c r="OAO16" s="175"/>
      <c r="OAP16" s="175"/>
      <c r="OAQ16" s="175"/>
      <c r="OAR16" s="175"/>
      <c r="OAS16" s="175"/>
      <c r="OAT16" s="175"/>
      <c r="OAU16" s="175"/>
      <c r="OAV16" s="175"/>
      <c r="OAW16" s="175"/>
      <c r="OAX16" s="175"/>
      <c r="OAY16" s="175"/>
      <c r="OAZ16" s="175"/>
      <c r="OBA16" s="175"/>
      <c r="OBB16" s="175"/>
      <c r="OBC16" s="175"/>
      <c r="OBD16" s="175"/>
      <c r="OBE16" s="175"/>
      <c r="OBF16" s="175"/>
      <c r="OBG16" s="175"/>
      <c r="OBH16" s="175"/>
      <c r="OBI16" s="175"/>
      <c r="OBJ16" s="175"/>
      <c r="OBK16" s="175"/>
      <c r="OBL16" s="175"/>
      <c r="OBM16" s="175"/>
      <c r="OBN16" s="175"/>
      <c r="OBO16" s="175"/>
      <c r="OBP16" s="175"/>
      <c r="OBQ16" s="175"/>
      <c r="OBR16" s="175"/>
      <c r="OBS16" s="175"/>
      <c r="OBT16" s="175"/>
      <c r="OBU16" s="175"/>
      <c r="OBV16" s="175"/>
      <c r="OBW16" s="175"/>
      <c r="OBX16" s="175"/>
      <c r="OBY16" s="175"/>
      <c r="OBZ16" s="175"/>
      <c r="OCA16" s="175"/>
      <c r="OCB16" s="175"/>
      <c r="OCC16" s="175"/>
      <c r="OCD16" s="175"/>
      <c r="OCE16" s="175"/>
      <c r="OCF16" s="175"/>
      <c r="OCG16" s="175"/>
      <c r="OCH16" s="175"/>
      <c r="OCI16" s="175"/>
      <c r="OCJ16" s="175"/>
      <c r="OCK16" s="175"/>
      <c r="OCL16" s="175"/>
      <c r="OCM16" s="175"/>
      <c r="OCN16" s="175"/>
      <c r="OCO16" s="175"/>
      <c r="OCP16" s="175"/>
      <c r="OCQ16" s="175"/>
      <c r="OCR16" s="175"/>
      <c r="OCS16" s="175"/>
      <c r="OCT16" s="175"/>
      <c r="OCU16" s="175"/>
      <c r="OCV16" s="175"/>
      <c r="OCW16" s="175"/>
      <c r="OCX16" s="175"/>
      <c r="OCY16" s="175"/>
      <c r="OCZ16" s="175"/>
      <c r="ODA16" s="175"/>
      <c r="ODB16" s="175"/>
      <c r="ODC16" s="175"/>
      <c r="ODD16" s="175"/>
      <c r="ODE16" s="175"/>
      <c r="ODF16" s="175"/>
      <c r="ODG16" s="175"/>
      <c r="ODH16" s="175"/>
      <c r="ODI16" s="175"/>
      <c r="ODJ16" s="175"/>
      <c r="ODK16" s="175"/>
      <c r="ODL16" s="175"/>
      <c r="ODM16" s="175"/>
      <c r="ODN16" s="175"/>
      <c r="ODO16" s="175"/>
      <c r="ODP16" s="175"/>
      <c r="ODQ16" s="175"/>
      <c r="ODR16" s="175"/>
      <c r="ODS16" s="175"/>
      <c r="ODT16" s="175"/>
      <c r="ODU16" s="175"/>
      <c r="ODV16" s="175"/>
      <c r="ODW16" s="175"/>
      <c r="ODX16" s="175"/>
      <c r="ODY16" s="175"/>
      <c r="ODZ16" s="175"/>
      <c r="OEA16" s="175"/>
      <c r="OEB16" s="175"/>
      <c r="OEC16" s="175"/>
      <c r="OED16" s="175"/>
      <c r="OEE16" s="175"/>
      <c r="OEF16" s="175"/>
      <c r="OEG16" s="175"/>
      <c r="OEH16" s="175"/>
      <c r="OEI16" s="175"/>
      <c r="OEJ16" s="175"/>
      <c r="OEK16" s="175"/>
      <c r="OEL16" s="175"/>
      <c r="OEM16" s="175"/>
      <c r="OEN16" s="175"/>
      <c r="OEO16" s="175"/>
      <c r="OEP16" s="175"/>
      <c r="OEQ16" s="175"/>
      <c r="OER16" s="175"/>
      <c r="OES16" s="175"/>
      <c r="OET16" s="175"/>
      <c r="OEU16" s="175"/>
      <c r="OEV16" s="175"/>
      <c r="OEW16" s="175"/>
      <c r="OEX16" s="175"/>
      <c r="OEY16" s="175"/>
      <c r="OEZ16" s="175"/>
      <c r="OFA16" s="175"/>
      <c r="OFB16" s="175"/>
      <c r="OFC16" s="175"/>
      <c r="OFD16" s="175"/>
      <c r="OFE16" s="175"/>
      <c r="OFF16" s="175"/>
      <c r="OFG16" s="175"/>
      <c r="OFH16" s="175"/>
      <c r="OFI16" s="175"/>
      <c r="OFJ16" s="175"/>
      <c r="OFK16" s="175"/>
      <c r="OFL16" s="175"/>
      <c r="OFM16" s="175"/>
      <c r="OFN16" s="175"/>
      <c r="OFO16" s="175"/>
      <c r="OFP16" s="175"/>
      <c r="OFQ16" s="175"/>
      <c r="OFR16" s="175"/>
      <c r="OFS16" s="175"/>
      <c r="OFT16" s="175"/>
      <c r="OFU16" s="175"/>
      <c r="OFV16" s="175"/>
      <c r="OFW16" s="175"/>
      <c r="OFX16" s="175"/>
      <c r="OFY16" s="175"/>
      <c r="OFZ16" s="175"/>
      <c r="OGA16" s="175"/>
      <c r="OGB16" s="175"/>
      <c r="OGC16" s="175"/>
      <c r="OGD16" s="175"/>
      <c r="OGE16" s="175"/>
      <c r="OGF16" s="175"/>
      <c r="OGG16" s="175"/>
      <c r="OGH16" s="175"/>
      <c r="OGI16" s="175"/>
      <c r="OGJ16" s="175"/>
      <c r="OGK16" s="175"/>
      <c r="OGL16" s="175"/>
      <c r="OGM16" s="175"/>
      <c r="OGN16" s="175"/>
      <c r="OGO16" s="175"/>
      <c r="OGP16" s="175"/>
      <c r="OGQ16" s="175"/>
      <c r="OGR16" s="175"/>
      <c r="OGS16" s="175"/>
      <c r="OGT16" s="175"/>
      <c r="OGU16" s="175"/>
      <c r="OGV16" s="175"/>
      <c r="OGW16" s="175"/>
      <c r="OGX16" s="175"/>
      <c r="OGY16" s="175"/>
      <c r="OGZ16" s="175"/>
      <c r="OHA16" s="175"/>
      <c r="OHB16" s="175"/>
      <c r="OHC16" s="175"/>
      <c r="OHD16" s="175"/>
      <c r="OHE16" s="175"/>
      <c r="OHF16" s="175"/>
      <c r="OHG16" s="175"/>
      <c r="OHH16" s="175"/>
      <c r="OHI16" s="175"/>
      <c r="OHJ16" s="175"/>
      <c r="OHK16" s="175"/>
      <c r="OHL16" s="175"/>
      <c r="OHM16" s="175"/>
      <c r="OHN16" s="175"/>
      <c r="OHO16" s="175"/>
      <c r="OHP16" s="175"/>
      <c r="OHQ16" s="175"/>
      <c r="OHR16" s="175"/>
      <c r="OHS16" s="175"/>
      <c r="OHT16" s="175"/>
      <c r="OHU16" s="175"/>
      <c r="OHV16" s="175"/>
      <c r="OHW16" s="175"/>
      <c r="OHX16" s="175"/>
      <c r="OHY16" s="175"/>
      <c r="OHZ16" s="175"/>
      <c r="OIA16" s="175"/>
      <c r="OIB16" s="175"/>
      <c r="OIC16" s="175"/>
      <c r="OID16" s="175"/>
      <c r="OIE16" s="175"/>
      <c r="OIF16" s="175"/>
      <c r="OIG16" s="175"/>
      <c r="OIH16" s="175"/>
      <c r="OII16" s="175"/>
      <c r="OIJ16" s="175"/>
      <c r="OIK16" s="175"/>
      <c r="OIL16" s="175"/>
      <c r="OIM16" s="175"/>
      <c r="OIN16" s="175"/>
      <c r="OIO16" s="175"/>
      <c r="OIP16" s="175"/>
      <c r="OIQ16" s="175"/>
      <c r="OIR16" s="175"/>
      <c r="OIS16" s="175"/>
      <c r="OIT16" s="175"/>
      <c r="OIU16" s="175"/>
      <c r="OIV16" s="175"/>
      <c r="OIW16" s="175"/>
      <c r="OIX16" s="175"/>
      <c r="OIY16" s="175"/>
      <c r="OIZ16" s="175"/>
      <c r="OJA16" s="175"/>
      <c r="OJB16" s="175"/>
      <c r="OJC16" s="175"/>
      <c r="OJD16" s="175"/>
      <c r="OJE16" s="175"/>
      <c r="OJF16" s="175"/>
      <c r="OJG16" s="175"/>
      <c r="OJH16" s="175"/>
      <c r="OJI16" s="175"/>
      <c r="OJJ16" s="175"/>
      <c r="OJK16" s="175"/>
      <c r="OJL16" s="175"/>
      <c r="OJM16" s="175"/>
      <c r="OJN16" s="175"/>
      <c r="OJO16" s="175"/>
      <c r="OJP16" s="175"/>
      <c r="OJQ16" s="175"/>
      <c r="OJR16" s="175"/>
      <c r="OJS16" s="175"/>
      <c r="OJT16" s="175"/>
      <c r="OJU16" s="175"/>
      <c r="OJV16" s="175"/>
      <c r="OJW16" s="175"/>
      <c r="OJX16" s="175"/>
      <c r="OJY16" s="175"/>
      <c r="OJZ16" s="175"/>
      <c r="OKA16" s="175"/>
      <c r="OKB16" s="175"/>
      <c r="OKC16" s="175"/>
      <c r="OKD16" s="175"/>
      <c r="OKE16" s="175"/>
      <c r="OKF16" s="175"/>
      <c r="OKG16" s="175"/>
      <c r="OKH16" s="175"/>
      <c r="OKI16" s="175"/>
      <c r="OKJ16" s="175"/>
      <c r="OKK16" s="175"/>
      <c r="OKL16" s="175"/>
      <c r="OKM16" s="175"/>
      <c r="OKN16" s="175"/>
      <c r="OKO16" s="175"/>
      <c r="OKP16" s="175"/>
      <c r="OKQ16" s="175"/>
      <c r="OKR16" s="175"/>
      <c r="OKS16" s="175"/>
      <c r="OKT16" s="175"/>
      <c r="OKU16" s="175"/>
      <c r="OKV16" s="175"/>
      <c r="OKW16" s="175"/>
      <c r="OKX16" s="175"/>
      <c r="OKY16" s="175"/>
      <c r="OKZ16" s="175"/>
      <c r="OLA16" s="175"/>
      <c r="OLB16" s="175"/>
      <c r="OLC16" s="175"/>
      <c r="OLD16" s="175"/>
      <c r="OLE16" s="175"/>
      <c r="OLF16" s="175"/>
      <c r="OLG16" s="175"/>
      <c r="OLH16" s="175"/>
      <c r="OLI16" s="175"/>
      <c r="OLJ16" s="175"/>
      <c r="OLK16" s="175"/>
      <c r="OLL16" s="175"/>
      <c r="OLM16" s="175"/>
      <c r="OLN16" s="175"/>
      <c r="OLO16" s="175"/>
      <c r="OLP16" s="175"/>
      <c r="OLQ16" s="175"/>
      <c r="OLR16" s="175"/>
      <c r="OLS16" s="175"/>
      <c r="OLT16" s="175"/>
      <c r="OLU16" s="175"/>
      <c r="OLV16" s="175"/>
      <c r="OLW16" s="175"/>
      <c r="OLX16" s="175"/>
      <c r="OLY16" s="175"/>
      <c r="OLZ16" s="175"/>
      <c r="OMA16" s="175"/>
      <c r="OMB16" s="175"/>
      <c r="OMC16" s="175"/>
      <c r="OMD16" s="175"/>
      <c r="OME16" s="175"/>
      <c r="OMF16" s="175"/>
      <c r="OMG16" s="175"/>
      <c r="OMH16" s="175"/>
      <c r="OMI16" s="175"/>
      <c r="OMJ16" s="175"/>
      <c r="OMK16" s="175"/>
      <c r="OML16" s="175"/>
      <c r="OMM16" s="175"/>
      <c r="OMN16" s="175"/>
      <c r="OMO16" s="175"/>
      <c r="OMP16" s="175"/>
      <c r="OMQ16" s="175"/>
      <c r="OMR16" s="175"/>
      <c r="OMS16" s="175"/>
      <c r="OMT16" s="175"/>
      <c r="OMU16" s="175"/>
      <c r="OMV16" s="175"/>
      <c r="OMW16" s="175"/>
      <c r="OMX16" s="175"/>
      <c r="OMY16" s="175"/>
      <c r="OMZ16" s="175"/>
      <c r="ONA16" s="175"/>
      <c r="ONB16" s="175"/>
      <c r="ONC16" s="175"/>
      <c r="OND16" s="175"/>
      <c r="ONE16" s="175"/>
      <c r="ONF16" s="175"/>
      <c r="ONG16" s="175"/>
      <c r="ONH16" s="175"/>
      <c r="ONI16" s="175"/>
      <c r="ONJ16" s="175"/>
      <c r="ONK16" s="175"/>
      <c r="ONL16" s="175"/>
      <c r="ONM16" s="175"/>
      <c r="ONN16" s="175"/>
      <c r="ONO16" s="175"/>
      <c r="ONP16" s="175"/>
      <c r="ONQ16" s="175"/>
      <c r="ONR16" s="175"/>
      <c r="ONS16" s="175"/>
      <c r="ONT16" s="175"/>
      <c r="ONU16" s="175"/>
      <c r="ONV16" s="175"/>
      <c r="ONW16" s="175"/>
      <c r="ONX16" s="175"/>
      <c r="ONY16" s="175"/>
      <c r="ONZ16" s="175"/>
      <c r="OOA16" s="175"/>
      <c r="OOB16" s="175"/>
      <c r="OOC16" s="175"/>
      <c r="OOD16" s="175"/>
      <c r="OOE16" s="175"/>
      <c r="OOF16" s="175"/>
      <c r="OOG16" s="175"/>
      <c r="OOH16" s="175"/>
      <c r="OOI16" s="175"/>
      <c r="OOJ16" s="175"/>
      <c r="OOK16" s="175"/>
      <c r="OOL16" s="175"/>
      <c r="OOM16" s="175"/>
      <c r="OON16" s="175"/>
      <c r="OOO16" s="175"/>
      <c r="OOP16" s="175"/>
      <c r="OOQ16" s="175"/>
      <c r="OOR16" s="175"/>
      <c r="OOS16" s="175"/>
      <c r="OOT16" s="175"/>
      <c r="OOU16" s="175"/>
      <c r="OOV16" s="175"/>
      <c r="OOW16" s="175"/>
      <c r="OOX16" s="175"/>
      <c r="OOY16" s="175"/>
      <c r="OOZ16" s="175"/>
      <c r="OPA16" s="175"/>
      <c r="OPB16" s="175"/>
      <c r="OPC16" s="175"/>
      <c r="OPD16" s="175"/>
      <c r="OPE16" s="175"/>
      <c r="OPF16" s="175"/>
      <c r="OPG16" s="175"/>
      <c r="OPH16" s="175"/>
      <c r="OPI16" s="175"/>
      <c r="OPJ16" s="175"/>
      <c r="OPK16" s="175"/>
      <c r="OPL16" s="175"/>
      <c r="OPM16" s="175"/>
      <c r="OPN16" s="175"/>
      <c r="OPO16" s="175"/>
      <c r="OPP16" s="175"/>
      <c r="OPQ16" s="175"/>
      <c r="OPR16" s="175"/>
      <c r="OPS16" s="175"/>
      <c r="OPT16" s="175"/>
      <c r="OPU16" s="175"/>
      <c r="OPV16" s="175"/>
      <c r="OPW16" s="175"/>
      <c r="OPX16" s="175"/>
      <c r="OPY16" s="175"/>
      <c r="OPZ16" s="175"/>
      <c r="OQA16" s="175"/>
      <c r="OQB16" s="175"/>
      <c r="OQC16" s="175"/>
      <c r="OQD16" s="175"/>
      <c r="OQE16" s="175"/>
      <c r="OQF16" s="175"/>
      <c r="OQG16" s="175"/>
      <c r="OQH16" s="175"/>
      <c r="OQI16" s="175"/>
      <c r="OQJ16" s="175"/>
      <c r="OQK16" s="175"/>
      <c r="OQL16" s="175"/>
      <c r="OQM16" s="175"/>
      <c r="OQN16" s="175"/>
      <c r="OQO16" s="175"/>
      <c r="OQP16" s="175"/>
      <c r="OQQ16" s="175"/>
      <c r="OQR16" s="175"/>
      <c r="OQS16" s="175"/>
      <c r="OQT16" s="175"/>
      <c r="OQU16" s="175"/>
      <c r="OQV16" s="175"/>
      <c r="OQW16" s="175"/>
      <c r="OQX16" s="175"/>
      <c r="OQY16" s="175"/>
      <c r="OQZ16" s="175"/>
      <c r="ORA16" s="175"/>
      <c r="ORB16" s="175"/>
      <c r="ORC16" s="175"/>
      <c r="ORD16" s="175"/>
      <c r="ORE16" s="175"/>
      <c r="ORF16" s="175"/>
      <c r="ORG16" s="175"/>
      <c r="ORH16" s="175"/>
      <c r="ORI16" s="175"/>
      <c r="ORJ16" s="175"/>
      <c r="ORK16" s="175"/>
      <c r="ORL16" s="175"/>
      <c r="ORM16" s="175"/>
      <c r="ORN16" s="175"/>
      <c r="ORO16" s="175"/>
      <c r="ORP16" s="175"/>
      <c r="ORQ16" s="175"/>
      <c r="ORR16" s="175"/>
      <c r="ORS16" s="175"/>
      <c r="ORT16" s="175"/>
      <c r="ORU16" s="175"/>
      <c r="ORV16" s="175"/>
      <c r="ORW16" s="175"/>
      <c r="ORX16" s="175"/>
      <c r="ORY16" s="175"/>
      <c r="ORZ16" s="175"/>
      <c r="OSA16" s="175"/>
      <c r="OSB16" s="175"/>
      <c r="OSC16" s="175"/>
      <c r="OSD16" s="175"/>
      <c r="OSE16" s="175"/>
      <c r="OSF16" s="175"/>
      <c r="OSG16" s="175"/>
      <c r="OSH16" s="175"/>
      <c r="OSI16" s="175"/>
      <c r="OSJ16" s="175"/>
      <c r="OSK16" s="175"/>
      <c r="OSL16" s="175"/>
      <c r="OSM16" s="175"/>
      <c r="OSN16" s="175"/>
      <c r="OSO16" s="175"/>
      <c r="OSP16" s="175"/>
      <c r="OSQ16" s="175"/>
      <c r="OSR16" s="175"/>
      <c r="OSS16" s="175"/>
      <c r="OST16" s="175"/>
      <c r="OSU16" s="175"/>
      <c r="OSV16" s="175"/>
      <c r="OSW16" s="175"/>
      <c r="OSX16" s="175"/>
      <c r="OSY16" s="175"/>
      <c r="OSZ16" s="175"/>
      <c r="OTA16" s="175"/>
      <c r="OTB16" s="175"/>
      <c r="OTC16" s="175"/>
      <c r="OTD16" s="175"/>
      <c r="OTE16" s="175"/>
      <c r="OTF16" s="175"/>
      <c r="OTG16" s="175"/>
      <c r="OTH16" s="175"/>
      <c r="OTI16" s="175"/>
      <c r="OTJ16" s="175"/>
      <c r="OTK16" s="175"/>
      <c r="OTL16" s="175"/>
      <c r="OTM16" s="175"/>
      <c r="OTN16" s="175"/>
      <c r="OTO16" s="175"/>
      <c r="OTP16" s="175"/>
      <c r="OTQ16" s="175"/>
      <c r="OTR16" s="175"/>
      <c r="OTS16" s="175"/>
      <c r="OTT16" s="175"/>
      <c r="OTU16" s="175"/>
      <c r="OTV16" s="175"/>
      <c r="OTW16" s="175"/>
      <c r="OTX16" s="175"/>
      <c r="OTY16" s="175"/>
      <c r="OTZ16" s="175"/>
      <c r="OUA16" s="175"/>
      <c r="OUB16" s="175"/>
      <c r="OUC16" s="175"/>
      <c r="OUD16" s="175"/>
      <c r="OUE16" s="175"/>
      <c r="OUF16" s="175"/>
      <c r="OUG16" s="175"/>
      <c r="OUH16" s="175"/>
      <c r="OUI16" s="175"/>
      <c r="OUJ16" s="175"/>
      <c r="OUK16" s="175"/>
      <c r="OUL16" s="175"/>
      <c r="OUM16" s="175"/>
      <c r="OUN16" s="175"/>
      <c r="OUO16" s="175"/>
      <c r="OUP16" s="175"/>
      <c r="OUQ16" s="175"/>
      <c r="OUR16" s="175"/>
      <c r="OUS16" s="175"/>
      <c r="OUT16" s="175"/>
      <c r="OUU16" s="175"/>
      <c r="OUV16" s="175"/>
      <c r="OUW16" s="175"/>
      <c r="OUX16" s="175"/>
      <c r="OUY16" s="175"/>
      <c r="OUZ16" s="175"/>
      <c r="OVA16" s="175"/>
      <c r="OVB16" s="175"/>
      <c r="OVC16" s="175"/>
      <c r="OVD16" s="175"/>
      <c r="OVE16" s="175"/>
      <c r="OVF16" s="175"/>
      <c r="OVG16" s="175"/>
      <c r="OVH16" s="175"/>
      <c r="OVI16" s="175"/>
      <c r="OVJ16" s="175"/>
      <c r="OVK16" s="175"/>
      <c r="OVL16" s="175"/>
      <c r="OVM16" s="175"/>
      <c r="OVN16" s="175"/>
      <c r="OVO16" s="175"/>
      <c r="OVP16" s="175"/>
      <c r="OVQ16" s="175"/>
      <c r="OVR16" s="175"/>
      <c r="OVS16" s="175"/>
      <c r="OVT16" s="175"/>
      <c r="OVU16" s="175"/>
      <c r="OVV16" s="175"/>
      <c r="OVW16" s="175"/>
      <c r="OVX16" s="175"/>
      <c r="OVY16" s="175"/>
      <c r="OVZ16" s="175"/>
      <c r="OWA16" s="175"/>
      <c r="OWB16" s="175"/>
      <c r="OWC16" s="175"/>
      <c r="OWD16" s="175"/>
      <c r="OWE16" s="175"/>
      <c r="OWF16" s="175"/>
      <c r="OWG16" s="175"/>
      <c r="OWH16" s="175"/>
      <c r="OWI16" s="175"/>
      <c r="OWJ16" s="175"/>
      <c r="OWK16" s="175"/>
      <c r="OWL16" s="175"/>
      <c r="OWM16" s="175"/>
      <c r="OWN16" s="175"/>
      <c r="OWO16" s="175"/>
      <c r="OWP16" s="175"/>
      <c r="OWQ16" s="175"/>
      <c r="OWR16" s="175"/>
      <c r="OWS16" s="175"/>
      <c r="OWT16" s="175"/>
      <c r="OWU16" s="175"/>
      <c r="OWV16" s="175"/>
      <c r="OWW16" s="175"/>
      <c r="OWX16" s="175"/>
      <c r="OWY16" s="175"/>
      <c r="OWZ16" s="175"/>
      <c r="OXA16" s="175"/>
      <c r="OXB16" s="175"/>
      <c r="OXC16" s="175"/>
      <c r="OXD16" s="175"/>
      <c r="OXE16" s="175"/>
      <c r="OXF16" s="175"/>
      <c r="OXG16" s="175"/>
      <c r="OXH16" s="175"/>
      <c r="OXI16" s="175"/>
      <c r="OXJ16" s="175"/>
      <c r="OXK16" s="175"/>
      <c r="OXL16" s="175"/>
      <c r="OXM16" s="175"/>
      <c r="OXN16" s="175"/>
      <c r="OXO16" s="175"/>
      <c r="OXP16" s="175"/>
      <c r="OXQ16" s="175"/>
      <c r="OXR16" s="175"/>
      <c r="OXS16" s="175"/>
      <c r="OXT16" s="175"/>
      <c r="OXU16" s="175"/>
      <c r="OXV16" s="175"/>
      <c r="OXW16" s="175"/>
      <c r="OXX16" s="175"/>
      <c r="OXY16" s="175"/>
      <c r="OXZ16" s="175"/>
      <c r="OYA16" s="175"/>
      <c r="OYB16" s="175"/>
      <c r="OYC16" s="175"/>
      <c r="OYD16" s="175"/>
      <c r="OYE16" s="175"/>
      <c r="OYF16" s="175"/>
      <c r="OYG16" s="175"/>
      <c r="OYH16" s="175"/>
      <c r="OYI16" s="175"/>
      <c r="OYJ16" s="175"/>
      <c r="OYK16" s="175"/>
      <c r="OYL16" s="175"/>
      <c r="OYM16" s="175"/>
      <c r="OYN16" s="175"/>
      <c r="OYO16" s="175"/>
      <c r="OYP16" s="175"/>
      <c r="OYQ16" s="175"/>
      <c r="OYR16" s="175"/>
      <c r="OYS16" s="175"/>
      <c r="OYT16" s="175"/>
      <c r="OYU16" s="175"/>
      <c r="OYV16" s="175"/>
      <c r="OYW16" s="175"/>
      <c r="OYX16" s="175"/>
      <c r="OYY16" s="175"/>
      <c r="OYZ16" s="175"/>
      <c r="OZA16" s="175"/>
      <c r="OZB16" s="175"/>
      <c r="OZC16" s="175"/>
      <c r="OZD16" s="175"/>
      <c r="OZE16" s="175"/>
      <c r="OZF16" s="175"/>
      <c r="OZG16" s="175"/>
      <c r="OZH16" s="175"/>
      <c r="OZI16" s="175"/>
      <c r="OZJ16" s="175"/>
      <c r="OZK16" s="175"/>
      <c r="OZL16" s="175"/>
      <c r="OZM16" s="175"/>
      <c r="OZN16" s="175"/>
      <c r="OZO16" s="175"/>
      <c r="OZP16" s="175"/>
      <c r="OZQ16" s="175"/>
      <c r="OZR16" s="175"/>
      <c r="OZS16" s="175"/>
      <c r="OZT16" s="175"/>
      <c r="OZU16" s="175"/>
      <c r="OZV16" s="175"/>
      <c r="OZW16" s="175"/>
      <c r="OZX16" s="175"/>
      <c r="OZY16" s="175"/>
      <c r="OZZ16" s="175"/>
      <c r="PAA16" s="175"/>
      <c r="PAB16" s="175"/>
      <c r="PAC16" s="175"/>
      <c r="PAD16" s="175"/>
      <c r="PAE16" s="175"/>
      <c r="PAF16" s="175"/>
      <c r="PAG16" s="175"/>
      <c r="PAH16" s="175"/>
      <c r="PAI16" s="175"/>
      <c r="PAJ16" s="175"/>
      <c r="PAK16" s="175"/>
      <c r="PAL16" s="175"/>
      <c r="PAM16" s="175"/>
      <c r="PAN16" s="175"/>
      <c r="PAO16" s="175"/>
      <c r="PAP16" s="175"/>
      <c r="PAQ16" s="175"/>
      <c r="PAR16" s="175"/>
      <c r="PAS16" s="175"/>
      <c r="PAT16" s="175"/>
      <c r="PAU16" s="175"/>
      <c r="PAV16" s="175"/>
      <c r="PAW16" s="175"/>
      <c r="PAX16" s="175"/>
      <c r="PAY16" s="175"/>
      <c r="PAZ16" s="175"/>
      <c r="PBA16" s="175"/>
      <c r="PBB16" s="175"/>
      <c r="PBC16" s="175"/>
      <c r="PBD16" s="175"/>
      <c r="PBE16" s="175"/>
      <c r="PBF16" s="175"/>
      <c r="PBG16" s="175"/>
      <c r="PBH16" s="175"/>
      <c r="PBI16" s="175"/>
      <c r="PBJ16" s="175"/>
      <c r="PBK16" s="175"/>
      <c r="PBL16" s="175"/>
      <c r="PBM16" s="175"/>
      <c r="PBN16" s="175"/>
      <c r="PBO16" s="175"/>
      <c r="PBP16" s="175"/>
      <c r="PBQ16" s="175"/>
      <c r="PBR16" s="175"/>
      <c r="PBS16" s="175"/>
      <c r="PBT16" s="175"/>
      <c r="PBU16" s="175"/>
      <c r="PBV16" s="175"/>
      <c r="PBW16" s="175"/>
      <c r="PBX16" s="175"/>
      <c r="PBY16" s="175"/>
      <c r="PBZ16" s="175"/>
      <c r="PCA16" s="175"/>
      <c r="PCB16" s="175"/>
      <c r="PCC16" s="175"/>
      <c r="PCD16" s="175"/>
      <c r="PCE16" s="175"/>
      <c r="PCF16" s="175"/>
      <c r="PCG16" s="175"/>
      <c r="PCH16" s="175"/>
      <c r="PCI16" s="175"/>
      <c r="PCJ16" s="175"/>
      <c r="PCK16" s="175"/>
      <c r="PCL16" s="175"/>
      <c r="PCM16" s="175"/>
      <c r="PCN16" s="175"/>
      <c r="PCO16" s="175"/>
      <c r="PCP16" s="175"/>
      <c r="PCQ16" s="175"/>
      <c r="PCR16" s="175"/>
      <c r="PCS16" s="175"/>
      <c r="PCT16" s="175"/>
      <c r="PCU16" s="175"/>
      <c r="PCV16" s="175"/>
      <c r="PCW16" s="175"/>
      <c r="PCX16" s="175"/>
      <c r="PCY16" s="175"/>
      <c r="PCZ16" s="175"/>
      <c r="PDA16" s="175"/>
      <c r="PDB16" s="175"/>
      <c r="PDC16" s="175"/>
      <c r="PDD16" s="175"/>
      <c r="PDE16" s="175"/>
      <c r="PDF16" s="175"/>
      <c r="PDG16" s="175"/>
      <c r="PDH16" s="175"/>
      <c r="PDI16" s="175"/>
      <c r="PDJ16" s="175"/>
      <c r="PDK16" s="175"/>
      <c r="PDL16" s="175"/>
      <c r="PDM16" s="175"/>
      <c r="PDN16" s="175"/>
      <c r="PDO16" s="175"/>
      <c r="PDP16" s="175"/>
      <c r="PDQ16" s="175"/>
      <c r="PDR16" s="175"/>
      <c r="PDS16" s="175"/>
      <c r="PDT16" s="175"/>
      <c r="PDU16" s="175"/>
      <c r="PDV16" s="175"/>
      <c r="PDW16" s="175"/>
      <c r="PDX16" s="175"/>
      <c r="PDY16" s="175"/>
      <c r="PDZ16" s="175"/>
      <c r="PEA16" s="175"/>
      <c r="PEB16" s="175"/>
      <c r="PEC16" s="175"/>
      <c r="PED16" s="175"/>
      <c r="PEE16" s="175"/>
      <c r="PEF16" s="175"/>
      <c r="PEG16" s="175"/>
      <c r="PEH16" s="175"/>
      <c r="PEI16" s="175"/>
      <c r="PEJ16" s="175"/>
      <c r="PEK16" s="175"/>
      <c r="PEL16" s="175"/>
      <c r="PEM16" s="175"/>
      <c r="PEN16" s="175"/>
      <c r="PEO16" s="175"/>
      <c r="PEP16" s="175"/>
      <c r="PEQ16" s="175"/>
      <c r="PER16" s="175"/>
      <c r="PES16" s="175"/>
      <c r="PET16" s="175"/>
      <c r="PEU16" s="175"/>
      <c r="PEV16" s="175"/>
      <c r="PEW16" s="175"/>
      <c r="PEX16" s="175"/>
      <c r="PEY16" s="175"/>
      <c r="PEZ16" s="175"/>
      <c r="PFA16" s="175"/>
      <c r="PFB16" s="175"/>
      <c r="PFC16" s="175"/>
      <c r="PFD16" s="175"/>
      <c r="PFE16" s="175"/>
      <c r="PFF16" s="175"/>
      <c r="PFG16" s="175"/>
      <c r="PFH16" s="175"/>
      <c r="PFI16" s="175"/>
      <c r="PFJ16" s="175"/>
      <c r="PFK16" s="175"/>
      <c r="PFL16" s="175"/>
      <c r="PFM16" s="175"/>
      <c r="PFN16" s="175"/>
      <c r="PFO16" s="175"/>
      <c r="PFP16" s="175"/>
      <c r="PFQ16" s="175"/>
      <c r="PFR16" s="175"/>
      <c r="PFS16" s="175"/>
      <c r="PFT16" s="175"/>
      <c r="PFU16" s="175"/>
      <c r="PFV16" s="175"/>
      <c r="PFW16" s="175"/>
      <c r="PFX16" s="175"/>
      <c r="PFY16" s="175"/>
      <c r="PFZ16" s="175"/>
      <c r="PGA16" s="175"/>
      <c r="PGB16" s="175"/>
      <c r="PGC16" s="175"/>
      <c r="PGD16" s="175"/>
      <c r="PGE16" s="175"/>
      <c r="PGF16" s="175"/>
      <c r="PGG16" s="175"/>
      <c r="PGH16" s="175"/>
      <c r="PGI16" s="175"/>
      <c r="PGJ16" s="175"/>
      <c r="PGK16" s="175"/>
      <c r="PGL16" s="175"/>
      <c r="PGM16" s="175"/>
      <c r="PGN16" s="175"/>
      <c r="PGO16" s="175"/>
      <c r="PGP16" s="175"/>
      <c r="PGQ16" s="175"/>
      <c r="PGR16" s="175"/>
      <c r="PGS16" s="175"/>
      <c r="PGT16" s="175"/>
      <c r="PGU16" s="175"/>
      <c r="PGV16" s="175"/>
      <c r="PGW16" s="175"/>
      <c r="PGX16" s="175"/>
      <c r="PGY16" s="175"/>
      <c r="PGZ16" s="175"/>
      <c r="PHA16" s="175"/>
      <c r="PHB16" s="175"/>
      <c r="PHC16" s="175"/>
      <c r="PHD16" s="175"/>
      <c r="PHE16" s="175"/>
      <c r="PHF16" s="175"/>
      <c r="PHG16" s="175"/>
      <c r="PHH16" s="175"/>
      <c r="PHI16" s="175"/>
      <c r="PHJ16" s="175"/>
      <c r="PHK16" s="175"/>
      <c r="PHL16" s="175"/>
      <c r="PHM16" s="175"/>
      <c r="PHN16" s="175"/>
      <c r="PHO16" s="175"/>
      <c r="PHP16" s="175"/>
      <c r="PHQ16" s="175"/>
      <c r="PHR16" s="175"/>
      <c r="PHS16" s="175"/>
      <c r="PHT16" s="175"/>
      <c r="PHU16" s="175"/>
      <c r="PHV16" s="175"/>
      <c r="PHW16" s="175"/>
      <c r="PHX16" s="175"/>
      <c r="PHY16" s="175"/>
      <c r="PHZ16" s="175"/>
      <c r="PIA16" s="175"/>
      <c r="PIB16" s="175"/>
      <c r="PIC16" s="175"/>
      <c r="PID16" s="175"/>
      <c r="PIE16" s="175"/>
      <c r="PIF16" s="175"/>
      <c r="PIG16" s="175"/>
      <c r="PIH16" s="175"/>
      <c r="PII16" s="175"/>
      <c r="PIJ16" s="175"/>
      <c r="PIK16" s="175"/>
      <c r="PIL16" s="175"/>
      <c r="PIM16" s="175"/>
      <c r="PIN16" s="175"/>
      <c r="PIO16" s="175"/>
      <c r="PIP16" s="175"/>
      <c r="PIQ16" s="175"/>
      <c r="PIR16" s="175"/>
      <c r="PIS16" s="175"/>
      <c r="PIT16" s="175"/>
      <c r="PIU16" s="175"/>
      <c r="PIV16" s="175"/>
      <c r="PIW16" s="175"/>
      <c r="PIX16" s="175"/>
      <c r="PIY16" s="175"/>
      <c r="PIZ16" s="175"/>
      <c r="PJA16" s="175"/>
      <c r="PJB16" s="175"/>
      <c r="PJC16" s="175"/>
      <c r="PJD16" s="175"/>
      <c r="PJE16" s="175"/>
      <c r="PJF16" s="175"/>
      <c r="PJG16" s="175"/>
      <c r="PJH16" s="175"/>
      <c r="PJI16" s="175"/>
      <c r="PJJ16" s="175"/>
      <c r="PJK16" s="175"/>
      <c r="PJL16" s="175"/>
      <c r="PJM16" s="175"/>
      <c r="PJN16" s="175"/>
      <c r="PJO16" s="175"/>
      <c r="PJP16" s="175"/>
      <c r="PJQ16" s="175"/>
      <c r="PJR16" s="175"/>
      <c r="PJS16" s="175"/>
      <c r="PJT16" s="175"/>
      <c r="PJU16" s="175"/>
      <c r="PJV16" s="175"/>
      <c r="PJW16" s="175"/>
      <c r="PJX16" s="175"/>
      <c r="PJY16" s="175"/>
      <c r="PJZ16" s="175"/>
      <c r="PKA16" s="175"/>
      <c r="PKB16" s="175"/>
      <c r="PKC16" s="175"/>
      <c r="PKD16" s="175"/>
      <c r="PKE16" s="175"/>
      <c r="PKF16" s="175"/>
      <c r="PKG16" s="175"/>
      <c r="PKH16" s="175"/>
      <c r="PKI16" s="175"/>
      <c r="PKJ16" s="175"/>
      <c r="PKK16" s="175"/>
      <c r="PKL16" s="175"/>
      <c r="PKM16" s="175"/>
      <c r="PKN16" s="175"/>
      <c r="PKO16" s="175"/>
      <c r="PKP16" s="175"/>
      <c r="PKQ16" s="175"/>
      <c r="PKR16" s="175"/>
      <c r="PKS16" s="175"/>
      <c r="PKT16" s="175"/>
      <c r="PKU16" s="175"/>
      <c r="PKV16" s="175"/>
      <c r="PKW16" s="175"/>
      <c r="PKX16" s="175"/>
      <c r="PKY16" s="175"/>
      <c r="PKZ16" s="175"/>
      <c r="PLA16" s="175"/>
      <c r="PLB16" s="175"/>
      <c r="PLC16" s="175"/>
      <c r="PLD16" s="175"/>
      <c r="PLE16" s="175"/>
      <c r="PLF16" s="175"/>
      <c r="PLG16" s="175"/>
      <c r="PLH16" s="175"/>
      <c r="PLI16" s="175"/>
      <c r="PLJ16" s="175"/>
      <c r="PLK16" s="175"/>
      <c r="PLL16" s="175"/>
      <c r="PLM16" s="175"/>
      <c r="PLN16" s="175"/>
      <c r="PLO16" s="175"/>
      <c r="PLP16" s="175"/>
      <c r="PLQ16" s="175"/>
      <c r="PLR16" s="175"/>
      <c r="PLS16" s="175"/>
      <c r="PLT16" s="175"/>
      <c r="PLU16" s="175"/>
      <c r="PLV16" s="175"/>
      <c r="PLW16" s="175"/>
      <c r="PLX16" s="175"/>
      <c r="PLY16" s="175"/>
      <c r="PLZ16" s="175"/>
      <c r="PMA16" s="175"/>
      <c r="PMB16" s="175"/>
      <c r="PMC16" s="175"/>
      <c r="PMD16" s="175"/>
      <c r="PME16" s="175"/>
      <c r="PMF16" s="175"/>
      <c r="PMG16" s="175"/>
      <c r="PMH16" s="175"/>
      <c r="PMI16" s="175"/>
      <c r="PMJ16" s="175"/>
      <c r="PMK16" s="175"/>
      <c r="PML16" s="175"/>
      <c r="PMM16" s="175"/>
      <c r="PMN16" s="175"/>
      <c r="PMO16" s="175"/>
      <c r="PMP16" s="175"/>
      <c r="PMQ16" s="175"/>
      <c r="PMR16" s="175"/>
      <c r="PMS16" s="175"/>
      <c r="PMT16" s="175"/>
      <c r="PMU16" s="175"/>
      <c r="PMV16" s="175"/>
      <c r="PMW16" s="175"/>
      <c r="PMX16" s="175"/>
      <c r="PMY16" s="175"/>
      <c r="PMZ16" s="175"/>
      <c r="PNA16" s="175"/>
      <c r="PNB16" s="175"/>
      <c r="PNC16" s="175"/>
      <c r="PND16" s="175"/>
      <c r="PNE16" s="175"/>
      <c r="PNF16" s="175"/>
      <c r="PNG16" s="175"/>
      <c r="PNH16" s="175"/>
      <c r="PNI16" s="175"/>
      <c r="PNJ16" s="175"/>
      <c r="PNK16" s="175"/>
      <c r="PNL16" s="175"/>
      <c r="PNM16" s="175"/>
      <c r="PNN16" s="175"/>
      <c r="PNO16" s="175"/>
      <c r="PNP16" s="175"/>
      <c r="PNQ16" s="175"/>
      <c r="PNR16" s="175"/>
      <c r="PNS16" s="175"/>
      <c r="PNT16" s="175"/>
      <c r="PNU16" s="175"/>
      <c r="PNV16" s="175"/>
      <c r="PNW16" s="175"/>
      <c r="PNX16" s="175"/>
      <c r="PNY16" s="175"/>
      <c r="PNZ16" s="175"/>
      <c r="POA16" s="175"/>
      <c r="POB16" s="175"/>
      <c r="POC16" s="175"/>
      <c r="POD16" s="175"/>
      <c r="POE16" s="175"/>
      <c r="POF16" s="175"/>
      <c r="POG16" s="175"/>
      <c r="POH16" s="175"/>
      <c r="POI16" s="175"/>
      <c r="POJ16" s="175"/>
      <c r="POK16" s="175"/>
      <c r="POL16" s="175"/>
      <c r="POM16" s="175"/>
      <c r="PON16" s="175"/>
      <c r="POO16" s="175"/>
      <c r="POP16" s="175"/>
      <c r="POQ16" s="175"/>
      <c r="POR16" s="175"/>
      <c r="POS16" s="175"/>
      <c r="POT16" s="175"/>
      <c r="POU16" s="175"/>
      <c r="POV16" s="175"/>
      <c r="POW16" s="175"/>
      <c r="POX16" s="175"/>
      <c r="POY16" s="175"/>
      <c r="POZ16" s="175"/>
      <c r="PPA16" s="175"/>
      <c r="PPB16" s="175"/>
      <c r="PPC16" s="175"/>
      <c r="PPD16" s="175"/>
      <c r="PPE16" s="175"/>
      <c r="PPF16" s="175"/>
      <c r="PPG16" s="175"/>
      <c r="PPH16" s="175"/>
      <c r="PPI16" s="175"/>
      <c r="PPJ16" s="175"/>
      <c r="PPK16" s="175"/>
      <c r="PPL16" s="175"/>
      <c r="PPM16" s="175"/>
      <c r="PPN16" s="175"/>
      <c r="PPO16" s="175"/>
      <c r="PPP16" s="175"/>
      <c r="PPQ16" s="175"/>
      <c r="PPR16" s="175"/>
      <c r="PPS16" s="175"/>
      <c r="PPT16" s="175"/>
      <c r="PPU16" s="175"/>
      <c r="PPV16" s="175"/>
      <c r="PPW16" s="175"/>
      <c r="PPX16" s="175"/>
      <c r="PPY16" s="175"/>
      <c r="PPZ16" s="175"/>
      <c r="PQA16" s="175"/>
      <c r="PQB16" s="175"/>
      <c r="PQC16" s="175"/>
      <c r="PQD16" s="175"/>
      <c r="PQE16" s="175"/>
      <c r="PQF16" s="175"/>
      <c r="PQG16" s="175"/>
      <c r="PQH16" s="175"/>
      <c r="PQI16" s="175"/>
      <c r="PQJ16" s="175"/>
      <c r="PQK16" s="175"/>
      <c r="PQL16" s="175"/>
      <c r="PQM16" s="175"/>
      <c r="PQN16" s="175"/>
      <c r="PQO16" s="175"/>
      <c r="PQP16" s="175"/>
      <c r="PQQ16" s="175"/>
      <c r="PQR16" s="175"/>
      <c r="PQS16" s="175"/>
      <c r="PQT16" s="175"/>
      <c r="PQU16" s="175"/>
      <c r="PQV16" s="175"/>
      <c r="PQW16" s="175"/>
      <c r="PQX16" s="175"/>
      <c r="PQY16" s="175"/>
      <c r="PQZ16" s="175"/>
      <c r="PRA16" s="175"/>
      <c r="PRB16" s="175"/>
      <c r="PRC16" s="175"/>
      <c r="PRD16" s="175"/>
      <c r="PRE16" s="175"/>
      <c r="PRF16" s="175"/>
      <c r="PRG16" s="175"/>
      <c r="PRH16" s="175"/>
      <c r="PRI16" s="175"/>
      <c r="PRJ16" s="175"/>
      <c r="PRK16" s="175"/>
      <c r="PRL16" s="175"/>
      <c r="PRM16" s="175"/>
      <c r="PRN16" s="175"/>
      <c r="PRO16" s="175"/>
      <c r="PRP16" s="175"/>
      <c r="PRQ16" s="175"/>
      <c r="PRR16" s="175"/>
      <c r="PRS16" s="175"/>
      <c r="PRT16" s="175"/>
      <c r="PRU16" s="175"/>
      <c r="PRV16" s="175"/>
      <c r="PRW16" s="175"/>
      <c r="PRX16" s="175"/>
      <c r="PRY16" s="175"/>
      <c r="PRZ16" s="175"/>
      <c r="PSA16" s="175"/>
      <c r="PSB16" s="175"/>
      <c r="PSC16" s="175"/>
      <c r="PSD16" s="175"/>
      <c r="PSE16" s="175"/>
      <c r="PSF16" s="175"/>
      <c r="PSG16" s="175"/>
      <c r="PSH16" s="175"/>
      <c r="PSI16" s="175"/>
      <c r="PSJ16" s="175"/>
      <c r="PSK16" s="175"/>
      <c r="PSL16" s="175"/>
      <c r="PSM16" s="175"/>
      <c r="PSN16" s="175"/>
      <c r="PSO16" s="175"/>
      <c r="PSP16" s="175"/>
      <c r="PSQ16" s="175"/>
      <c r="PSR16" s="175"/>
      <c r="PSS16" s="175"/>
      <c r="PST16" s="175"/>
      <c r="PSU16" s="175"/>
      <c r="PSV16" s="175"/>
      <c r="PSW16" s="175"/>
      <c r="PSX16" s="175"/>
      <c r="PSY16" s="175"/>
      <c r="PSZ16" s="175"/>
      <c r="PTA16" s="175"/>
      <c r="PTB16" s="175"/>
      <c r="PTC16" s="175"/>
      <c r="PTD16" s="175"/>
      <c r="PTE16" s="175"/>
      <c r="PTF16" s="175"/>
      <c r="PTG16" s="175"/>
      <c r="PTH16" s="175"/>
      <c r="PTI16" s="175"/>
      <c r="PTJ16" s="175"/>
      <c r="PTK16" s="175"/>
      <c r="PTL16" s="175"/>
      <c r="PTM16" s="175"/>
      <c r="PTN16" s="175"/>
      <c r="PTO16" s="175"/>
      <c r="PTP16" s="175"/>
      <c r="PTQ16" s="175"/>
      <c r="PTR16" s="175"/>
      <c r="PTS16" s="175"/>
      <c r="PTT16" s="175"/>
      <c r="PTU16" s="175"/>
      <c r="PTV16" s="175"/>
      <c r="PTW16" s="175"/>
      <c r="PTX16" s="175"/>
      <c r="PTY16" s="175"/>
      <c r="PTZ16" s="175"/>
      <c r="PUA16" s="175"/>
      <c r="PUB16" s="175"/>
      <c r="PUC16" s="175"/>
      <c r="PUD16" s="175"/>
      <c r="PUE16" s="175"/>
      <c r="PUF16" s="175"/>
      <c r="PUG16" s="175"/>
      <c r="PUH16" s="175"/>
      <c r="PUI16" s="175"/>
      <c r="PUJ16" s="175"/>
      <c r="PUK16" s="175"/>
      <c r="PUL16" s="175"/>
      <c r="PUM16" s="175"/>
      <c r="PUN16" s="175"/>
      <c r="PUO16" s="175"/>
      <c r="PUP16" s="175"/>
      <c r="PUQ16" s="175"/>
      <c r="PUR16" s="175"/>
      <c r="PUS16" s="175"/>
      <c r="PUT16" s="175"/>
      <c r="PUU16" s="175"/>
      <c r="PUV16" s="175"/>
      <c r="PUW16" s="175"/>
      <c r="PUX16" s="175"/>
      <c r="PUY16" s="175"/>
      <c r="PUZ16" s="175"/>
      <c r="PVA16" s="175"/>
      <c r="PVB16" s="175"/>
      <c r="PVC16" s="175"/>
      <c r="PVD16" s="175"/>
      <c r="PVE16" s="175"/>
      <c r="PVF16" s="175"/>
      <c r="PVG16" s="175"/>
      <c r="PVH16" s="175"/>
      <c r="PVI16" s="175"/>
      <c r="PVJ16" s="175"/>
      <c r="PVK16" s="175"/>
      <c r="PVL16" s="175"/>
      <c r="PVM16" s="175"/>
      <c r="PVN16" s="175"/>
      <c r="PVO16" s="175"/>
      <c r="PVP16" s="175"/>
      <c r="PVQ16" s="175"/>
      <c r="PVR16" s="175"/>
      <c r="PVS16" s="175"/>
      <c r="PVT16" s="175"/>
      <c r="PVU16" s="175"/>
      <c r="PVV16" s="175"/>
      <c r="PVW16" s="175"/>
      <c r="PVX16" s="175"/>
      <c r="PVY16" s="175"/>
      <c r="PVZ16" s="175"/>
      <c r="PWA16" s="175"/>
      <c r="PWB16" s="175"/>
      <c r="PWC16" s="175"/>
      <c r="PWD16" s="175"/>
      <c r="PWE16" s="175"/>
      <c r="PWF16" s="175"/>
      <c r="PWG16" s="175"/>
      <c r="PWH16" s="175"/>
      <c r="PWI16" s="175"/>
      <c r="PWJ16" s="175"/>
      <c r="PWK16" s="175"/>
      <c r="PWL16" s="175"/>
      <c r="PWM16" s="175"/>
      <c r="PWN16" s="175"/>
      <c r="PWO16" s="175"/>
      <c r="PWP16" s="175"/>
      <c r="PWQ16" s="175"/>
      <c r="PWR16" s="175"/>
      <c r="PWS16" s="175"/>
      <c r="PWT16" s="175"/>
      <c r="PWU16" s="175"/>
      <c r="PWV16" s="175"/>
      <c r="PWW16" s="175"/>
      <c r="PWX16" s="175"/>
      <c r="PWY16" s="175"/>
      <c r="PWZ16" s="175"/>
      <c r="PXA16" s="175"/>
      <c r="PXB16" s="175"/>
      <c r="PXC16" s="175"/>
      <c r="PXD16" s="175"/>
      <c r="PXE16" s="175"/>
      <c r="PXF16" s="175"/>
      <c r="PXG16" s="175"/>
      <c r="PXH16" s="175"/>
      <c r="PXI16" s="175"/>
      <c r="PXJ16" s="175"/>
      <c r="PXK16" s="175"/>
      <c r="PXL16" s="175"/>
      <c r="PXM16" s="175"/>
      <c r="PXN16" s="175"/>
      <c r="PXO16" s="175"/>
      <c r="PXP16" s="175"/>
      <c r="PXQ16" s="175"/>
      <c r="PXR16" s="175"/>
      <c r="PXS16" s="175"/>
      <c r="PXT16" s="175"/>
      <c r="PXU16" s="175"/>
      <c r="PXV16" s="175"/>
      <c r="PXW16" s="175"/>
      <c r="PXX16" s="175"/>
      <c r="PXY16" s="175"/>
      <c r="PXZ16" s="175"/>
      <c r="PYA16" s="175"/>
      <c r="PYB16" s="175"/>
      <c r="PYC16" s="175"/>
      <c r="PYD16" s="175"/>
      <c r="PYE16" s="175"/>
      <c r="PYF16" s="175"/>
      <c r="PYG16" s="175"/>
      <c r="PYH16" s="175"/>
      <c r="PYI16" s="175"/>
      <c r="PYJ16" s="175"/>
      <c r="PYK16" s="175"/>
      <c r="PYL16" s="175"/>
      <c r="PYM16" s="175"/>
      <c r="PYN16" s="175"/>
      <c r="PYO16" s="175"/>
      <c r="PYP16" s="175"/>
      <c r="PYQ16" s="175"/>
      <c r="PYR16" s="175"/>
      <c r="PYS16" s="175"/>
      <c r="PYT16" s="175"/>
      <c r="PYU16" s="175"/>
      <c r="PYV16" s="175"/>
      <c r="PYW16" s="175"/>
      <c r="PYX16" s="175"/>
      <c r="PYY16" s="175"/>
      <c r="PYZ16" s="175"/>
      <c r="PZA16" s="175"/>
      <c r="PZB16" s="175"/>
      <c r="PZC16" s="175"/>
      <c r="PZD16" s="175"/>
      <c r="PZE16" s="175"/>
      <c r="PZF16" s="175"/>
      <c r="PZG16" s="175"/>
      <c r="PZH16" s="175"/>
      <c r="PZI16" s="175"/>
      <c r="PZJ16" s="175"/>
      <c r="PZK16" s="175"/>
      <c r="PZL16" s="175"/>
      <c r="PZM16" s="175"/>
      <c r="PZN16" s="175"/>
      <c r="PZO16" s="175"/>
      <c r="PZP16" s="175"/>
      <c r="PZQ16" s="175"/>
      <c r="PZR16" s="175"/>
      <c r="PZS16" s="175"/>
      <c r="PZT16" s="175"/>
      <c r="PZU16" s="175"/>
      <c r="PZV16" s="175"/>
      <c r="PZW16" s="175"/>
      <c r="PZX16" s="175"/>
      <c r="PZY16" s="175"/>
      <c r="PZZ16" s="175"/>
      <c r="QAA16" s="175"/>
      <c r="QAB16" s="175"/>
      <c r="QAC16" s="175"/>
      <c r="QAD16" s="175"/>
      <c r="QAE16" s="175"/>
      <c r="QAF16" s="175"/>
      <c r="QAG16" s="175"/>
      <c r="QAH16" s="175"/>
      <c r="QAI16" s="175"/>
      <c r="QAJ16" s="175"/>
      <c r="QAK16" s="175"/>
      <c r="QAL16" s="175"/>
      <c r="QAM16" s="175"/>
      <c r="QAN16" s="175"/>
      <c r="QAO16" s="175"/>
      <c r="QAP16" s="175"/>
      <c r="QAQ16" s="175"/>
      <c r="QAR16" s="175"/>
      <c r="QAS16" s="175"/>
      <c r="QAT16" s="175"/>
      <c r="QAU16" s="175"/>
      <c r="QAV16" s="175"/>
      <c r="QAW16" s="175"/>
      <c r="QAX16" s="175"/>
      <c r="QAY16" s="175"/>
      <c r="QAZ16" s="175"/>
      <c r="QBA16" s="175"/>
      <c r="QBB16" s="175"/>
      <c r="QBC16" s="175"/>
      <c r="QBD16" s="175"/>
      <c r="QBE16" s="175"/>
      <c r="QBF16" s="175"/>
      <c r="QBG16" s="175"/>
      <c r="QBH16" s="175"/>
      <c r="QBI16" s="175"/>
      <c r="QBJ16" s="175"/>
      <c r="QBK16" s="175"/>
      <c r="QBL16" s="175"/>
      <c r="QBM16" s="175"/>
      <c r="QBN16" s="175"/>
      <c r="QBO16" s="175"/>
      <c r="QBP16" s="175"/>
      <c r="QBQ16" s="175"/>
      <c r="QBR16" s="175"/>
      <c r="QBS16" s="175"/>
      <c r="QBT16" s="175"/>
      <c r="QBU16" s="175"/>
      <c r="QBV16" s="175"/>
      <c r="QBW16" s="175"/>
      <c r="QBX16" s="175"/>
      <c r="QBY16" s="175"/>
      <c r="QBZ16" s="175"/>
      <c r="QCA16" s="175"/>
      <c r="QCB16" s="175"/>
      <c r="QCC16" s="175"/>
      <c r="QCD16" s="175"/>
      <c r="QCE16" s="175"/>
      <c r="QCF16" s="175"/>
      <c r="QCG16" s="175"/>
      <c r="QCH16" s="175"/>
      <c r="QCI16" s="175"/>
      <c r="QCJ16" s="175"/>
      <c r="QCK16" s="175"/>
      <c r="QCL16" s="175"/>
      <c r="QCM16" s="175"/>
      <c r="QCN16" s="175"/>
      <c r="QCO16" s="175"/>
      <c r="QCP16" s="175"/>
      <c r="QCQ16" s="175"/>
      <c r="QCR16" s="175"/>
      <c r="QCS16" s="175"/>
      <c r="QCT16" s="175"/>
      <c r="QCU16" s="175"/>
      <c r="QCV16" s="175"/>
      <c r="QCW16" s="175"/>
      <c r="QCX16" s="175"/>
      <c r="QCY16" s="175"/>
      <c r="QCZ16" s="175"/>
      <c r="QDA16" s="175"/>
      <c r="QDB16" s="175"/>
      <c r="QDC16" s="175"/>
      <c r="QDD16" s="175"/>
      <c r="QDE16" s="175"/>
      <c r="QDF16" s="175"/>
      <c r="QDG16" s="175"/>
      <c r="QDH16" s="175"/>
      <c r="QDI16" s="175"/>
      <c r="QDJ16" s="175"/>
      <c r="QDK16" s="175"/>
      <c r="QDL16" s="175"/>
      <c r="QDM16" s="175"/>
      <c r="QDN16" s="175"/>
      <c r="QDO16" s="175"/>
      <c r="QDP16" s="175"/>
      <c r="QDQ16" s="175"/>
      <c r="QDR16" s="175"/>
      <c r="QDS16" s="175"/>
      <c r="QDT16" s="175"/>
      <c r="QDU16" s="175"/>
      <c r="QDV16" s="175"/>
      <c r="QDW16" s="175"/>
      <c r="QDX16" s="175"/>
      <c r="QDY16" s="175"/>
      <c r="QDZ16" s="175"/>
      <c r="QEA16" s="175"/>
      <c r="QEB16" s="175"/>
      <c r="QEC16" s="175"/>
      <c r="QED16" s="175"/>
      <c r="QEE16" s="175"/>
      <c r="QEF16" s="175"/>
      <c r="QEG16" s="175"/>
      <c r="QEH16" s="175"/>
      <c r="QEI16" s="175"/>
      <c r="QEJ16" s="175"/>
      <c r="QEK16" s="175"/>
      <c r="QEL16" s="175"/>
      <c r="QEM16" s="175"/>
      <c r="QEN16" s="175"/>
      <c r="QEO16" s="175"/>
      <c r="QEP16" s="175"/>
      <c r="QEQ16" s="175"/>
      <c r="QER16" s="175"/>
      <c r="QES16" s="175"/>
      <c r="QET16" s="175"/>
      <c r="QEU16" s="175"/>
      <c r="QEV16" s="175"/>
      <c r="QEW16" s="175"/>
      <c r="QEX16" s="175"/>
      <c r="QEY16" s="175"/>
      <c r="QEZ16" s="175"/>
      <c r="QFA16" s="175"/>
      <c r="QFB16" s="175"/>
      <c r="QFC16" s="175"/>
      <c r="QFD16" s="175"/>
      <c r="QFE16" s="175"/>
      <c r="QFF16" s="175"/>
      <c r="QFG16" s="175"/>
      <c r="QFH16" s="175"/>
      <c r="QFI16" s="175"/>
      <c r="QFJ16" s="175"/>
      <c r="QFK16" s="175"/>
      <c r="QFL16" s="175"/>
      <c r="QFM16" s="175"/>
      <c r="QFN16" s="175"/>
      <c r="QFO16" s="175"/>
      <c r="QFP16" s="175"/>
      <c r="QFQ16" s="175"/>
      <c r="QFR16" s="175"/>
      <c r="QFS16" s="175"/>
      <c r="QFT16" s="175"/>
      <c r="QFU16" s="175"/>
      <c r="QFV16" s="175"/>
      <c r="QFW16" s="175"/>
      <c r="QFX16" s="175"/>
      <c r="QFY16" s="175"/>
      <c r="QFZ16" s="175"/>
      <c r="QGA16" s="175"/>
      <c r="QGB16" s="175"/>
      <c r="QGC16" s="175"/>
      <c r="QGD16" s="175"/>
      <c r="QGE16" s="175"/>
      <c r="QGF16" s="175"/>
      <c r="QGG16" s="175"/>
      <c r="QGH16" s="175"/>
      <c r="QGI16" s="175"/>
      <c r="QGJ16" s="175"/>
      <c r="QGK16" s="175"/>
      <c r="QGL16" s="175"/>
      <c r="QGM16" s="175"/>
      <c r="QGN16" s="175"/>
      <c r="QGO16" s="175"/>
      <c r="QGP16" s="175"/>
      <c r="QGQ16" s="175"/>
      <c r="QGR16" s="175"/>
      <c r="QGS16" s="175"/>
      <c r="QGT16" s="175"/>
      <c r="QGU16" s="175"/>
      <c r="QGV16" s="175"/>
      <c r="QGW16" s="175"/>
      <c r="QGX16" s="175"/>
      <c r="QGY16" s="175"/>
      <c r="QGZ16" s="175"/>
      <c r="QHA16" s="175"/>
      <c r="QHB16" s="175"/>
      <c r="QHC16" s="175"/>
      <c r="QHD16" s="175"/>
      <c r="QHE16" s="175"/>
      <c r="QHF16" s="175"/>
      <c r="QHG16" s="175"/>
      <c r="QHH16" s="175"/>
      <c r="QHI16" s="175"/>
      <c r="QHJ16" s="175"/>
      <c r="QHK16" s="175"/>
      <c r="QHL16" s="175"/>
      <c r="QHM16" s="175"/>
      <c r="QHN16" s="175"/>
      <c r="QHO16" s="175"/>
      <c r="QHP16" s="175"/>
      <c r="QHQ16" s="175"/>
      <c r="QHR16" s="175"/>
      <c r="QHS16" s="175"/>
      <c r="QHT16" s="175"/>
      <c r="QHU16" s="175"/>
      <c r="QHV16" s="175"/>
      <c r="QHW16" s="175"/>
      <c r="QHX16" s="175"/>
      <c r="QHY16" s="175"/>
      <c r="QHZ16" s="175"/>
      <c r="QIA16" s="175"/>
      <c r="QIB16" s="175"/>
      <c r="QIC16" s="175"/>
      <c r="QID16" s="175"/>
      <c r="QIE16" s="175"/>
      <c r="QIF16" s="175"/>
      <c r="QIG16" s="175"/>
      <c r="QIH16" s="175"/>
      <c r="QII16" s="175"/>
      <c r="QIJ16" s="175"/>
      <c r="QIK16" s="175"/>
      <c r="QIL16" s="175"/>
      <c r="QIM16" s="175"/>
      <c r="QIN16" s="175"/>
      <c r="QIO16" s="175"/>
      <c r="QIP16" s="175"/>
      <c r="QIQ16" s="175"/>
      <c r="QIR16" s="175"/>
      <c r="QIS16" s="175"/>
      <c r="QIT16" s="175"/>
      <c r="QIU16" s="175"/>
      <c r="QIV16" s="175"/>
      <c r="QIW16" s="175"/>
      <c r="QIX16" s="175"/>
      <c r="QIY16" s="175"/>
      <c r="QIZ16" s="175"/>
      <c r="QJA16" s="175"/>
      <c r="QJB16" s="175"/>
      <c r="QJC16" s="175"/>
      <c r="QJD16" s="175"/>
      <c r="QJE16" s="175"/>
      <c r="QJF16" s="175"/>
      <c r="QJG16" s="175"/>
      <c r="QJH16" s="175"/>
      <c r="QJI16" s="175"/>
      <c r="QJJ16" s="175"/>
      <c r="QJK16" s="175"/>
      <c r="QJL16" s="175"/>
      <c r="QJM16" s="175"/>
      <c r="QJN16" s="175"/>
      <c r="QJO16" s="175"/>
      <c r="QJP16" s="175"/>
      <c r="QJQ16" s="175"/>
      <c r="QJR16" s="175"/>
      <c r="QJS16" s="175"/>
      <c r="QJT16" s="175"/>
      <c r="QJU16" s="175"/>
      <c r="QJV16" s="175"/>
      <c r="QJW16" s="175"/>
      <c r="QJX16" s="175"/>
      <c r="QJY16" s="175"/>
      <c r="QJZ16" s="175"/>
      <c r="QKA16" s="175"/>
      <c r="QKB16" s="175"/>
      <c r="QKC16" s="175"/>
      <c r="QKD16" s="175"/>
      <c r="QKE16" s="175"/>
      <c r="QKF16" s="175"/>
      <c r="QKG16" s="175"/>
      <c r="QKH16" s="175"/>
      <c r="QKI16" s="175"/>
      <c r="QKJ16" s="175"/>
      <c r="QKK16" s="175"/>
      <c r="QKL16" s="175"/>
      <c r="QKM16" s="175"/>
      <c r="QKN16" s="175"/>
      <c r="QKO16" s="175"/>
      <c r="QKP16" s="175"/>
      <c r="QKQ16" s="175"/>
      <c r="QKR16" s="175"/>
      <c r="QKS16" s="175"/>
      <c r="QKT16" s="175"/>
      <c r="QKU16" s="175"/>
      <c r="QKV16" s="175"/>
      <c r="QKW16" s="175"/>
      <c r="QKX16" s="175"/>
      <c r="QKY16" s="175"/>
      <c r="QKZ16" s="175"/>
      <c r="QLA16" s="175"/>
      <c r="QLB16" s="175"/>
      <c r="QLC16" s="175"/>
      <c r="QLD16" s="175"/>
      <c r="QLE16" s="175"/>
      <c r="QLF16" s="175"/>
      <c r="QLG16" s="175"/>
      <c r="QLH16" s="175"/>
      <c r="QLI16" s="175"/>
      <c r="QLJ16" s="175"/>
      <c r="QLK16" s="175"/>
      <c r="QLL16" s="175"/>
      <c r="QLM16" s="175"/>
      <c r="QLN16" s="175"/>
      <c r="QLO16" s="175"/>
      <c r="QLP16" s="175"/>
      <c r="QLQ16" s="175"/>
      <c r="QLR16" s="175"/>
      <c r="QLS16" s="175"/>
      <c r="QLT16" s="175"/>
      <c r="QLU16" s="175"/>
      <c r="QLV16" s="175"/>
      <c r="QLW16" s="175"/>
      <c r="QLX16" s="175"/>
      <c r="QLY16" s="175"/>
      <c r="QLZ16" s="175"/>
      <c r="QMA16" s="175"/>
      <c r="QMB16" s="175"/>
      <c r="QMC16" s="175"/>
      <c r="QMD16" s="175"/>
      <c r="QME16" s="175"/>
      <c r="QMF16" s="175"/>
      <c r="QMG16" s="175"/>
      <c r="QMH16" s="175"/>
      <c r="QMI16" s="175"/>
      <c r="QMJ16" s="175"/>
      <c r="QMK16" s="175"/>
      <c r="QML16" s="175"/>
      <c r="QMM16" s="175"/>
      <c r="QMN16" s="175"/>
      <c r="QMO16" s="175"/>
      <c r="QMP16" s="175"/>
      <c r="QMQ16" s="175"/>
      <c r="QMR16" s="175"/>
      <c r="QMS16" s="175"/>
      <c r="QMT16" s="175"/>
      <c r="QMU16" s="175"/>
      <c r="QMV16" s="175"/>
      <c r="QMW16" s="175"/>
      <c r="QMX16" s="175"/>
      <c r="QMY16" s="175"/>
      <c r="QMZ16" s="175"/>
      <c r="QNA16" s="175"/>
      <c r="QNB16" s="175"/>
      <c r="QNC16" s="175"/>
      <c r="QND16" s="175"/>
      <c r="QNE16" s="175"/>
      <c r="QNF16" s="175"/>
      <c r="QNG16" s="175"/>
      <c r="QNH16" s="175"/>
      <c r="QNI16" s="175"/>
      <c r="QNJ16" s="175"/>
      <c r="QNK16" s="175"/>
      <c r="QNL16" s="175"/>
      <c r="QNM16" s="175"/>
      <c r="QNN16" s="175"/>
      <c r="QNO16" s="175"/>
      <c r="QNP16" s="175"/>
      <c r="QNQ16" s="175"/>
      <c r="QNR16" s="175"/>
      <c r="QNS16" s="175"/>
      <c r="QNT16" s="175"/>
      <c r="QNU16" s="175"/>
      <c r="QNV16" s="175"/>
      <c r="QNW16" s="175"/>
      <c r="QNX16" s="175"/>
      <c r="QNY16" s="175"/>
      <c r="QNZ16" s="175"/>
      <c r="QOA16" s="175"/>
      <c r="QOB16" s="175"/>
      <c r="QOC16" s="175"/>
      <c r="QOD16" s="175"/>
      <c r="QOE16" s="175"/>
      <c r="QOF16" s="175"/>
      <c r="QOG16" s="175"/>
      <c r="QOH16" s="175"/>
      <c r="QOI16" s="175"/>
      <c r="QOJ16" s="175"/>
      <c r="QOK16" s="175"/>
      <c r="QOL16" s="175"/>
      <c r="QOM16" s="175"/>
      <c r="QON16" s="175"/>
      <c r="QOO16" s="175"/>
      <c r="QOP16" s="175"/>
      <c r="QOQ16" s="175"/>
      <c r="QOR16" s="175"/>
      <c r="QOS16" s="175"/>
      <c r="QOT16" s="175"/>
      <c r="QOU16" s="175"/>
      <c r="QOV16" s="175"/>
      <c r="QOW16" s="175"/>
      <c r="QOX16" s="175"/>
      <c r="QOY16" s="175"/>
      <c r="QOZ16" s="175"/>
      <c r="QPA16" s="175"/>
      <c r="QPB16" s="175"/>
      <c r="QPC16" s="175"/>
      <c r="QPD16" s="175"/>
      <c r="QPE16" s="175"/>
      <c r="QPF16" s="175"/>
      <c r="QPG16" s="175"/>
      <c r="QPH16" s="175"/>
      <c r="QPI16" s="175"/>
      <c r="QPJ16" s="175"/>
      <c r="QPK16" s="175"/>
      <c r="QPL16" s="175"/>
      <c r="QPM16" s="175"/>
      <c r="QPN16" s="175"/>
      <c r="QPO16" s="175"/>
      <c r="QPP16" s="175"/>
      <c r="QPQ16" s="175"/>
      <c r="QPR16" s="175"/>
      <c r="QPS16" s="175"/>
      <c r="QPT16" s="175"/>
      <c r="QPU16" s="175"/>
      <c r="QPV16" s="175"/>
      <c r="QPW16" s="175"/>
      <c r="QPX16" s="175"/>
      <c r="QPY16" s="175"/>
      <c r="QPZ16" s="175"/>
      <c r="QQA16" s="175"/>
      <c r="QQB16" s="175"/>
      <c r="QQC16" s="175"/>
      <c r="QQD16" s="175"/>
      <c r="QQE16" s="175"/>
      <c r="QQF16" s="175"/>
      <c r="QQG16" s="175"/>
      <c r="QQH16" s="175"/>
      <c r="QQI16" s="175"/>
      <c r="QQJ16" s="175"/>
      <c r="QQK16" s="175"/>
      <c r="QQL16" s="175"/>
      <c r="QQM16" s="175"/>
      <c r="QQN16" s="175"/>
      <c r="QQO16" s="175"/>
      <c r="QQP16" s="175"/>
      <c r="QQQ16" s="175"/>
      <c r="QQR16" s="175"/>
      <c r="QQS16" s="175"/>
      <c r="QQT16" s="175"/>
      <c r="QQU16" s="175"/>
      <c r="QQV16" s="175"/>
      <c r="QQW16" s="175"/>
      <c r="QQX16" s="175"/>
      <c r="QQY16" s="175"/>
      <c r="QQZ16" s="175"/>
      <c r="QRA16" s="175"/>
      <c r="QRB16" s="175"/>
      <c r="QRC16" s="175"/>
      <c r="QRD16" s="175"/>
      <c r="QRE16" s="175"/>
      <c r="QRF16" s="175"/>
      <c r="QRG16" s="175"/>
      <c r="QRH16" s="175"/>
      <c r="QRI16" s="175"/>
      <c r="QRJ16" s="175"/>
      <c r="QRK16" s="175"/>
      <c r="QRL16" s="175"/>
      <c r="QRM16" s="175"/>
      <c r="QRN16" s="175"/>
      <c r="QRO16" s="175"/>
      <c r="QRP16" s="175"/>
      <c r="QRQ16" s="175"/>
      <c r="QRR16" s="175"/>
      <c r="QRS16" s="175"/>
      <c r="QRT16" s="175"/>
      <c r="QRU16" s="175"/>
      <c r="QRV16" s="175"/>
      <c r="QRW16" s="175"/>
      <c r="QRX16" s="175"/>
      <c r="QRY16" s="175"/>
      <c r="QRZ16" s="175"/>
      <c r="QSA16" s="175"/>
      <c r="QSB16" s="175"/>
      <c r="QSC16" s="175"/>
      <c r="QSD16" s="175"/>
      <c r="QSE16" s="175"/>
      <c r="QSF16" s="175"/>
      <c r="QSG16" s="175"/>
      <c r="QSH16" s="175"/>
      <c r="QSI16" s="175"/>
      <c r="QSJ16" s="175"/>
      <c r="QSK16" s="175"/>
      <c r="QSL16" s="175"/>
      <c r="QSM16" s="175"/>
      <c r="QSN16" s="175"/>
      <c r="QSO16" s="175"/>
      <c r="QSP16" s="175"/>
      <c r="QSQ16" s="175"/>
      <c r="QSR16" s="175"/>
      <c r="QSS16" s="175"/>
      <c r="QST16" s="175"/>
      <c r="QSU16" s="175"/>
      <c r="QSV16" s="175"/>
      <c r="QSW16" s="175"/>
      <c r="QSX16" s="175"/>
      <c r="QSY16" s="175"/>
      <c r="QSZ16" s="175"/>
      <c r="QTA16" s="175"/>
      <c r="QTB16" s="175"/>
      <c r="QTC16" s="175"/>
      <c r="QTD16" s="175"/>
      <c r="QTE16" s="175"/>
      <c r="QTF16" s="175"/>
      <c r="QTG16" s="175"/>
      <c r="QTH16" s="175"/>
      <c r="QTI16" s="175"/>
      <c r="QTJ16" s="175"/>
      <c r="QTK16" s="175"/>
      <c r="QTL16" s="175"/>
      <c r="QTM16" s="175"/>
      <c r="QTN16" s="175"/>
      <c r="QTO16" s="175"/>
      <c r="QTP16" s="175"/>
      <c r="QTQ16" s="175"/>
      <c r="QTR16" s="175"/>
      <c r="QTS16" s="175"/>
      <c r="QTT16" s="175"/>
      <c r="QTU16" s="175"/>
      <c r="QTV16" s="175"/>
      <c r="QTW16" s="175"/>
      <c r="QTX16" s="175"/>
      <c r="QTY16" s="175"/>
      <c r="QTZ16" s="175"/>
      <c r="QUA16" s="175"/>
      <c r="QUB16" s="175"/>
      <c r="QUC16" s="175"/>
      <c r="QUD16" s="175"/>
      <c r="QUE16" s="175"/>
      <c r="QUF16" s="175"/>
      <c r="QUG16" s="175"/>
      <c r="QUH16" s="175"/>
      <c r="QUI16" s="175"/>
      <c r="QUJ16" s="175"/>
      <c r="QUK16" s="175"/>
      <c r="QUL16" s="175"/>
      <c r="QUM16" s="175"/>
      <c r="QUN16" s="175"/>
      <c r="QUO16" s="175"/>
      <c r="QUP16" s="175"/>
      <c r="QUQ16" s="175"/>
      <c r="QUR16" s="175"/>
      <c r="QUS16" s="175"/>
      <c r="QUT16" s="175"/>
      <c r="QUU16" s="175"/>
      <c r="QUV16" s="175"/>
      <c r="QUW16" s="175"/>
      <c r="QUX16" s="175"/>
      <c r="QUY16" s="175"/>
      <c r="QUZ16" s="175"/>
      <c r="QVA16" s="175"/>
      <c r="QVB16" s="175"/>
      <c r="QVC16" s="175"/>
      <c r="QVD16" s="175"/>
      <c r="QVE16" s="175"/>
      <c r="QVF16" s="175"/>
      <c r="QVG16" s="175"/>
      <c r="QVH16" s="175"/>
      <c r="QVI16" s="175"/>
      <c r="QVJ16" s="175"/>
      <c r="QVK16" s="175"/>
      <c r="QVL16" s="175"/>
      <c r="QVM16" s="175"/>
      <c r="QVN16" s="175"/>
      <c r="QVO16" s="175"/>
      <c r="QVP16" s="175"/>
      <c r="QVQ16" s="175"/>
      <c r="QVR16" s="175"/>
      <c r="QVS16" s="175"/>
      <c r="QVT16" s="175"/>
      <c r="QVU16" s="175"/>
      <c r="QVV16" s="175"/>
      <c r="QVW16" s="175"/>
      <c r="QVX16" s="175"/>
      <c r="QVY16" s="175"/>
      <c r="QVZ16" s="175"/>
      <c r="QWA16" s="175"/>
      <c r="QWB16" s="175"/>
      <c r="QWC16" s="175"/>
      <c r="QWD16" s="175"/>
      <c r="QWE16" s="175"/>
      <c r="QWF16" s="175"/>
      <c r="QWG16" s="175"/>
      <c r="QWH16" s="175"/>
      <c r="QWI16" s="175"/>
      <c r="QWJ16" s="175"/>
      <c r="QWK16" s="175"/>
      <c r="QWL16" s="175"/>
      <c r="QWM16" s="175"/>
      <c r="QWN16" s="175"/>
      <c r="QWO16" s="175"/>
      <c r="QWP16" s="175"/>
      <c r="QWQ16" s="175"/>
      <c r="QWR16" s="175"/>
      <c r="QWS16" s="175"/>
      <c r="QWT16" s="175"/>
      <c r="QWU16" s="175"/>
      <c r="QWV16" s="175"/>
      <c r="QWW16" s="175"/>
      <c r="QWX16" s="175"/>
      <c r="QWY16" s="175"/>
      <c r="QWZ16" s="175"/>
      <c r="QXA16" s="175"/>
      <c r="QXB16" s="175"/>
      <c r="QXC16" s="175"/>
      <c r="QXD16" s="175"/>
      <c r="QXE16" s="175"/>
      <c r="QXF16" s="175"/>
      <c r="QXG16" s="175"/>
      <c r="QXH16" s="175"/>
      <c r="QXI16" s="175"/>
      <c r="QXJ16" s="175"/>
      <c r="QXK16" s="175"/>
      <c r="QXL16" s="175"/>
      <c r="QXM16" s="175"/>
      <c r="QXN16" s="175"/>
      <c r="QXO16" s="175"/>
      <c r="QXP16" s="175"/>
      <c r="QXQ16" s="175"/>
      <c r="QXR16" s="175"/>
      <c r="QXS16" s="175"/>
      <c r="QXT16" s="175"/>
      <c r="QXU16" s="175"/>
      <c r="QXV16" s="175"/>
      <c r="QXW16" s="175"/>
      <c r="QXX16" s="175"/>
      <c r="QXY16" s="175"/>
      <c r="QXZ16" s="175"/>
      <c r="QYA16" s="175"/>
      <c r="QYB16" s="175"/>
      <c r="QYC16" s="175"/>
      <c r="QYD16" s="175"/>
      <c r="QYE16" s="175"/>
      <c r="QYF16" s="175"/>
      <c r="QYG16" s="175"/>
      <c r="QYH16" s="175"/>
      <c r="QYI16" s="175"/>
      <c r="QYJ16" s="175"/>
      <c r="QYK16" s="175"/>
      <c r="QYL16" s="175"/>
      <c r="QYM16" s="175"/>
      <c r="QYN16" s="175"/>
      <c r="QYO16" s="175"/>
      <c r="QYP16" s="175"/>
      <c r="QYQ16" s="175"/>
      <c r="QYR16" s="175"/>
      <c r="QYS16" s="175"/>
      <c r="QYT16" s="175"/>
      <c r="QYU16" s="175"/>
      <c r="QYV16" s="175"/>
      <c r="QYW16" s="175"/>
      <c r="QYX16" s="175"/>
      <c r="QYY16" s="175"/>
      <c r="QYZ16" s="175"/>
      <c r="QZA16" s="175"/>
      <c r="QZB16" s="175"/>
      <c r="QZC16" s="175"/>
      <c r="QZD16" s="175"/>
      <c r="QZE16" s="175"/>
      <c r="QZF16" s="175"/>
      <c r="QZG16" s="175"/>
      <c r="QZH16" s="175"/>
      <c r="QZI16" s="175"/>
      <c r="QZJ16" s="175"/>
      <c r="QZK16" s="175"/>
      <c r="QZL16" s="175"/>
      <c r="QZM16" s="175"/>
      <c r="QZN16" s="175"/>
      <c r="QZO16" s="175"/>
      <c r="QZP16" s="175"/>
      <c r="QZQ16" s="175"/>
      <c r="QZR16" s="175"/>
      <c r="QZS16" s="175"/>
      <c r="QZT16" s="175"/>
      <c r="QZU16" s="175"/>
      <c r="QZV16" s="175"/>
      <c r="QZW16" s="175"/>
      <c r="QZX16" s="175"/>
      <c r="QZY16" s="175"/>
      <c r="QZZ16" s="175"/>
      <c r="RAA16" s="175"/>
      <c r="RAB16" s="175"/>
      <c r="RAC16" s="175"/>
      <c r="RAD16" s="175"/>
      <c r="RAE16" s="175"/>
      <c r="RAF16" s="175"/>
      <c r="RAG16" s="175"/>
      <c r="RAH16" s="175"/>
      <c r="RAI16" s="175"/>
      <c r="RAJ16" s="175"/>
      <c r="RAK16" s="175"/>
      <c r="RAL16" s="175"/>
      <c r="RAM16" s="175"/>
      <c r="RAN16" s="175"/>
      <c r="RAO16" s="175"/>
      <c r="RAP16" s="175"/>
      <c r="RAQ16" s="175"/>
      <c r="RAR16" s="175"/>
      <c r="RAS16" s="175"/>
      <c r="RAT16" s="175"/>
      <c r="RAU16" s="175"/>
      <c r="RAV16" s="175"/>
      <c r="RAW16" s="175"/>
      <c r="RAX16" s="175"/>
      <c r="RAY16" s="175"/>
      <c r="RAZ16" s="175"/>
      <c r="RBA16" s="175"/>
      <c r="RBB16" s="175"/>
      <c r="RBC16" s="175"/>
      <c r="RBD16" s="175"/>
      <c r="RBE16" s="175"/>
      <c r="RBF16" s="175"/>
      <c r="RBG16" s="175"/>
      <c r="RBH16" s="175"/>
      <c r="RBI16" s="175"/>
      <c r="RBJ16" s="175"/>
      <c r="RBK16" s="175"/>
      <c r="RBL16" s="175"/>
      <c r="RBM16" s="175"/>
      <c r="RBN16" s="175"/>
      <c r="RBO16" s="175"/>
      <c r="RBP16" s="175"/>
      <c r="RBQ16" s="175"/>
      <c r="RBR16" s="175"/>
      <c r="RBS16" s="175"/>
      <c r="RBT16" s="175"/>
      <c r="RBU16" s="175"/>
      <c r="RBV16" s="175"/>
      <c r="RBW16" s="175"/>
      <c r="RBX16" s="175"/>
      <c r="RBY16" s="175"/>
      <c r="RBZ16" s="175"/>
      <c r="RCA16" s="175"/>
      <c r="RCB16" s="175"/>
      <c r="RCC16" s="175"/>
      <c r="RCD16" s="175"/>
      <c r="RCE16" s="175"/>
      <c r="RCF16" s="175"/>
      <c r="RCG16" s="175"/>
      <c r="RCH16" s="175"/>
      <c r="RCI16" s="175"/>
      <c r="RCJ16" s="175"/>
      <c r="RCK16" s="175"/>
      <c r="RCL16" s="175"/>
      <c r="RCM16" s="175"/>
      <c r="RCN16" s="175"/>
      <c r="RCO16" s="175"/>
      <c r="RCP16" s="175"/>
      <c r="RCQ16" s="175"/>
      <c r="RCR16" s="175"/>
      <c r="RCS16" s="175"/>
      <c r="RCT16" s="175"/>
      <c r="RCU16" s="175"/>
      <c r="RCV16" s="175"/>
      <c r="RCW16" s="175"/>
      <c r="RCX16" s="175"/>
      <c r="RCY16" s="175"/>
      <c r="RCZ16" s="175"/>
      <c r="RDA16" s="175"/>
      <c r="RDB16" s="175"/>
      <c r="RDC16" s="175"/>
      <c r="RDD16" s="175"/>
      <c r="RDE16" s="175"/>
      <c r="RDF16" s="175"/>
      <c r="RDG16" s="175"/>
      <c r="RDH16" s="175"/>
      <c r="RDI16" s="175"/>
      <c r="RDJ16" s="175"/>
      <c r="RDK16" s="175"/>
      <c r="RDL16" s="175"/>
      <c r="RDM16" s="175"/>
      <c r="RDN16" s="175"/>
      <c r="RDO16" s="175"/>
      <c r="RDP16" s="175"/>
      <c r="RDQ16" s="175"/>
      <c r="RDR16" s="175"/>
      <c r="RDS16" s="175"/>
      <c r="RDT16" s="175"/>
      <c r="RDU16" s="175"/>
      <c r="RDV16" s="175"/>
      <c r="RDW16" s="175"/>
      <c r="RDX16" s="175"/>
      <c r="RDY16" s="175"/>
      <c r="RDZ16" s="175"/>
      <c r="REA16" s="175"/>
      <c r="REB16" s="175"/>
      <c r="REC16" s="175"/>
      <c r="RED16" s="175"/>
      <c r="REE16" s="175"/>
      <c r="REF16" s="175"/>
      <c r="REG16" s="175"/>
      <c r="REH16" s="175"/>
      <c r="REI16" s="175"/>
      <c r="REJ16" s="175"/>
      <c r="REK16" s="175"/>
      <c r="REL16" s="175"/>
      <c r="REM16" s="175"/>
      <c r="REN16" s="175"/>
      <c r="REO16" s="175"/>
      <c r="REP16" s="175"/>
      <c r="REQ16" s="175"/>
      <c r="RER16" s="175"/>
      <c r="RES16" s="175"/>
      <c r="RET16" s="175"/>
      <c r="REU16" s="175"/>
      <c r="REV16" s="175"/>
      <c r="REW16" s="175"/>
      <c r="REX16" s="175"/>
      <c r="REY16" s="175"/>
      <c r="REZ16" s="175"/>
      <c r="RFA16" s="175"/>
      <c r="RFB16" s="175"/>
      <c r="RFC16" s="175"/>
      <c r="RFD16" s="175"/>
      <c r="RFE16" s="175"/>
      <c r="RFF16" s="175"/>
      <c r="RFG16" s="175"/>
      <c r="RFH16" s="175"/>
      <c r="RFI16" s="175"/>
      <c r="RFJ16" s="175"/>
      <c r="RFK16" s="175"/>
      <c r="RFL16" s="175"/>
      <c r="RFM16" s="175"/>
      <c r="RFN16" s="175"/>
      <c r="RFO16" s="175"/>
      <c r="RFP16" s="175"/>
      <c r="RFQ16" s="175"/>
      <c r="RFR16" s="175"/>
      <c r="RFS16" s="175"/>
      <c r="RFT16" s="175"/>
      <c r="RFU16" s="175"/>
      <c r="RFV16" s="175"/>
      <c r="RFW16" s="175"/>
      <c r="RFX16" s="175"/>
      <c r="RFY16" s="175"/>
      <c r="RFZ16" s="175"/>
      <c r="RGA16" s="175"/>
      <c r="RGB16" s="175"/>
      <c r="RGC16" s="175"/>
      <c r="RGD16" s="175"/>
      <c r="RGE16" s="175"/>
      <c r="RGF16" s="175"/>
      <c r="RGG16" s="175"/>
      <c r="RGH16" s="175"/>
      <c r="RGI16" s="175"/>
      <c r="RGJ16" s="175"/>
      <c r="RGK16" s="175"/>
      <c r="RGL16" s="175"/>
      <c r="RGM16" s="175"/>
      <c r="RGN16" s="175"/>
      <c r="RGO16" s="175"/>
      <c r="RGP16" s="175"/>
      <c r="RGQ16" s="175"/>
      <c r="RGR16" s="175"/>
      <c r="RGS16" s="175"/>
      <c r="RGT16" s="175"/>
      <c r="RGU16" s="175"/>
      <c r="RGV16" s="175"/>
      <c r="RGW16" s="175"/>
      <c r="RGX16" s="175"/>
      <c r="RGY16" s="175"/>
      <c r="RGZ16" s="175"/>
      <c r="RHA16" s="175"/>
      <c r="RHB16" s="175"/>
      <c r="RHC16" s="175"/>
      <c r="RHD16" s="175"/>
      <c r="RHE16" s="175"/>
      <c r="RHF16" s="175"/>
      <c r="RHG16" s="175"/>
      <c r="RHH16" s="175"/>
      <c r="RHI16" s="175"/>
      <c r="RHJ16" s="175"/>
      <c r="RHK16" s="175"/>
      <c r="RHL16" s="175"/>
      <c r="RHM16" s="175"/>
      <c r="RHN16" s="175"/>
      <c r="RHO16" s="175"/>
      <c r="RHP16" s="175"/>
      <c r="RHQ16" s="175"/>
      <c r="RHR16" s="175"/>
      <c r="RHS16" s="175"/>
      <c r="RHT16" s="175"/>
      <c r="RHU16" s="175"/>
      <c r="RHV16" s="175"/>
      <c r="RHW16" s="175"/>
      <c r="RHX16" s="175"/>
      <c r="RHY16" s="175"/>
      <c r="RHZ16" s="175"/>
      <c r="RIA16" s="175"/>
      <c r="RIB16" s="175"/>
      <c r="RIC16" s="175"/>
      <c r="RID16" s="175"/>
      <c r="RIE16" s="175"/>
      <c r="RIF16" s="175"/>
      <c r="RIG16" s="175"/>
      <c r="RIH16" s="175"/>
      <c r="RII16" s="175"/>
      <c r="RIJ16" s="175"/>
      <c r="RIK16" s="175"/>
      <c r="RIL16" s="175"/>
      <c r="RIM16" s="175"/>
      <c r="RIN16" s="175"/>
      <c r="RIO16" s="175"/>
      <c r="RIP16" s="175"/>
      <c r="RIQ16" s="175"/>
      <c r="RIR16" s="175"/>
      <c r="RIS16" s="175"/>
      <c r="RIT16" s="175"/>
      <c r="RIU16" s="175"/>
      <c r="RIV16" s="175"/>
      <c r="RIW16" s="175"/>
      <c r="RIX16" s="175"/>
      <c r="RIY16" s="175"/>
      <c r="RIZ16" s="175"/>
      <c r="RJA16" s="175"/>
      <c r="RJB16" s="175"/>
      <c r="RJC16" s="175"/>
      <c r="RJD16" s="175"/>
      <c r="RJE16" s="175"/>
      <c r="RJF16" s="175"/>
      <c r="RJG16" s="175"/>
      <c r="RJH16" s="175"/>
      <c r="RJI16" s="175"/>
      <c r="RJJ16" s="175"/>
      <c r="RJK16" s="175"/>
      <c r="RJL16" s="175"/>
      <c r="RJM16" s="175"/>
      <c r="RJN16" s="175"/>
      <c r="RJO16" s="175"/>
      <c r="RJP16" s="175"/>
      <c r="RJQ16" s="175"/>
      <c r="RJR16" s="175"/>
      <c r="RJS16" s="175"/>
      <c r="RJT16" s="175"/>
      <c r="RJU16" s="175"/>
      <c r="RJV16" s="175"/>
      <c r="RJW16" s="175"/>
      <c r="RJX16" s="175"/>
      <c r="RJY16" s="175"/>
      <c r="RJZ16" s="175"/>
      <c r="RKA16" s="175"/>
      <c r="RKB16" s="175"/>
      <c r="RKC16" s="175"/>
      <c r="RKD16" s="175"/>
      <c r="RKE16" s="175"/>
      <c r="RKF16" s="175"/>
      <c r="RKG16" s="175"/>
      <c r="RKH16" s="175"/>
      <c r="RKI16" s="175"/>
      <c r="RKJ16" s="175"/>
      <c r="RKK16" s="175"/>
      <c r="RKL16" s="175"/>
      <c r="RKM16" s="175"/>
      <c r="RKN16" s="175"/>
      <c r="RKO16" s="175"/>
      <c r="RKP16" s="175"/>
      <c r="RKQ16" s="175"/>
      <c r="RKR16" s="175"/>
      <c r="RKS16" s="175"/>
      <c r="RKT16" s="175"/>
      <c r="RKU16" s="175"/>
      <c r="RKV16" s="175"/>
      <c r="RKW16" s="175"/>
      <c r="RKX16" s="175"/>
      <c r="RKY16" s="175"/>
      <c r="RKZ16" s="175"/>
      <c r="RLA16" s="175"/>
      <c r="RLB16" s="175"/>
      <c r="RLC16" s="175"/>
      <c r="RLD16" s="175"/>
      <c r="RLE16" s="175"/>
      <c r="RLF16" s="175"/>
      <c r="RLG16" s="175"/>
      <c r="RLH16" s="175"/>
      <c r="RLI16" s="175"/>
      <c r="RLJ16" s="175"/>
      <c r="RLK16" s="175"/>
      <c r="RLL16" s="175"/>
      <c r="RLM16" s="175"/>
      <c r="RLN16" s="175"/>
      <c r="RLO16" s="175"/>
      <c r="RLP16" s="175"/>
      <c r="RLQ16" s="175"/>
      <c r="RLR16" s="175"/>
      <c r="RLS16" s="175"/>
      <c r="RLT16" s="175"/>
      <c r="RLU16" s="175"/>
      <c r="RLV16" s="175"/>
      <c r="RLW16" s="175"/>
      <c r="RLX16" s="175"/>
      <c r="RLY16" s="175"/>
      <c r="RLZ16" s="175"/>
      <c r="RMA16" s="175"/>
      <c r="RMB16" s="175"/>
      <c r="RMC16" s="175"/>
      <c r="RMD16" s="175"/>
      <c r="RME16" s="175"/>
      <c r="RMF16" s="175"/>
      <c r="RMG16" s="175"/>
      <c r="RMH16" s="175"/>
      <c r="RMI16" s="175"/>
      <c r="RMJ16" s="175"/>
      <c r="RMK16" s="175"/>
      <c r="RML16" s="175"/>
      <c r="RMM16" s="175"/>
      <c r="RMN16" s="175"/>
      <c r="RMO16" s="175"/>
      <c r="RMP16" s="175"/>
      <c r="RMQ16" s="175"/>
      <c r="RMR16" s="175"/>
      <c r="RMS16" s="175"/>
      <c r="RMT16" s="175"/>
      <c r="RMU16" s="175"/>
      <c r="RMV16" s="175"/>
      <c r="RMW16" s="175"/>
      <c r="RMX16" s="175"/>
      <c r="RMY16" s="175"/>
      <c r="RMZ16" s="175"/>
      <c r="RNA16" s="175"/>
      <c r="RNB16" s="175"/>
      <c r="RNC16" s="175"/>
      <c r="RND16" s="175"/>
      <c r="RNE16" s="175"/>
      <c r="RNF16" s="175"/>
      <c r="RNG16" s="175"/>
      <c r="RNH16" s="175"/>
      <c r="RNI16" s="175"/>
      <c r="RNJ16" s="175"/>
      <c r="RNK16" s="175"/>
      <c r="RNL16" s="175"/>
      <c r="RNM16" s="175"/>
      <c r="RNN16" s="175"/>
      <c r="RNO16" s="175"/>
      <c r="RNP16" s="175"/>
      <c r="RNQ16" s="175"/>
      <c r="RNR16" s="175"/>
      <c r="RNS16" s="175"/>
      <c r="RNT16" s="175"/>
      <c r="RNU16" s="175"/>
      <c r="RNV16" s="175"/>
      <c r="RNW16" s="175"/>
      <c r="RNX16" s="175"/>
      <c r="RNY16" s="175"/>
      <c r="RNZ16" s="175"/>
      <c r="ROA16" s="175"/>
      <c r="ROB16" s="175"/>
      <c r="ROC16" s="175"/>
      <c r="ROD16" s="175"/>
      <c r="ROE16" s="175"/>
      <c r="ROF16" s="175"/>
      <c r="ROG16" s="175"/>
      <c r="ROH16" s="175"/>
      <c r="ROI16" s="175"/>
      <c r="ROJ16" s="175"/>
      <c r="ROK16" s="175"/>
      <c r="ROL16" s="175"/>
      <c r="ROM16" s="175"/>
      <c r="RON16" s="175"/>
      <c r="ROO16" s="175"/>
      <c r="ROP16" s="175"/>
      <c r="ROQ16" s="175"/>
      <c r="ROR16" s="175"/>
      <c r="ROS16" s="175"/>
      <c r="ROT16" s="175"/>
      <c r="ROU16" s="175"/>
      <c r="ROV16" s="175"/>
      <c r="ROW16" s="175"/>
      <c r="ROX16" s="175"/>
      <c r="ROY16" s="175"/>
      <c r="ROZ16" s="175"/>
      <c r="RPA16" s="175"/>
      <c r="RPB16" s="175"/>
      <c r="RPC16" s="175"/>
      <c r="RPD16" s="175"/>
      <c r="RPE16" s="175"/>
      <c r="RPF16" s="175"/>
      <c r="RPG16" s="175"/>
      <c r="RPH16" s="175"/>
      <c r="RPI16" s="175"/>
      <c r="RPJ16" s="175"/>
      <c r="RPK16" s="175"/>
      <c r="RPL16" s="175"/>
      <c r="RPM16" s="175"/>
      <c r="RPN16" s="175"/>
      <c r="RPO16" s="175"/>
      <c r="RPP16" s="175"/>
      <c r="RPQ16" s="175"/>
      <c r="RPR16" s="175"/>
      <c r="RPS16" s="175"/>
      <c r="RPT16" s="175"/>
      <c r="RPU16" s="175"/>
      <c r="RPV16" s="175"/>
      <c r="RPW16" s="175"/>
      <c r="RPX16" s="175"/>
      <c r="RPY16" s="175"/>
      <c r="RPZ16" s="175"/>
      <c r="RQA16" s="175"/>
      <c r="RQB16" s="175"/>
      <c r="RQC16" s="175"/>
      <c r="RQD16" s="175"/>
      <c r="RQE16" s="175"/>
      <c r="RQF16" s="175"/>
      <c r="RQG16" s="175"/>
      <c r="RQH16" s="175"/>
      <c r="RQI16" s="175"/>
      <c r="RQJ16" s="175"/>
      <c r="RQK16" s="175"/>
      <c r="RQL16" s="175"/>
      <c r="RQM16" s="175"/>
      <c r="RQN16" s="175"/>
      <c r="RQO16" s="175"/>
      <c r="RQP16" s="175"/>
      <c r="RQQ16" s="175"/>
      <c r="RQR16" s="175"/>
      <c r="RQS16" s="175"/>
      <c r="RQT16" s="175"/>
      <c r="RQU16" s="175"/>
      <c r="RQV16" s="175"/>
      <c r="RQW16" s="175"/>
      <c r="RQX16" s="175"/>
      <c r="RQY16" s="175"/>
      <c r="RQZ16" s="175"/>
      <c r="RRA16" s="175"/>
      <c r="RRB16" s="175"/>
      <c r="RRC16" s="175"/>
      <c r="RRD16" s="175"/>
      <c r="RRE16" s="175"/>
      <c r="RRF16" s="175"/>
      <c r="RRG16" s="175"/>
      <c r="RRH16" s="175"/>
      <c r="RRI16" s="175"/>
      <c r="RRJ16" s="175"/>
      <c r="RRK16" s="175"/>
      <c r="RRL16" s="175"/>
      <c r="RRM16" s="175"/>
      <c r="RRN16" s="175"/>
      <c r="RRO16" s="175"/>
      <c r="RRP16" s="175"/>
      <c r="RRQ16" s="175"/>
      <c r="RRR16" s="175"/>
      <c r="RRS16" s="175"/>
      <c r="RRT16" s="175"/>
      <c r="RRU16" s="175"/>
      <c r="RRV16" s="175"/>
      <c r="RRW16" s="175"/>
      <c r="RRX16" s="175"/>
      <c r="RRY16" s="175"/>
      <c r="RRZ16" s="175"/>
      <c r="RSA16" s="175"/>
      <c r="RSB16" s="175"/>
      <c r="RSC16" s="175"/>
      <c r="RSD16" s="175"/>
      <c r="RSE16" s="175"/>
      <c r="RSF16" s="175"/>
      <c r="RSG16" s="175"/>
      <c r="RSH16" s="175"/>
      <c r="RSI16" s="175"/>
      <c r="RSJ16" s="175"/>
      <c r="RSK16" s="175"/>
      <c r="RSL16" s="175"/>
      <c r="RSM16" s="175"/>
      <c r="RSN16" s="175"/>
      <c r="RSO16" s="175"/>
      <c r="RSP16" s="175"/>
      <c r="RSQ16" s="175"/>
      <c r="RSR16" s="175"/>
      <c r="RSS16" s="175"/>
      <c r="RST16" s="175"/>
      <c r="RSU16" s="175"/>
      <c r="RSV16" s="175"/>
      <c r="RSW16" s="175"/>
      <c r="RSX16" s="175"/>
      <c r="RSY16" s="175"/>
      <c r="RSZ16" s="175"/>
      <c r="RTA16" s="175"/>
      <c r="RTB16" s="175"/>
      <c r="RTC16" s="175"/>
      <c r="RTD16" s="175"/>
      <c r="RTE16" s="175"/>
      <c r="RTF16" s="175"/>
      <c r="RTG16" s="175"/>
      <c r="RTH16" s="175"/>
      <c r="RTI16" s="175"/>
      <c r="RTJ16" s="175"/>
      <c r="RTK16" s="175"/>
      <c r="RTL16" s="175"/>
      <c r="RTM16" s="175"/>
      <c r="RTN16" s="175"/>
      <c r="RTO16" s="175"/>
      <c r="RTP16" s="175"/>
      <c r="RTQ16" s="175"/>
      <c r="RTR16" s="175"/>
      <c r="RTS16" s="175"/>
      <c r="RTT16" s="175"/>
      <c r="RTU16" s="175"/>
      <c r="RTV16" s="175"/>
      <c r="RTW16" s="175"/>
      <c r="RTX16" s="175"/>
      <c r="RTY16" s="175"/>
      <c r="RTZ16" s="175"/>
      <c r="RUA16" s="175"/>
      <c r="RUB16" s="175"/>
      <c r="RUC16" s="175"/>
      <c r="RUD16" s="175"/>
      <c r="RUE16" s="175"/>
      <c r="RUF16" s="175"/>
      <c r="RUG16" s="175"/>
      <c r="RUH16" s="175"/>
      <c r="RUI16" s="175"/>
      <c r="RUJ16" s="175"/>
      <c r="RUK16" s="175"/>
      <c r="RUL16" s="175"/>
      <c r="RUM16" s="175"/>
      <c r="RUN16" s="175"/>
      <c r="RUO16" s="175"/>
      <c r="RUP16" s="175"/>
      <c r="RUQ16" s="175"/>
      <c r="RUR16" s="175"/>
      <c r="RUS16" s="175"/>
      <c r="RUT16" s="175"/>
      <c r="RUU16" s="175"/>
      <c r="RUV16" s="175"/>
      <c r="RUW16" s="175"/>
      <c r="RUX16" s="175"/>
      <c r="RUY16" s="175"/>
      <c r="RUZ16" s="175"/>
      <c r="RVA16" s="175"/>
      <c r="RVB16" s="175"/>
      <c r="RVC16" s="175"/>
      <c r="RVD16" s="175"/>
      <c r="RVE16" s="175"/>
      <c r="RVF16" s="175"/>
      <c r="RVG16" s="175"/>
      <c r="RVH16" s="175"/>
      <c r="RVI16" s="175"/>
      <c r="RVJ16" s="175"/>
      <c r="RVK16" s="175"/>
      <c r="RVL16" s="175"/>
      <c r="RVM16" s="175"/>
      <c r="RVN16" s="175"/>
      <c r="RVO16" s="175"/>
      <c r="RVP16" s="175"/>
      <c r="RVQ16" s="175"/>
      <c r="RVR16" s="175"/>
      <c r="RVS16" s="175"/>
      <c r="RVT16" s="175"/>
      <c r="RVU16" s="175"/>
      <c r="RVV16" s="175"/>
      <c r="RVW16" s="175"/>
      <c r="RVX16" s="175"/>
      <c r="RVY16" s="175"/>
      <c r="RVZ16" s="175"/>
      <c r="RWA16" s="175"/>
      <c r="RWB16" s="175"/>
      <c r="RWC16" s="175"/>
      <c r="RWD16" s="175"/>
      <c r="RWE16" s="175"/>
      <c r="RWF16" s="175"/>
      <c r="RWG16" s="175"/>
      <c r="RWH16" s="175"/>
      <c r="RWI16" s="175"/>
      <c r="RWJ16" s="175"/>
      <c r="RWK16" s="175"/>
      <c r="RWL16" s="175"/>
      <c r="RWM16" s="175"/>
      <c r="RWN16" s="175"/>
      <c r="RWO16" s="175"/>
      <c r="RWP16" s="175"/>
      <c r="RWQ16" s="175"/>
      <c r="RWR16" s="175"/>
      <c r="RWS16" s="175"/>
      <c r="RWT16" s="175"/>
      <c r="RWU16" s="175"/>
      <c r="RWV16" s="175"/>
      <c r="RWW16" s="175"/>
      <c r="RWX16" s="175"/>
      <c r="RWY16" s="175"/>
      <c r="RWZ16" s="175"/>
      <c r="RXA16" s="175"/>
      <c r="RXB16" s="175"/>
      <c r="RXC16" s="175"/>
      <c r="RXD16" s="175"/>
      <c r="RXE16" s="175"/>
      <c r="RXF16" s="175"/>
      <c r="RXG16" s="175"/>
      <c r="RXH16" s="175"/>
      <c r="RXI16" s="175"/>
      <c r="RXJ16" s="175"/>
      <c r="RXK16" s="175"/>
      <c r="RXL16" s="175"/>
      <c r="RXM16" s="175"/>
      <c r="RXN16" s="175"/>
      <c r="RXO16" s="175"/>
      <c r="RXP16" s="175"/>
      <c r="RXQ16" s="175"/>
      <c r="RXR16" s="175"/>
      <c r="RXS16" s="175"/>
      <c r="RXT16" s="175"/>
      <c r="RXU16" s="175"/>
      <c r="RXV16" s="175"/>
      <c r="RXW16" s="175"/>
      <c r="RXX16" s="175"/>
      <c r="RXY16" s="175"/>
      <c r="RXZ16" s="175"/>
      <c r="RYA16" s="175"/>
      <c r="RYB16" s="175"/>
      <c r="RYC16" s="175"/>
      <c r="RYD16" s="175"/>
      <c r="RYE16" s="175"/>
      <c r="RYF16" s="175"/>
      <c r="RYG16" s="175"/>
      <c r="RYH16" s="175"/>
      <c r="RYI16" s="175"/>
      <c r="RYJ16" s="175"/>
      <c r="RYK16" s="175"/>
      <c r="RYL16" s="175"/>
      <c r="RYM16" s="175"/>
      <c r="RYN16" s="175"/>
      <c r="RYO16" s="175"/>
      <c r="RYP16" s="175"/>
      <c r="RYQ16" s="175"/>
      <c r="RYR16" s="175"/>
      <c r="RYS16" s="175"/>
      <c r="RYT16" s="175"/>
      <c r="RYU16" s="175"/>
      <c r="RYV16" s="175"/>
      <c r="RYW16" s="175"/>
      <c r="RYX16" s="175"/>
      <c r="RYY16" s="175"/>
      <c r="RYZ16" s="175"/>
      <c r="RZA16" s="175"/>
      <c r="RZB16" s="175"/>
      <c r="RZC16" s="175"/>
      <c r="RZD16" s="175"/>
      <c r="RZE16" s="175"/>
      <c r="RZF16" s="175"/>
      <c r="RZG16" s="175"/>
      <c r="RZH16" s="175"/>
      <c r="RZI16" s="175"/>
      <c r="RZJ16" s="175"/>
      <c r="RZK16" s="175"/>
      <c r="RZL16" s="175"/>
      <c r="RZM16" s="175"/>
      <c r="RZN16" s="175"/>
      <c r="RZO16" s="175"/>
      <c r="RZP16" s="175"/>
      <c r="RZQ16" s="175"/>
      <c r="RZR16" s="175"/>
      <c r="RZS16" s="175"/>
      <c r="RZT16" s="175"/>
      <c r="RZU16" s="175"/>
      <c r="RZV16" s="175"/>
      <c r="RZW16" s="175"/>
      <c r="RZX16" s="175"/>
      <c r="RZY16" s="175"/>
      <c r="RZZ16" s="175"/>
      <c r="SAA16" s="175"/>
      <c r="SAB16" s="175"/>
      <c r="SAC16" s="175"/>
      <c r="SAD16" s="175"/>
      <c r="SAE16" s="175"/>
      <c r="SAF16" s="175"/>
      <c r="SAG16" s="175"/>
      <c r="SAH16" s="175"/>
      <c r="SAI16" s="175"/>
      <c r="SAJ16" s="175"/>
      <c r="SAK16" s="175"/>
      <c r="SAL16" s="175"/>
      <c r="SAM16" s="175"/>
      <c r="SAN16" s="175"/>
      <c r="SAO16" s="175"/>
      <c r="SAP16" s="175"/>
      <c r="SAQ16" s="175"/>
      <c r="SAR16" s="175"/>
      <c r="SAS16" s="175"/>
      <c r="SAT16" s="175"/>
      <c r="SAU16" s="175"/>
      <c r="SAV16" s="175"/>
      <c r="SAW16" s="175"/>
      <c r="SAX16" s="175"/>
      <c r="SAY16" s="175"/>
      <c r="SAZ16" s="175"/>
      <c r="SBA16" s="175"/>
      <c r="SBB16" s="175"/>
      <c r="SBC16" s="175"/>
      <c r="SBD16" s="175"/>
      <c r="SBE16" s="175"/>
      <c r="SBF16" s="175"/>
      <c r="SBG16" s="175"/>
      <c r="SBH16" s="175"/>
      <c r="SBI16" s="175"/>
      <c r="SBJ16" s="175"/>
      <c r="SBK16" s="175"/>
      <c r="SBL16" s="175"/>
      <c r="SBM16" s="175"/>
      <c r="SBN16" s="175"/>
      <c r="SBO16" s="175"/>
      <c r="SBP16" s="175"/>
      <c r="SBQ16" s="175"/>
      <c r="SBR16" s="175"/>
      <c r="SBS16" s="175"/>
      <c r="SBT16" s="175"/>
      <c r="SBU16" s="175"/>
      <c r="SBV16" s="175"/>
      <c r="SBW16" s="175"/>
      <c r="SBX16" s="175"/>
      <c r="SBY16" s="175"/>
      <c r="SBZ16" s="175"/>
      <c r="SCA16" s="175"/>
      <c r="SCB16" s="175"/>
      <c r="SCC16" s="175"/>
      <c r="SCD16" s="175"/>
      <c r="SCE16" s="175"/>
      <c r="SCF16" s="175"/>
      <c r="SCG16" s="175"/>
      <c r="SCH16" s="175"/>
      <c r="SCI16" s="175"/>
      <c r="SCJ16" s="175"/>
      <c r="SCK16" s="175"/>
      <c r="SCL16" s="175"/>
      <c r="SCM16" s="175"/>
      <c r="SCN16" s="175"/>
      <c r="SCO16" s="175"/>
      <c r="SCP16" s="175"/>
      <c r="SCQ16" s="175"/>
      <c r="SCR16" s="175"/>
      <c r="SCS16" s="175"/>
      <c r="SCT16" s="175"/>
      <c r="SCU16" s="175"/>
      <c r="SCV16" s="175"/>
      <c r="SCW16" s="175"/>
      <c r="SCX16" s="175"/>
      <c r="SCY16" s="175"/>
      <c r="SCZ16" s="175"/>
      <c r="SDA16" s="175"/>
      <c r="SDB16" s="175"/>
      <c r="SDC16" s="175"/>
      <c r="SDD16" s="175"/>
      <c r="SDE16" s="175"/>
      <c r="SDF16" s="175"/>
      <c r="SDG16" s="175"/>
      <c r="SDH16" s="175"/>
      <c r="SDI16" s="175"/>
      <c r="SDJ16" s="175"/>
      <c r="SDK16" s="175"/>
      <c r="SDL16" s="175"/>
      <c r="SDM16" s="175"/>
      <c r="SDN16" s="175"/>
      <c r="SDO16" s="175"/>
      <c r="SDP16" s="175"/>
      <c r="SDQ16" s="175"/>
      <c r="SDR16" s="175"/>
      <c r="SDS16" s="175"/>
      <c r="SDT16" s="175"/>
      <c r="SDU16" s="175"/>
      <c r="SDV16" s="175"/>
      <c r="SDW16" s="175"/>
      <c r="SDX16" s="175"/>
      <c r="SDY16" s="175"/>
      <c r="SDZ16" s="175"/>
      <c r="SEA16" s="175"/>
      <c r="SEB16" s="175"/>
      <c r="SEC16" s="175"/>
      <c r="SED16" s="175"/>
      <c r="SEE16" s="175"/>
      <c r="SEF16" s="175"/>
      <c r="SEG16" s="175"/>
      <c r="SEH16" s="175"/>
      <c r="SEI16" s="175"/>
      <c r="SEJ16" s="175"/>
      <c r="SEK16" s="175"/>
      <c r="SEL16" s="175"/>
      <c r="SEM16" s="175"/>
      <c r="SEN16" s="175"/>
      <c r="SEO16" s="175"/>
      <c r="SEP16" s="175"/>
      <c r="SEQ16" s="175"/>
      <c r="SER16" s="175"/>
      <c r="SES16" s="175"/>
      <c r="SET16" s="175"/>
      <c r="SEU16" s="175"/>
      <c r="SEV16" s="175"/>
      <c r="SEW16" s="175"/>
      <c r="SEX16" s="175"/>
      <c r="SEY16" s="175"/>
      <c r="SEZ16" s="175"/>
      <c r="SFA16" s="175"/>
      <c r="SFB16" s="175"/>
      <c r="SFC16" s="175"/>
      <c r="SFD16" s="175"/>
      <c r="SFE16" s="175"/>
      <c r="SFF16" s="175"/>
      <c r="SFG16" s="175"/>
      <c r="SFH16" s="175"/>
      <c r="SFI16" s="175"/>
      <c r="SFJ16" s="175"/>
      <c r="SFK16" s="175"/>
      <c r="SFL16" s="175"/>
      <c r="SFM16" s="175"/>
      <c r="SFN16" s="175"/>
      <c r="SFO16" s="175"/>
      <c r="SFP16" s="175"/>
      <c r="SFQ16" s="175"/>
      <c r="SFR16" s="175"/>
      <c r="SFS16" s="175"/>
      <c r="SFT16" s="175"/>
      <c r="SFU16" s="175"/>
      <c r="SFV16" s="175"/>
      <c r="SFW16" s="175"/>
      <c r="SFX16" s="175"/>
      <c r="SFY16" s="175"/>
      <c r="SFZ16" s="175"/>
      <c r="SGA16" s="175"/>
      <c r="SGB16" s="175"/>
      <c r="SGC16" s="175"/>
      <c r="SGD16" s="175"/>
      <c r="SGE16" s="175"/>
      <c r="SGF16" s="175"/>
      <c r="SGG16" s="175"/>
      <c r="SGH16" s="175"/>
      <c r="SGI16" s="175"/>
      <c r="SGJ16" s="175"/>
      <c r="SGK16" s="175"/>
      <c r="SGL16" s="175"/>
      <c r="SGM16" s="175"/>
      <c r="SGN16" s="175"/>
      <c r="SGO16" s="175"/>
      <c r="SGP16" s="175"/>
      <c r="SGQ16" s="175"/>
      <c r="SGR16" s="175"/>
      <c r="SGS16" s="175"/>
      <c r="SGT16" s="175"/>
      <c r="SGU16" s="175"/>
      <c r="SGV16" s="175"/>
      <c r="SGW16" s="175"/>
      <c r="SGX16" s="175"/>
      <c r="SGY16" s="175"/>
      <c r="SGZ16" s="175"/>
      <c r="SHA16" s="175"/>
      <c r="SHB16" s="175"/>
      <c r="SHC16" s="175"/>
      <c r="SHD16" s="175"/>
      <c r="SHE16" s="175"/>
      <c r="SHF16" s="175"/>
      <c r="SHG16" s="175"/>
      <c r="SHH16" s="175"/>
      <c r="SHI16" s="175"/>
      <c r="SHJ16" s="175"/>
      <c r="SHK16" s="175"/>
      <c r="SHL16" s="175"/>
      <c r="SHM16" s="175"/>
      <c r="SHN16" s="175"/>
      <c r="SHO16" s="175"/>
      <c r="SHP16" s="175"/>
      <c r="SHQ16" s="175"/>
      <c r="SHR16" s="175"/>
      <c r="SHS16" s="175"/>
      <c r="SHT16" s="175"/>
      <c r="SHU16" s="175"/>
      <c r="SHV16" s="175"/>
      <c r="SHW16" s="175"/>
      <c r="SHX16" s="175"/>
      <c r="SHY16" s="175"/>
      <c r="SHZ16" s="175"/>
      <c r="SIA16" s="175"/>
      <c r="SIB16" s="175"/>
      <c r="SIC16" s="175"/>
      <c r="SID16" s="175"/>
      <c r="SIE16" s="175"/>
      <c r="SIF16" s="175"/>
      <c r="SIG16" s="175"/>
      <c r="SIH16" s="175"/>
      <c r="SII16" s="175"/>
      <c r="SIJ16" s="175"/>
      <c r="SIK16" s="175"/>
      <c r="SIL16" s="175"/>
      <c r="SIM16" s="175"/>
      <c r="SIN16" s="175"/>
      <c r="SIO16" s="175"/>
      <c r="SIP16" s="175"/>
      <c r="SIQ16" s="175"/>
      <c r="SIR16" s="175"/>
      <c r="SIS16" s="175"/>
      <c r="SIT16" s="175"/>
      <c r="SIU16" s="175"/>
      <c r="SIV16" s="175"/>
      <c r="SIW16" s="175"/>
      <c r="SIX16" s="175"/>
      <c r="SIY16" s="175"/>
      <c r="SIZ16" s="175"/>
      <c r="SJA16" s="175"/>
      <c r="SJB16" s="175"/>
      <c r="SJC16" s="175"/>
      <c r="SJD16" s="175"/>
      <c r="SJE16" s="175"/>
      <c r="SJF16" s="175"/>
      <c r="SJG16" s="175"/>
      <c r="SJH16" s="175"/>
      <c r="SJI16" s="175"/>
      <c r="SJJ16" s="175"/>
      <c r="SJK16" s="175"/>
      <c r="SJL16" s="175"/>
      <c r="SJM16" s="175"/>
      <c r="SJN16" s="175"/>
      <c r="SJO16" s="175"/>
      <c r="SJP16" s="175"/>
      <c r="SJQ16" s="175"/>
      <c r="SJR16" s="175"/>
      <c r="SJS16" s="175"/>
      <c r="SJT16" s="175"/>
      <c r="SJU16" s="175"/>
      <c r="SJV16" s="175"/>
      <c r="SJW16" s="175"/>
      <c r="SJX16" s="175"/>
      <c r="SJY16" s="175"/>
      <c r="SJZ16" s="175"/>
      <c r="SKA16" s="175"/>
      <c r="SKB16" s="175"/>
      <c r="SKC16" s="175"/>
      <c r="SKD16" s="175"/>
      <c r="SKE16" s="175"/>
      <c r="SKF16" s="175"/>
      <c r="SKG16" s="175"/>
      <c r="SKH16" s="175"/>
      <c r="SKI16" s="175"/>
      <c r="SKJ16" s="175"/>
      <c r="SKK16" s="175"/>
      <c r="SKL16" s="175"/>
      <c r="SKM16" s="175"/>
      <c r="SKN16" s="175"/>
      <c r="SKO16" s="175"/>
      <c r="SKP16" s="175"/>
      <c r="SKQ16" s="175"/>
      <c r="SKR16" s="175"/>
      <c r="SKS16" s="175"/>
      <c r="SKT16" s="175"/>
      <c r="SKU16" s="175"/>
      <c r="SKV16" s="175"/>
      <c r="SKW16" s="175"/>
      <c r="SKX16" s="175"/>
      <c r="SKY16" s="175"/>
      <c r="SKZ16" s="175"/>
      <c r="SLA16" s="175"/>
      <c r="SLB16" s="175"/>
      <c r="SLC16" s="175"/>
      <c r="SLD16" s="175"/>
      <c r="SLE16" s="175"/>
      <c r="SLF16" s="175"/>
      <c r="SLG16" s="175"/>
      <c r="SLH16" s="175"/>
      <c r="SLI16" s="175"/>
      <c r="SLJ16" s="175"/>
      <c r="SLK16" s="175"/>
      <c r="SLL16" s="175"/>
      <c r="SLM16" s="175"/>
      <c r="SLN16" s="175"/>
      <c r="SLO16" s="175"/>
      <c r="SLP16" s="175"/>
      <c r="SLQ16" s="175"/>
      <c r="SLR16" s="175"/>
      <c r="SLS16" s="175"/>
      <c r="SLT16" s="175"/>
      <c r="SLU16" s="175"/>
      <c r="SLV16" s="175"/>
      <c r="SLW16" s="175"/>
      <c r="SLX16" s="175"/>
      <c r="SLY16" s="175"/>
      <c r="SLZ16" s="175"/>
      <c r="SMA16" s="175"/>
      <c r="SMB16" s="175"/>
      <c r="SMC16" s="175"/>
      <c r="SMD16" s="175"/>
      <c r="SME16" s="175"/>
      <c r="SMF16" s="175"/>
      <c r="SMG16" s="175"/>
      <c r="SMH16" s="175"/>
      <c r="SMI16" s="175"/>
      <c r="SMJ16" s="175"/>
      <c r="SMK16" s="175"/>
      <c r="SML16" s="175"/>
      <c r="SMM16" s="175"/>
      <c r="SMN16" s="175"/>
      <c r="SMO16" s="175"/>
      <c r="SMP16" s="175"/>
      <c r="SMQ16" s="175"/>
      <c r="SMR16" s="175"/>
      <c r="SMS16" s="175"/>
      <c r="SMT16" s="175"/>
      <c r="SMU16" s="175"/>
      <c r="SMV16" s="175"/>
      <c r="SMW16" s="175"/>
      <c r="SMX16" s="175"/>
      <c r="SMY16" s="175"/>
      <c r="SMZ16" s="175"/>
      <c r="SNA16" s="175"/>
      <c r="SNB16" s="175"/>
      <c r="SNC16" s="175"/>
      <c r="SND16" s="175"/>
      <c r="SNE16" s="175"/>
      <c r="SNF16" s="175"/>
      <c r="SNG16" s="175"/>
      <c r="SNH16" s="175"/>
      <c r="SNI16" s="175"/>
      <c r="SNJ16" s="175"/>
      <c r="SNK16" s="175"/>
      <c r="SNL16" s="175"/>
      <c r="SNM16" s="175"/>
      <c r="SNN16" s="175"/>
      <c r="SNO16" s="175"/>
      <c r="SNP16" s="175"/>
      <c r="SNQ16" s="175"/>
      <c r="SNR16" s="175"/>
      <c r="SNS16" s="175"/>
      <c r="SNT16" s="175"/>
      <c r="SNU16" s="175"/>
      <c r="SNV16" s="175"/>
      <c r="SNW16" s="175"/>
      <c r="SNX16" s="175"/>
      <c r="SNY16" s="175"/>
      <c r="SNZ16" s="175"/>
      <c r="SOA16" s="175"/>
      <c r="SOB16" s="175"/>
      <c r="SOC16" s="175"/>
      <c r="SOD16" s="175"/>
      <c r="SOE16" s="175"/>
      <c r="SOF16" s="175"/>
      <c r="SOG16" s="175"/>
      <c r="SOH16" s="175"/>
      <c r="SOI16" s="175"/>
      <c r="SOJ16" s="175"/>
      <c r="SOK16" s="175"/>
      <c r="SOL16" s="175"/>
      <c r="SOM16" s="175"/>
      <c r="SON16" s="175"/>
      <c r="SOO16" s="175"/>
      <c r="SOP16" s="175"/>
      <c r="SOQ16" s="175"/>
      <c r="SOR16" s="175"/>
      <c r="SOS16" s="175"/>
      <c r="SOT16" s="175"/>
      <c r="SOU16" s="175"/>
      <c r="SOV16" s="175"/>
      <c r="SOW16" s="175"/>
      <c r="SOX16" s="175"/>
      <c r="SOY16" s="175"/>
      <c r="SOZ16" s="175"/>
      <c r="SPA16" s="175"/>
      <c r="SPB16" s="175"/>
      <c r="SPC16" s="175"/>
      <c r="SPD16" s="175"/>
      <c r="SPE16" s="175"/>
      <c r="SPF16" s="175"/>
      <c r="SPG16" s="175"/>
      <c r="SPH16" s="175"/>
      <c r="SPI16" s="175"/>
      <c r="SPJ16" s="175"/>
      <c r="SPK16" s="175"/>
      <c r="SPL16" s="175"/>
      <c r="SPM16" s="175"/>
      <c r="SPN16" s="175"/>
      <c r="SPO16" s="175"/>
      <c r="SPP16" s="175"/>
      <c r="SPQ16" s="175"/>
      <c r="SPR16" s="175"/>
      <c r="SPS16" s="175"/>
      <c r="SPT16" s="175"/>
      <c r="SPU16" s="175"/>
      <c r="SPV16" s="175"/>
      <c r="SPW16" s="175"/>
      <c r="SPX16" s="175"/>
      <c r="SPY16" s="175"/>
      <c r="SPZ16" s="175"/>
      <c r="SQA16" s="175"/>
      <c r="SQB16" s="175"/>
      <c r="SQC16" s="175"/>
      <c r="SQD16" s="175"/>
      <c r="SQE16" s="175"/>
      <c r="SQF16" s="175"/>
      <c r="SQG16" s="175"/>
      <c r="SQH16" s="175"/>
      <c r="SQI16" s="175"/>
      <c r="SQJ16" s="175"/>
      <c r="SQK16" s="175"/>
      <c r="SQL16" s="175"/>
      <c r="SQM16" s="175"/>
      <c r="SQN16" s="175"/>
      <c r="SQO16" s="175"/>
      <c r="SQP16" s="175"/>
      <c r="SQQ16" s="175"/>
      <c r="SQR16" s="175"/>
      <c r="SQS16" s="175"/>
      <c r="SQT16" s="175"/>
      <c r="SQU16" s="175"/>
      <c r="SQV16" s="175"/>
      <c r="SQW16" s="175"/>
      <c r="SQX16" s="175"/>
      <c r="SQY16" s="175"/>
      <c r="SQZ16" s="175"/>
      <c r="SRA16" s="175"/>
      <c r="SRB16" s="175"/>
      <c r="SRC16" s="175"/>
      <c r="SRD16" s="175"/>
      <c r="SRE16" s="175"/>
      <c r="SRF16" s="175"/>
      <c r="SRG16" s="175"/>
      <c r="SRH16" s="175"/>
      <c r="SRI16" s="175"/>
      <c r="SRJ16" s="175"/>
      <c r="SRK16" s="175"/>
      <c r="SRL16" s="175"/>
      <c r="SRM16" s="175"/>
      <c r="SRN16" s="175"/>
      <c r="SRO16" s="175"/>
      <c r="SRP16" s="175"/>
      <c r="SRQ16" s="175"/>
      <c r="SRR16" s="175"/>
      <c r="SRS16" s="175"/>
      <c r="SRT16" s="175"/>
      <c r="SRU16" s="175"/>
      <c r="SRV16" s="175"/>
      <c r="SRW16" s="175"/>
      <c r="SRX16" s="175"/>
      <c r="SRY16" s="175"/>
      <c r="SRZ16" s="175"/>
      <c r="SSA16" s="175"/>
      <c r="SSB16" s="175"/>
      <c r="SSC16" s="175"/>
      <c r="SSD16" s="175"/>
      <c r="SSE16" s="175"/>
      <c r="SSF16" s="175"/>
      <c r="SSG16" s="175"/>
      <c r="SSH16" s="175"/>
      <c r="SSI16" s="175"/>
      <c r="SSJ16" s="175"/>
      <c r="SSK16" s="175"/>
      <c r="SSL16" s="175"/>
      <c r="SSM16" s="175"/>
      <c r="SSN16" s="175"/>
      <c r="SSO16" s="175"/>
      <c r="SSP16" s="175"/>
      <c r="SSQ16" s="175"/>
      <c r="SSR16" s="175"/>
      <c r="SSS16" s="175"/>
      <c r="SST16" s="175"/>
      <c r="SSU16" s="175"/>
      <c r="SSV16" s="175"/>
      <c r="SSW16" s="175"/>
      <c r="SSX16" s="175"/>
      <c r="SSY16" s="175"/>
      <c r="SSZ16" s="175"/>
      <c r="STA16" s="175"/>
      <c r="STB16" s="175"/>
      <c r="STC16" s="175"/>
      <c r="STD16" s="175"/>
      <c r="STE16" s="175"/>
      <c r="STF16" s="175"/>
      <c r="STG16" s="175"/>
      <c r="STH16" s="175"/>
      <c r="STI16" s="175"/>
      <c r="STJ16" s="175"/>
      <c r="STK16" s="175"/>
      <c r="STL16" s="175"/>
      <c r="STM16" s="175"/>
      <c r="STN16" s="175"/>
      <c r="STO16" s="175"/>
      <c r="STP16" s="175"/>
      <c r="STQ16" s="175"/>
      <c r="STR16" s="175"/>
      <c r="STS16" s="175"/>
      <c r="STT16" s="175"/>
      <c r="STU16" s="175"/>
      <c r="STV16" s="175"/>
      <c r="STW16" s="175"/>
      <c r="STX16" s="175"/>
      <c r="STY16" s="175"/>
      <c r="STZ16" s="175"/>
      <c r="SUA16" s="175"/>
      <c r="SUB16" s="175"/>
      <c r="SUC16" s="175"/>
      <c r="SUD16" s="175"/>
      <c r="SUE16" s="175"/>
      <c r="SUF16" s="175"/>
      <c r="SUG16" s="175"/>
      <c r="SUH16" s="175"/>
      <c r="SUI16" s="175"/>
      <c r="SUJ16" s="175"/>
      <c r="SUK16" s="175"/>
      <c r="SUL16" s="175"/>
      <c r="SUM16" s="175"/>
      <c r="SUN16" s="175"/>
      <c r="SUO16" s="175"/>
      <c r="SUP16" s="175"/>
      <c r="SUQ16" s="175"/>
      <c r="SUR16" s="175"/>
      <c r="SUS16" s="175"/>
      <c r="SUT16" s="175"/>
      <c r="SUU16" s="175"/>
      <c r="SUV16" s="175"/>
      <c r="SUW16" s="175"/>
      <c r="SUX16" s="175"/>
      <c r="SUY16" s="175"/>
      <c r="SUZ16" s="175"/>
      <c r="SVA16" s="175"/>
      <c r="SVB16" s="175"/>
      <c r="SVC16" s="175"/>
      <c r="SVD16" s="175"/>
      <c r="SVE16" s="175"/>
      <c r="SVF16" s="175"/>
      <c r="SVG16" s="175"/>
      <c r="SVH16" s="175"/>
      <c r="SVI16" s="175"/>
      <c r="SVJ16" s="175"/>
      <c r="SVK16" s="175"/>
      <c r="SVL16" s="175"/>
      <c r="SVM16" s="175"/>
      <c r="SVN16" s="175"/>
      <c r="SVO16" s="175"/>
      <c r="SVP16" s="175"/>
      <c r="SVQ16" s="175"/>
      <c r="SVR16" s="175"/>
      <c r="SVS16" s="175"/>
      <c r="SVT16" s="175"/>
      <c r="SVU16" s="175"/>
      <c r="SVV16" s="175"/>
      <c r="SVW16" s="175"/>
      <c r="SVX16" s="175"/>
      <c r="SVY16" s="175"/>
      <c r="SVZ16" s="175"/>
      <c r="SWA16" s="175"/>
      <c r="SWB16" s="175"/>
      <c r="SWC16" s="175"/>
      <c r="SWD16" s="175"/>
      <c r="SWE16" s="175"/>
      <c r="SWF16" s="175"/>
      <c r="SWG16" s="175"/>
      <c r="SWH16" s="175"/>
      <c r="SWI16" s="175"/>
      <c r="SWJ16" s="175"/>
      <c r="SWK16" s="175"/>
      <c r="SWL16" s="175"/>
      <c r="SWM16" s="175"/>
      <c r="SWN16" s="175"/>
      <c r="SWO16" s="175"/>
      <c r="SWP16" s="175"/>
      <c r="SWQ16" s="175"/>
      <c r="SWR16" s="175"/>
      <c r="SWS16" s="175"/>
      <c r="SWT16" s="175"/>
      <c r="SWU16" s="175"/>
      <c r="SWV16" s="175"/>
      <c r="SWW16" s="175"/>
      <c r="SWX16" s="175"/>
      <c r="SWY16" s="175"/>
      <c r="SWZ16" s="175"/>
      <c r="SXA16" s="175"/>
      <c r="SXB16" s="175"/>
      <c r="SXC16" s="175"/>
      <c r="SXD16" s="175"/>
      <c r="SXE16" s="175"/>
      <c r="SXF16" s="175"/>
      <c r="SXG16" s="175"/>
      <c r="SXH16" s="175"/>
      <c r="SXI16" s="175"/>
      <c r="SXJ16" s="175"/>
      <c r="SXK16" s="175"/>
      <c r="SXL16" s="175"/>
      <c r="SXM16" s="175"/>
      <c r="SXN16" s="175"/>
      <c r="SXO16" s="175"/>
      <c r="SXP16" s="175"/>
      <c r="SXQ16" s="175"/>
      <c r="SXR16" s="175"/>
      <c r="SXS16" s="175"/>
      <c r="SXT16" s="175"/>
      <c r="SXU16" s="175"/>
      <c r="SXV16" s="175"/>
      <c r="SXW16" s="175"/>
      <c r="SXX16" s="175"/>
      <c r="SXY16" s="175"/>
      <c r="SXZ16" s="175"/>
      <c r="SYA16" s="175"/>
      <c r="SYB16" s="175"/>
      <c r="SYC16" s="175"/>
      <c r="SYD16" s="175"/>
      <c r="SYE16" s="175"/>
      <c r="SYF16" s="175"/>
      <c r="SYG16" s="175"/>
      <c r="SYH16" s="175"/>
      <c r="SYI16" s="175"/>
      <c r="SYJ16" s="175"/>
      <c r="SYK16" s="175"/>
      <c r="SYL16" s="175"/>
      <c r="SYM16" s="175"/>
      <c r="SYN16" s="175"/>
      <c r="SYO16" s="175"/>
      <c r="SYP16" s="175"/>
      <c r="SYQ16" s="175"/>
      <c r="SYR16" s="175"/>
      <c r="SYS16" s="175"/>
      <c r="SYT16" s="175"/>
      <c r="SYU16" s="175"/>
      <c r="SYV16" s="175"/>
      <c r="SYW16" s="175"/>
      <c r="SYX16" s="175"/>
      <c r="SYY16" s="175"/>
      <c r="SYZ16" s="175"/>
      <c r="SZA16" s="175"/>
      <c r="SZB16" s="175"/>
      <c r="SZC16" s="175"/>
      <c r="SZD16" s="175"/>
      <c r="SZE16" s="175"/>
      <c r="SZF16" s="175"/>
      <c r="SZG16" s="175"/>
      <c r="SZH16" s="175"/>
      <c r="SZI16" s="175"/>
      <c r="SZJ16" s="175"/>
      <c r="SZK16" s="175"/>
      <c r="SZL16" s="175"/>
      <c r="SZM16" s="175"/>
      <c r="SZN16" s="175"/>
      <c r="SZO16" s="175"/>
      <c r="SZP16" s="175"/>
      <c r="SZQ16" s="175"/>
      <c r="SZR16" s="175"/>
      <c r="SZS16" s="175"/>
      <c r="SZT16" s="175"/>
      <c r="SZU16" s="175"/>
      <c r="SZV16" s="175"/>
      <c r="SZW16" s="175"/>
      <c r="SZX16" s="175"/>
      <c r="SZY16" s="175"/>
      <c r="SZZ16" s="175"/>
      <c r="TAA16" s="175"/>
      <c r="TAB16" s="175"/>
      <c r="TAC16" s="175"/>
      <c r="TAD16" s="175"/>
      <c r="TAE16" s="175"/>
      <c r="TAF16" s="175"/>
      <c r="TAG16" s="175"/>
      <c r="TAH16" s="175"/>
      <c r="TAI16" s="175"/>
      <c r="TAJ16" s="175"/>
      <c r="TAK16" s="175"/>
      <c r="TAL16" s="175"/>
      <c r="TAM16" s="175"/>
      <c r="TAN16" s="175"/>
      <c r="TAO16" s="175"/>
      <c r="TAP16" s="175"/>
      <c r="TAQ16" s="175"/>
      <c r="TAR16" s="175"/>
      <c r="TAS16" s="175"/>
      <c r="TAT16" s="175"/>
      <c r="TAU16" s="175"/>
      <c r="TAV16" s="175"/>
      <c r="TAW16" s="175"/>
      <c r="TAX16" s="175"/>
      <c r="TAY16" s="175"/>
      <c r="TAZ16" s="175"/>
      <c r="TBA16" s="175"/>
      <c r="TBB16" s="175"/>
      <c r="TBC16" s="175"/>
      <c r="TBD16" s="175"/>
      <c r="TBE16" s="175"/>
      <c r="TBF16" s="175"/>
      <c r="TBG16" s="175"/>
      <c r="TBH16" s="175"/>
      <c r="TBI16" s="175"/>
      <c r="TBJ16" s="175"/>
      <c r="TBK16" s="175"/>
      <c r="TBL16" s="175"/>
      <c r="TBM16" s="175"/>
      <c r="TBN16" s="175"/>
      <c r="TBO16" s="175"/>
      <c r="TBP16" s="175"/>
      <c r="TBQ16" s="175"/>
      <c r="TBR16" s="175"/>
      <c r="TBS16" s="175"/>
      <c r="TBT16" s="175"/>
      <c r="TBU16" s="175"/>
      <c r="TBV16" s="175"/>
      <c r="TBW16" s="175"/>
      <c r="TBX16" s="175"/>
      <c r="TBY16" s="175"/>
      <c r="TBZ16" s="175"/>
      <c r="TCA16" s="175"/>
      <c r="TCB16" s="175"/>
      <c r="TCC16" s="175"/>
      <c r="TCD16" s="175"/>
      <c r="TCE16" s="175"/>
      <c r="TCF16" s="175"/>
      <c r="TCG16" s="175"/>
      <c r="TCH16" s="175"/>
      <c r="TCI16" s="175"/>
      <c r="TCJ16" s="175"/>
      <c r="TCK16" s="175"/>
      <c r="TCL16" s="175"/>
      <c r="TCM16" s="175"/>
      <c r="TCN16" s="175"/>
      <c r="TCO16" s="175"/>
      <c r="TCP16" s="175"/>
      <c r="TCQ16" s="175"/>
      <c r="TCR16" s="175"/>
      <c r="TCS16" s="175"/>
      <c r="TCT16" s="175"/>
      <c r="TCU16" s="175"/>
      <c r="TCV16" s="175"/>
      <c r="TCW16" s="175"/>
      <c r="TCX16" s="175"/>
      <c r="TCY16" s="175"/>
      <c r="TCZ16" s="175"/>
      <c r="TDA16" s="175"/>
      <c r="TDB16" s="175"/>
      <c r="TDC16" s="175"/>
      <c r="TDD16" s="175"/>
      <c r="TDE16" s="175"/>
      <c r="TDF16" s="175"/>
      <c r="TDG16" s="175"/>
      <c r="TDH16" s="175"/>
      <c r="TDI16" s="175"/>
      <c r="TDJ16" s="175"/>
      <c r="TDK16" s="175"/>
      <c r="TDL16" s="175"/>
      <c r="TDM16" s="175"/>
      <c r="TDN16" s="175"/>
      <c r="TDO16" s="175"/>
      <c r="TDP16" s="175"/>
      <c r="TDQ16" s="175"/>
      <c r="TDR16" s="175"/>
      <c r="TDS16" s="175"/>
      <c r="TDT16" s="175"/>
      <c r="TDU16" s="175"/>
      <c r="TDV16" s="175"/>
      <c r="TDW16" s="175"/>
      <c r="TDX16" s="175"/>
      <c r="TDY16" s="175"/>
      <c r="TDZ16" s="175"/>
      <c r="TEA16" s="175"/>
      <c r="TEB16" s="175"/>
      <c r="TEC16" s="175"/>
      <c r="TED16" s="175"/>
      <c r="TEE16" s="175"/>
      <c r="TEF16" s="175"/>
      <c r="TEG16" s="175"/>
      <c r="TEH16" s="175"/>
      <c r="TEI16" s="175"/>
      <c r="TEJ16" s="175"/>
      <c r="TEK16" s="175"/>
      <c r="TEL16" s="175"/>
      <c r="TEM16" s="175"/>
      <c r="TEN16" s="175"/>
      <c r="TEO16" s="175"/>
      <c r="TEP16" s="175"/>
      <c r="TEQ16" s="175"/>
      <c r="TER16" s="175"/>
      <c r="TES16" s="175"/>
      <c r="TET16" s="175"/>
      <c r="TEU16" s="175"/>
      <c r="TEV16" s="175"/>
      <c r="TEW16" s="175"/>
      <c r="TEX16" s="175"/>
      <c r="TEY16" s="175"/>
      <c r="TEZ16" s="175"/>
      <c r="TFA16" s="175"/>
      <c r="TFB16" s="175"/>
      <c r="TFC16" s="175"/>
      <c r="TFD16" s="175"/>
      <c r="TFE16" s="175"/>
      <c r="TFF16" s="175"/>
      <c r="TFG16" s="175"/>
      <c r="TFH16" s="175"/>
      <c r="TFI16" s="175"/>
      <c r="TFJ16" s="175"/>
      <c r="TFK16" s="175"/>
      <c r="TFL16" s="175"/>
      <c r="TFM16" s="175"/>
      <c r="TFN16" s="175"/>
      <c r="TFO16" s="175"/>
      <c r="TFP16" s="175"/>
      <c r="TFQ16" s="175"/>
      <c r="TFR16" s="175"/>
      <c r="TFS16" s="175"/>
      <c r="TFT16" s="175"/>
      <c r="TFU16" s="175"/>
      <c r="TFV16" s="175"/>
      <c r="TFW16" s="175"/>
      <c r="TFX16" s="175"/>
      <c r="TFY16" s="175"/>
      <c r="TFZ16" s="175"/>
      <c r="TGA16" s="175"/>
      <c r="TGB16" s="175"/>
      <c r="TGC16" s="175"/>
      <c r="TGD16" s="175"/>
      <c r="TGE16" s="175"/>
      <c r="TGF16" s="175"/>
      <c r="TGG16" s="175"/>
      <c r="TGH16" s="175"/>
      <c r="TGI16" s="175"/>
      <c r="TGJ16" s="175"/>
      <c r="TGK16" s="175"/>
      <c r="TGL16" s="175"/>
      <c r="TGM16" s="175"/>
      <c r="TGN16" s="175"/>
      <c r="TGO16" s="175"/>
      <c r="TGP16" s="175"/>
      <c r="TGQ16" s="175"/>
      <c r="TGR16" s="175"/>
      <c r="TGS16" s="175"/>
      <c r="TGT16" s="175"/>
      <c r="TGU16" s="175"/>
      <c r="TGV16" s="175"/>
      <c r="TGW16" s="175"/>
      <c r="TGX16" s="175"/>
      <c r="TGY16" s="175"/>
      <c r="TGZ16" s="175"/>
      <c r="THA16" s="175"/>
      <c r="THB16" s="175"/>
      <c r="THC16" s="175"/>
      <c r="THD16" s="175"/>
      <c r="THE16" s="175"/>
      <c r="THF16" s="175"/>
      <c r="THG16" s="175"/>
      <c r="THH16" s="175"/>
      <c r="THI16" s="175"/>
      <c r="THJ16" s="175"/>
      <c r="THK16" s="175"/>
      <c r="THL16" s="175"/>
      <c r="THM16" s="175"/>
      <c r="THN16" s="175"/>
      <c r="THO16" s="175"/>
      <c r="THP16" s="175"/>
      <c r="THQ16" s="175"/>
      <c r="THR16" s="175"/>
      <c r="THS16" s="175"/>
      <c r="THT16" s="175"/>
      <c r="THU16" s="175"/>
      <c r="THV16" s="175"/>
      <c r="THW16" s="175"/>
      <c r="THX16" s="175"/>
      <c r="THY16" s="175"/>
      <c r="THZ16" s="175"/>
      <c r="TIA16" s="175"/>
      <c r="TIB16" s="175"/>
      <c r="TIC16" s="175"/>
      <c r="TID16" s="175"/>
      <c r="TIE16" s="175"/>
      <c r="TIF16" s="175"/>
      <c r="TIG16" s="175"/>
      <c r="TIH16" s="175"/>
      <c r="TII16" s="175"/>
      <c r="TIJ16" s="175"/>
      <c r="TIK16" s="175"/>
      <c r="TIL16" s="175"/>
      <c r="TIM16" s="175"/>
      <c r="TIN16" s="175"/>
      <c r="TIO16" s="175"/>
      <c r="TIP16" s="175"/>
      <c r="TIQ16" s="175"/>
      <c r="TIR16" s="175"/>
      <c r="TIS16" s="175"/>
      <c r="TIT16" s="175"/>
      <c r="TIU16" s="175"/>
      <c r="TIV16" s="175"/>
      <c r="TIW16" s="175"/>
      <c r="TIX16" s="175"/>
      <c r="TIY16" s="175"/>
      <c r="TIZ16" s="175"/>
      <c r="TJA16" s="175"/>
      <c r="TJB16" s="175"/>
      <c r="TJC16" s="175"/>
      <c r="TJD16" s="175"/>
      <c r="TJE16" s="175"/>
      <c r="TJF16" s="175"/>
      <c r="TJG16" s="175"/>
      <c r="TJH16" s="175"/>
      <c r="TJI16" s="175"/>
      <c r="TJJ16" s="175"/>
      <c r="TJK16" s="175"/>
      <c r="TJL16" s="175"/>
      <c r="TJM16" s="175"/>
      <c r="TJN16" s="175"/>
      <c r="TJO16" s="175"/>
      <c r="TJP16" s="175"/>
      <c r="TJQ16" s="175"/>
      <c r="TJR16" s="175"/>
      <c r="TJS16" s="175"/>
      <c r="TJT16" s="175"/>
      <c r="TJU16" s="175"/>
      <c r="TJV16" s="175"/>
      <c r="TJW16" s="175"/>
      <c r="TJX16" s="175"/>
      <c r="TJY16" s="175"/>
      <c r="TJZ16" s="175"/>
      <c r="TKA16" s="175"/>
      <c r="TKB16" s="175"/>
      <c r="TKC16" s="175"/>
      <c r="TKD16" s="175"/>
      <c r="TKE16" s="175"/>
      <c r="TKF16" s="175"/>
      <c r="TKG16" s="175"/>
      <c r="TKH16" s="175"/>
      <c r="TKI16" s="175"/>
      <c r="TKJ16" s="175"/>
      <c r="TKK16" s="175"/>
      <c r="TKL16" s="175"/>
      <c r="TKM16" s="175"/>
      <c r="TKN16" s="175"/>
      <c r="TKO16" s="175"/>
      <c r="TKP16" s="175"/>
      <c r="TKQ16" s="175"/>
      <c r="TKR16" s="175"/>
      <c r="TKS16" s="175"/>
      <c r="TKT16" s="175"/>
      <c r="TKU16" s="175"/>
      <c r="TKV16" s="175"/>
      <c r="TKW16" s="175"/>
      <c r="TKX16" s="175"/>
      <c r="TKY16" s="175"/>
      <c r="TKZ16" s="175"/>
      <c r="TLA16" s="175"/>
      <c r="TLB16" s="175"/>
      <c r="TLC16" s="175"/>
      <c r="TLD16" s="175"/>
      <c r="TLE16" s="175"/>
      <c r="TLF16" s="175"/>
      <c r="TLG16" s="175"/>
      <c r="TLH16" s="175"/>
      <c r="TLI16" s="175"/>
      <c r="TLJ16" s="175"/>
      <c r="TLK16" s="175"/>
      <c r="TLL16" s="175"/>
      <c r="TLM16" s="175"/>
      <c r="TLN16" s="175"/>
      <c r="TLO16" s="175"/>
      <c r="TLP16" s="175"/>
      <c r="TLQ16" s="175"/>
      <c r="TLR16" s="175"/>
      <c r="TLS16" s="175"/>
      <c r="TLT16" s="175"/>
      <c r="TLU16" s="175"/>
      <c r="TLV16" s="175"/>
      <c r="TLW16" s="175"/>
      <c r="TLX16" s="175"/>
      <c r="TLY16" s="175"/>
      <c r="TLZ16" s="175"/>
      <c r="TMA16" s="175"/>
      <c r="TMB16" s="175"/>
      <c r="TMC16" s="175"/>
      <c r="TMD16" s="175"/>
      <c r="TME16" s="175"/>
      <c r="TMF16" s="175"/>
      <c r="TMG16" s="175"/>
      <c r="TMH16" s="175"/>
      <c r="TMI16" s="175"/>
      <c r="TMJ16" s="175"/>
      <c r="TMK16" s="175"/>
      <c r="TML16" s="175"/>
      <c r="TMM16" s="175"/>
      <c r="TMN16" s="175"/>
      <c r="TMO16" s="175"/>
      <c r="TMP16" s="175"/>
      <c r="TMQ16" s="175"/>
      <c r="TMR16" s="175"/>
      <c r="TMS16" s="175"/>
      <c r="TMT16" s="175"/>
      <c r="TMU16" s="175"/>
      <c r="TMV16" s="175"/>
      <c r="TMW16" s="175"/>
      <c r="TMX16" s="175"/>
      <c r="TMY16" s="175"/>
      <c r="TMZ16" s="175"/>
      <c r="TNA16" s="175"/>
      <c r="TNB16" s="175"/>
      <c r="TNC16" s="175"/>
      <c r="TND16" s="175"/>
      <c r="TNE16" s="175"/>
      <c r="TNF16" s="175"/>
      <c r="TNG16" s="175"/>
      <c r="TNH16" s="175"/>
      <c r="TNI16" s="175"/>
      <c r="TNJ16" s="175"/>
      <c r="TNK16" s="175"/>
      <c r="TNL16" s="175"/>
      <c r="TNM16" s="175"/>
      <c r="TNN16" s="175"/>
      <c r="TNO16" s="175"/>
      <c r="TNP16" s="175"/>
      <c r="TNQ16" s="175"/>
      <c r="TNR16" s="175"/>
      <c r="TNS16" s="175"/>
      <c r="TNT16" s="175"/>
      <c r="TNU16" s="175"/>
      <c r="TNV16" s="175"/>
      <c r="TNW16" s="175"/>
      <c r="TNX16" s="175"/>
      <c r="TNY16" s="175"/>
      <c r="TNZ16" s="175"/>
      <c r="TOA16" s="175"/>
      <c r="TOB16" s="175"/>
      <c r="TOC16" s="175"/>
      <c r="TOD16" s="175"/>
      <c r="TOE16" s="175"/>
      <c r="TOF16" s="175"/>
      <c r="TOG16" s="175"/>
      <c r="TOH16" s="175"/>
      <c r="TOI16" s="175"/>
      <c r="TOJ16" s="175"/>
      <c r="TOK16" s="175"/>
      <c r="TOL16" s="175"/>
      <c r="TOM16" s="175"/>
      <c r="TON16" s="175"/>
      <c r="TOO16" s="175"/>
      <c r="TOP16" s="175"/>
      <c r="TOQ16" s="175"/>
      <c r="TOR16" s="175"/>
      <c r="TOS16" s="175"/>
      <c r="TOT16" s="175"/>
      <c r="TOU16" s="175"/>
      <c r="TOV16" s="175"/>
      <c r="TOW16" s="175"/>
      <c r="TOX16" s="175"/>
      <c r="TOY16" s="175"/>
      <c r="TOZ16" s="175"/>
      <c r="TPA16" s="175"/>
      <c r="TPB16" s="175"/>
      <c r="TPC16" s="175"/>
      <c r="TPD16" s="175"/>
      <c r="TPE16" s="175"/>
      <c r="TPF16" s="175"/>
      <c r="TPG16" s="175"/>
      <c r="TPH16" s="175"/>
      <c r="TPI16" s="175"/>
      <c r="TPJ16" s="175"/>
      <c r="TPK16" s="175"/>
      <c r="TPL16" s="175"/>
      <c r="TPM16" s="175"/>
      <c r="TPN16" s="175"/>
      <c r="TPO16" s="175"/>
      <c r="TPP16" s="175"/>
      <c r="TPQ16" s="175"/>
      <c r="TPR16" s="175"/>
      <c r="TPS16" s="175"/>
      <c r="TPT16" s="175"/>
      <c r="TPU16" s="175"/>
      <c r="TPV16" s="175"/>
      <c r="TPW16" s="175"/>
      <c r="TPX16" s="175"/>
      <c r="TPY16" s="175"/>
      <c r="TPZ16" s="175"/>
      <c r="TQA16" s="175"/>
      <c r="TQB16" s="175"/>
      <c r="TQC16" s="175"/>
      <c r="TQD16" s="175"/>
      <c r="TQE16" s="175"/>
      <c r="TQF16" s="175"/>
      <c r="TQG16" s="175"/>
      <c r="TQH16" s="175"/>
      <c r="TQI16" s="175"/>
      <c r="TQJ16" s="175"/>
      <c r="TQK16" s="175"/>
      <c r="TQL16" s="175"/>
      <c r="TQM16" s="175"/>
      <c r="TQN16" s="175"/>
      <c r="TQO16" s="175"/>
      <c r="TQP16" s="175"/>
      <c r="TQQ16" s="175"/>
      <c r="TQR16" s="175"/>
      <c r="TQS16" s="175"/>
      <c r="TQT16" s="175"/>
      <c r="TQU16" s="175"/>
      <c r="TQV16" s="175"/>
      <c r="TQW16" s="175"/>
      <c r="TQX16" s="175"/>
      <c r="TQY16" s="175"/>
      <c r="TQZ16" s="175"/>
      <c r="TRA16" s="175"/>
      <c r="TRB16" s="175"/>
      <c r="TRC16" s="175"/>
      <c r="TRD16" s="175"/>
      <c r="TRE16" s="175"/>
      <c r="TRF16" s="175"/>
      <c r="TRG16" s="175"/>
      <c r="TRH16" s="175"/>
      <c r="TRI16" s="175"/>
      <c r="TRJ16" s="175"/>
      <c r="TRK16" s="175"/>
      <c r="TRL16" s="175"/>
      <c r="TRM16" s="175"/>
      <c r="TRN16" s="175"/>
      <c r="TRO16" s="175"/>
      <c r="TRP16" s="175"/>
      <c r="TRQ16" s="175"/>
      <c r="TRR16" s="175"/>
      <c r="TRS16" s="175"/>
      <c r="TRT16" s="175"/>
      <c r="TRU16" s="175"/>
      <c r="TRV16" s="175"/>
      <c r="TRW16" s="175"/>
      <c r="TRX16" s="175"/>
      <c r="TRY16" s="175"/>
      <c r="TRZ16" s="175"/>
      <c r="TSA16" s="175"/>
      <c r="TSB16" s="175"/>
      <c r="TSC16" s="175"/>
      <c r="TSD16" s="175"/>
      <c r="TSE16" s="175"/>
      <c r="TSF16" s="175"/>
      <c r="TSG16" s="175"/>
      <c r="TSH16" s="175"/>
      <c r="TSI16" s="175"/>
      <c r="TSJ16" s="175"/>
      <c r="TSK16" s="175"/>
      <c r="TSL16" s="175"/>
      <c r="TSM16" s="175"/>
      <c r="TSN16" s="175"/>
      <c r="TSO16" s="175"/>
      <c r="TSP16" s="175"/>
      <c r="TSQ16" s="175"/>
      <c r="TSR16" s="175"/>
      <c r="TSS16" s="175"/>
      <c r="TST16" s="175"/>
      <c r="TSU16" s="175"/>
      <c r="TSV16" s="175"/>
      <c r="TSW16" s="175"/>
      <c r="TSX16" s="175"/>
      <c r="TSY16" s="175"/>
      <c r="TSZ16" s="175"/>
      <c r="TTA16" s="175"/>
      <c r="TTB16" s="175"/>
      <c r="TTC16" s="175"/>
      <c r="TTD16" s="175"/>
      <c r="TTE16" s="175"/>
      <c r="TTF16" s="175"/>
      <c r="TTG16" s="175"/>
      <c r="TTH16" s="175"/>
      <c r="TTI16" s="175"/>
      <c r="TTJ16" s="175"/>
      <c r="TTK16" s="175"/>
      <c r="TTL16" s="175"/>
      <c r="TTM16" s="175"/>
      <c r="TTN16" s="175"/>
      <c r="TTO16" s="175"/>
      <c r="TTP16" s="175"/>
      <c r="TTQ16" s="175"/>
      <c r="TTR16" s="175"/>
      <c r="TTS16" s="175"/>
      <c r="TTT16" s="175"/>
      <c r="TTU16" s="175"/>
      <c r="TTV16" s="175"/>
      <c r="TTW16" s="175"/>
      <c r="TTX16" s="175"/>
      <c r="TTY16" s="175"/>
      <c r="TTZ16" s="175"/>
      <c r="TUA16" s="175"/>
      <c r="TUB16" s="175"/>
      <c r="TUC16" s="175"/>
      <c r="TUD16" s="175"/>
      <c r="TUE16" s="175"/>
      <c r="TUF16" s="175"/>
      <c r="TUG16" s="175"/>
      <c r="TUH16" s="175"/>
      <c r="TUI16" s="175"/>
      <c r="TUJ16" s="175"/>
      <c r="TUK16" s="175"/>
      <c r="TUL16" s="175"/>
      <c r="TUM16" s="175"/>
      <c r="TUN16" s="175"/>
      <c r="TUO16" s="175"/>
      <c r="TUP16" s="175"/>
      <c r="TUQ16" s="175"/>
      <c r="TUR16" s="175"/>
      <c r="TUS16" s="175"/>
      <c r="TUT16" s="175"/>
      <c r="TUU16" s="175"/>
      <c r="TUV16" s="175"/>
      <c r="TUW16" s="175"/>
      <c r="TUX16" s="175"/>
      <c r="TUY16" s="175"/>
      <c r="TUZ16" s="175"/>
      <c r="TVA16" s="175"/>
      <c r="TVB16" s="175"/>
      <c r="TVC16" s="175"/>
      <c r="TVD16" s="175"/>
      <c r="TVE16" s="175"/>
      <c r="TVF16" s="175"/>
      <c r="TVG16" s="175"/>
      <c r="TVH16" s="175"/>
      <c r="TVI16" s="175"/>
      <c r="TVJ16" s="175"/>
      <c r="TVK16" s="175"/>
      <c r="TVL16" s="175"/>
      <c r="TVM16" s="175"/>
      <c r="TVN16" s="175"/>
      <c r="TVO16" s="175"/>
      <c r="TVP16" s="175"/>
      <c r="TVQ16" s="175"/>
      <c r="TVR16" s="175"/>
      <c r="TVS16" s="175"/>
      <c r="TVT16" s="175"/>
      <c r="TVU16" s="175"/>
      <c r="TVV16" s="175"/>
      <c r="TVW16" s="175"/>
      <c r="TVX16" s="175"/>
      <c r="TVY16" s="175"/>
      <c r="TVZ16" s="175"/>
      <c r="TWA16" s="175"/>
      <c r="TWB16" s="175"/>
      <c r="TWC16" s="175"/>
      <c r="TWD16" s="175"/>
      <c r="TWE16" s="175"/>
      <c r="TWF16" s="175"/>
      <c r="TWG16" s="175"/>
      <c r="TWH16" s="175"/>
      <c r="TWI16" s="175"/>
      <c r="TWJ16" s="175"/>
      <c r="TWK16" s="175"/>
      <c r="TWL16" s="175"/>
      <c r="TWM16" s="175"/>
      <c r="TWN16" s="175"/>
      <c r="TWO16" s="175"/>
      <c r="TWP16" s="175"/>
      <c r="TWQ16" s="175"/>
      <c r="TWR16" s="175"/>
      <c r="TWS16" s="175"/>
      <c r="TWT16" s="175"/>
      <c r="TWU16" s="175"/>
      <c r="TWV16" s="175"/>
      <c r="TWW16" s="175"/>
      <c r="TWX16" s="175"/>
      <c r="TWY16" s="175"/>
      <c r="TWZ16" s="175"/>
      <c r="TXA16" s="175"/>
      <c r="TXB16" s="175"/>
      <c r="TXC16" s="175"/>
      <c r="TXD16" s="175"/>
      <c r="TXE16" s="175"/>
      <c r="TXF16" s="175"/>
      <c r="TXG16" s="175"/>
      <c r="TXH16" s="175"/>
      <c r="TXI16" s="175"/>
      <c r="TXJ16" s="175"/>
      <c r="TXK16" s="175"/>
      <c r="TXL16" s="175"/>
      <c r="TXM16" s="175"/>
      <c r="TXN16" s="175"/>
      <c r="TXO16" s="175"/>
      <c r="TXP16" s="175"/>
      <c r="TXQ16" s="175"/>
      <c r="TXR16" s="175"/>
      <c r="TXS16" s="175"/>
      <c r="TXT16" s="175"/>
      <c r="TXU16" s="175"/>
      <c r="TXV16" s="175"/>
      <c r="TXW16" s="175"/>
      <c r="TXX16" s="175"/>
      <c r="TXY16" s="175"/>
      <c r="TXZ16" s="175"/>
      <c r="TYA16" s="175"/>
      <c r="TYB16" s="175"/>
      <c r="TYC16" s="175"/>
      <c r="TYD16" s="175"/>
      <c r="TYE16" s="175"/>
      <c r="TYF16" s="175"/>
      <c r="TYG16" s="175"/>
      <c r="TYH16" s="175"/>
      <c r="TYI16" s="175"/>
      <c r="TYJ16" s="175"/>
      <c r="TYK16" s="175"/>
      <c r="TYL16" s="175"/>
      <c r="TYM16" s="175"/>
      <c r="TYN16" s="175"/>
      <c r="TYO16" s="175"/>
      <c r="TYP16" s="175"/>
      <c r="TYQ16" s="175"/>
      <c r="TYR16" s="175"/>
      <c r="TYS16" s="175"/>
      <c r="TYT16" s="175"/>
      <c r="TYU16" s="175"/>
      <c r="TYV16" s="175"/>
      <c r="TYW16" s="175"/>
      <c r="TYX16" s="175"/>
      <c r="TYY16" s="175"/>
      <c r="TYZ16" s="175"/>
      <c r="TZA16" s="175"/>
      <c r="TZB16" s="175"/>
      <c r="TZC16" s="175"/>
      <c r="TZD16" s="175"/>
      <c r="TZE16" s="175"/>
      <c r="TZF16" s="175"/>
      <c r="TZG16" s="175"/>
      <c r="TZH16" s="175"/>
      <c r="TZI16" s="175"/>
      <c r="TZJ16" s="175"/>
      <c r="TZK16" s="175"/>
      <c r="TZL16" s="175"/>
      <c r="TZM16" s="175"/>
      <c r="TZN16" s="175"/>
      <c r="TZO16" s="175"/>
      <c r="TZP16" s="175"/>
      <c r="TZQ16" s="175"/>
      <c r="TZR16" s="175"/>
      <c r="TZS16" s="175"/>
      <c r="TZT16" s="175"/>
      <c r="TZU16" s="175"/>
      <c r="TZV16" s="175"/>
      <c r="TZW16" s="175"/>
      <c r="TZX16" s="175"/>
      <c r="TZY16" s="175"/>
      <c r="TZZ16" s="175"/>
      <c r="UAA16" s="175"/>
      <c r="UAB16" s="175"/>
      <c r="UAC16" s="175"/>
      <c r="UAD16" s="175"/>
      <c r="UAE16" s="175"/>
      <c r="UAF16" s="175"/>
      <c r="UAG16" s="175"/>
      <c r="UAH16" s="175"/>
      <c r="UAI16" s="175"/>
      <c r="UAJ16" s="175"/>
      <c r="UAK16" s="175"/>
      <c r="UAL16" s="175"/>
      <c r="UAM16" s="175"/>
      <c r="UAN16" s="175"/>
      <c r="UAO16" s="175"/>
      <c r="UAP16" s="175"/>
      <c r="UAQ16" s="175"/>
      <c r="UAR16" s="175"/>
      <c r="UAS16" s="175"/>
      <c r="UAT16" s="175"/>
      <c r="UAU16" s="175"/>
      <c r="UAV16" s="175"/>
      <c r="UAW16" s="175"/>
      <c r="UAX16" s="175"/>
      <c r="UAY16" s="175"/>
      <c r="UAZ16" s="175"/>
      <c r="UBA16" s="175"/>
      <c r="UBB16" s="175"/>
      <c r="UBC16" s="175"/>
      <c r="UBD16" s="175"/>
      <c r="UBE16" s="175"/>
      <c r="UBF16" s="175"/>
      <c r="UBG16" s="175"/>
      <c r="UBH16" s="175"/>
      <c r="UBI16" s="175"/>
      <c r="UBJ16" s="175"/>
      <c r="UBK16" s="175"/>
      <c r="UBL16" s="175"/>
      <c r="UBM16" s="175"/>
      <c r="UBN16" s="175"/>
      <c r="UBO16" s="175"/>
      <c r="UBP16" s="175"/>
      <c r="UBQ16" s="175"/>
      <c r="UBR16" s="175"/>
      <c r="UBS16" s="175"/>
      <c r="UBT16" s="175"/>
      <c r="UBU16" s="175"/>
      <c r="UBV16" s="175"/>
      <c r="UBW16" s="175"/>
      <c r="UBX16" s="175"/>
      <c r="UBY16" s="175"/>
      <c r="UBZ16" s="175"/>
      <c r="UCA16" s="175"/>
      <c r="UCB16" s="175"/>
      <c r="UCC16" s="175"/>
      <c r="UCD16" s="175"/>
      <c r="UCE16" s="175"/>
      <c r="UCF16" s="175"/>
      <c r="UCG16" s="175"/>
      <c r="UCH16" s="175"/>
      <c r="UCI16" s="175"/>
      <c r="UCJ16" s="175"/>
      <c r="UCK16" s="175"/>
      <c r="UCL16" s="175"/>
      <c r="UCM16" s="175"/>
      <c r="UCN16" s="175"/>
      <c r="UCO16" s="175"/>
      <c r="UCP16" s="175"/>
      <c r="UCQ16" s="175"/>
      <c r="UCR16" s="175"/>
      <c r="UCS16" s="175"/>
      <c r="UCT16" s="175"/>
      <c r="UCU16" s="175"/>
      <c r="UCV16" s="175"/>
      <c r="UCW16" s="175"/>
      <c r="UCX16" s="175"/>
      <c r="UCY16" s="175"/>
      <c r="UCZ16" s="175"/>
      <c r="UDA16" s="175"/>
      <c r="UDB16" s="175"/>
      <c r="UDC16" s="175"/>
      <c r="UDD16" s="175"/>
      <c r="UDE16" s="175"/>
      <c r="UDF16" s="175"/>
      <c r="UDG16" s="175"/>
      <c r="UDH16" s="175"/>
      <c r="UDI16" s="175"/>
      <c r="UDJ16" s="175"/>
      <c r="UDK16" s="175"/>
      <c r="UDL16" s="175"/>
      <c r="UDM16" s="175"/>
      <c r="UDN16" s="175"/>
      <c r="UDO16" s="175"/>
      <c r="UDP16" s="175"/>
      <c r="UDQ16" s="175"/>
      <c r="UDR16" s="175"/>
      <c r="UDS16" s="175"/>
      <c r="UDT16" s="175"/>
      <c r="UDU16" s="175"/>
      <c r="UDV16" s="175"/>
      <c r="UDW16" s="175"/>
      <c r="UDX16" s="175"/>
      <c r="UDY16" s="175"/>
      <c r="UDZ16" s="175"/>
      <c r="UEA16" s="175"/>
      <c r="UEB16" s="175"/>
      <c r="UEC16" s="175"/>
      <c r="UED16" s="175"/>
      <c r="UEE16" s="175"/>
      <c r="UEF16" s="175"/>
      <c r="UEG16" s="175"/>
      <c r="UEH16" s="175"/>
      <c r="UEI16" s="175"/>
      <c r="UEJ16" s="175"/>
      <c r="UEK16" s="175"/>
      <c r="UEL16" s="175"/>
      <c r="UEM16" s="175"/>
      <c r="UEN16" s="175"/>
      <c r="UEO16" s="175"/>
      <c r="UEP16" s="175"/>
      <c r="UEQ16" s="175"/>
      <c r="UER16" s="175"/>
      <c r="UES16" s="175"/>
      <c r="UET16" s="175"/>
      <c r="UEU16" s="175"/>
      <c r="UEV16" s="175"/>
      <c r="UEW16" s="175"/>
      <c r="UEX16" s="175"/>
      <c r="UEY16" s="175"/>
      <c r="UEZ16" s="175"/>
      <c r="UFA16" s="175"/>
      <c r="UFB16" s="175"/>
      <c r="UFC16" s="175"/>
      <c r="UFD16" s="175"/>
      <c r="UFE16" s="175"/>
      <c r="UFF16" s="175"/>
      <c r="UFG16" s="175"/>
      <c r="UFH16" s="175"/>
      <c r="UFI16" s="175"/>
      <c r="UFJ16" s="175"/>
      <c r="UFK16" s="175"/>
      <c r="UFL16" s="175"/>
      <c r="UFM16" s="175"/>
      <c r="UFN16" s="175"/>
      <c r="UFO16" s="175"/>
      <c r="UFP16" s="175"/>
      <c r="UFQ16" s="175"/>
      <c r="UFR16" s="175"/>
      <c r="UFS16" s="175"/>
      <c r="UFT16" s="175"/>
      <c r="UFU16" s="175"/>
      <c r="UFV16" s="175"/>
      <c r="UFW16" s="175"/>
      <c r="UFX16" s="175"/>
      <c r="UFY16" s="175"/>
      <c r="UFZ16" s="175"/>
      <c r="UGA16" s="175"/>
      <c r="UGB16" s="175"/>
      <c r="UGC16" s="175"/>
      <c r="UGD16" s="175"/>
      <c r="UGE16" s="175"/>
      <c r="UGF16" s="175"/>
      <c r="UGG16" s="175"/>
      <c r="UGH16" s="175"/>
      <c r="UGI16" s="175"/>
      <c r="UGJ16" s="175"/>
      <c r="UGK16" s="175"/>
      <c r="UGL16" s="175"/>
      <c r="UGM16" s="175"/>
      <c r="UGN16" s="175"/>
      <c r="UGO16" s="175"/>
      <c r="UGP16" s="175"/>
      <c r="UGQ16" s="175"/>
      <c r="UGR16" s="175"/>
      <c r="UGS16" s="175"/>
      <c r="UGT16" s="175"/>
      <c r="UGU16" s="175"/>
      <c r="UGV16" s="175"/>
      <c r="UGW16" s="175"/>
      <c r="UGX16" s="175"/>
      <c r="UGY16" s="175"/>
      <c r="UGZ16" s="175"/>
      <c r="UHA16" s="175"/>
      <c r="UHB16" s="175"/>
      <c r="UHC16" s="175"/>
      <c r="UHD16" s="175"/>
      <c r="UHE16" s="175"/>
      <c r="UHF16" s="175"/>
      <c r="UHG16" s="175"/>
      <c r="UHH16" s="175"/>
      <c r="UHI16" s="175"/>
      <c r="UHJ16" s="175"/>
      <c r="UHK16" s="175"/>
      <c r="UHL16" s="175"/>
      <c r="UHM16" s="175"/>
      <c r="UHN16" s="175"/>
      <c r="UHO16" s="175"/>
      <c r="UHP16" s="175"/>
      <c r="UHQ16" s="175"/>
      <c r="UHR16" s="175"/>
      <c r="UHS16" s="175"/>
      <c r="UHT16" s="175"/>
      <c r="UHU16" s="175"/>
      <c r="UHV16" s="175"/>
      <c r="UHW16" s="175"/>
      <c r="UHX16" s="175"/>
      <c r="UHY16" s="175"/>
      <c r="UHZ16" s="175"/>
      <c r="UIA16" s="175"/>
      <c r="UIB16" s="175"/>
      <c r="UIC16" s="175"/>
      <c r="UID16" s="175"/>
      <c r="UIE16" s="175"/>
      <c r="UIF16" s="175"/>
      <c r="UIG16" s="175"/>
      <c r="UIH16" s="175"/>
      <c r="UII16" s="175"/>
      <c r="UIJ16" s="175"/>
      <c r="UIK16" s="175"/>
      <c r="UIL16" s="175"/>
      <c r="UIM16" s="175"/>
      <c r="UIN16" s="175"/>
      <c r="UIO16" s="175"/>
      <c r="UIP16" s="175"/>
      <c r="UIQ16" s="175"/>
      <c r="UIR16" s="175"/>
      <c r="UIS16" s="175"/>
      <c r="UIT16" s="175"/>
      <c r="UIU16" s="175"/>
      <c r="UIV16" s="175"/>
      <c r="UIW16" s="175"/>
      <c r="UIX16" s="175"/>
      <c r="UIY16" s="175"/>
      <c r="UIZ16" s="175"/>
      <c r="UJA16" s="175"/>
      <c r="UJB16" s="175"/>
      <c r="UJC16" s="175"/>
      <c r="UJD16" s="175"/>
      <c r="UJE16" s="175"/>
      <c r="UJF16" s="175"/>
      <c r="UJG16" s="175"/>
      <c r="UJH16" s="175"/>
      <c r="UJI16" s="175"/>
      <c r="UJJ16" s="175"/>
      <c r="UJK16" s="175"/>
      <c r="UJL16" s="175"/>
      <c r="UJM16" s="175"/>
      <c r="UJN16" s="175"/>
      <c r="UJO16" s="175"/>
      <c r="UJP16" s="175"/>
      <c r="UJQ16" s="175"/>
      <c r="UJR16" s="175"/>
      <c r="UJS16" s="175"/>
      <c r="UJT16" s="175"/>
      <c r="UJU16" s="175"/>
      <c r="UJV16" s="175"/>
      <c r="UJW16" s="175"/>
      <c r="UJX16" s="175"/>
      <c r="UJY16" s="175"/>
      <c r="UJZ16" s="175"/>
      <c r="UKA16" s="175"/>
      <c r="UKB16" s="175"/>
      <c r="UKC16" s="175"/>
      <c r="UKD16" s="175"/>
      <c r="UKE16" s="175"/>
      <c r="UKF16" s="175"/>
      <c r="UKG16" s="175"/>
      <c r="UKH16" s="175"/>
      <c r="UKI16" s="175"/>
      <c r="UKJ16" s="175"/>
      <c r="UKK16" s="175"/>
      <c r="UKL16" s="175"/>
      <c r="UKM16" s="175"/>
      <c r="UKN16" s="175"/>
      <c r="UKO16" s="175"/>
      <c r="UKP16" s="175"/>
      <c r="UKQ16" s="175"/>
      <c r="UKR16" s="175"/>
      <c r="UKS16" s="175"/>
      <c r="UKT16" s="175"/>
      <c r="UKU16" s="175"/>
      <c r="UKV16" s="175"/>
      <c r="UKW16" s="175"/>
      <c r="UKX16" s="175"/>
      <c r="UKY16" s="175"/>
      <c r="UKZ16" s="175"/>
      <c r="ULA16" s="175"/>
      <c r="ULB16" s="175"/>
      <c r="ULC16" s="175"/>
      <c r="ULD16" s="175"/>
      <c r="ULE16" s="175"/>
      <c r="ULF16" s="175"/>
      <c r="ULG16" s="175"/>
      <c r="ULH16" s="175"/>
      <c r="ULI16" s="175"/>
      <c r="ULJ16" s="175"/>
      <c r="ULK16" s="175"/>
      <c r="ULL16" s="175"/>
      <c r="ULM16" s="175"/>
      <c r="ULN16" s="175"/>
      <c r="ULO16" s="175"/>
      <c r="ULP16" s="175"/>
      <c r="ULQ16" s="175"/>
      <c r="ULR16" s="175"/>
      <c r="ULS16" s="175"/>
      <c r="ULT16" s="175"/>
      <c r="ULU16" s="175"/>
      <c r="ULV16" s="175"/>
      <c r="ULW16" s="175"/>
      <c r="ULX16" s="175"/>
      <c r="ULY16" s="175"/>
      <c r="ULZ16" s="175"/>
      <c r="UMA16" s="175"/>
      <c r="UMB16" s="175"/>
      <c r="UMC16" s="175"/>
      <c r="UMD16" s="175"/>
      <c r="UME16" s="175"/>
      <c r="UMF16" s="175"/>
      <c r="UMG16" s="175"/>
      <c r="UMH16" s="175"/>
      <c r="UMI16" s="175"/>
      <c r="UMJ16" s="175"/>
      <c r="UMK16" s="175"/>
      <c r="UML16" s="175"/>
      <c r="UMM16" s="175"/>
      <c r="UMN16" s="175"/>
      <c r="UMO16" s="175"/>
      <c r="UMP16" s="175"/>
      <c r="UMQ16" s="175"/>
      <c r="UMR16" s="175"/>
      <c r="UMS16" s="175"/>
      <c r="UMT16" s="175"/>
      <c r="UMU16" s="175"/>
      <c r="UMV16" s="175"/>
      <c r="UMW16" s="175"/>
      <c r="UMX16" s="175"/>
      <c r="UMY16" s="175"/>
      <c r="UMZ16" s="175"/>
      <c r="UNA16" s="175"/>
      <c r="UNB16" s="175"/>
      <c r="UNC16" s="175"/>
      <c r="UND16" s="175"/>
      <c r="UNE16" s="175"/>
      <c r="UNF16" s="175"/>
      <c r="UNG16" s="175"/>
      <c r="UNH16" s="175"/>
      <c r="UNI16" s="175"/>
      <c r="UNJ16" s="175"/>
      <c r="UNK16" s="175"/>
      <c r="UNL16" s="175"/>
      <c r="UNM16" s="175"/>
      <c r="UNN16" s="175"/>
      <c r="UNO16" s="175"/>
      <c r="UNP16" s="175"/>
      <c r="UNQ16" s="175"/>
      <c r="UNR16" s="175"/>
      <c r="UNS16" s="175"/>
      <c r="UNT16" s="175"/>
      <c r="UNU16" s="175"/>
      <c r="UNV16" s="175"/>
      <c r="UNW16" s="175"/>
      <c r="UNX16" s="175"/>
      <c r="UNY16" s="175"/>
      <c r="UNZ16" s="175"/>
      <c r="UOA16" s="175"/>
      <c r="UOB16" s="175"/>
      <c r="UOC16" s="175"/>
      <c r="UOD16" s="175"/>
      <c r="UOE16" s="175"/>
      <c r="UOF16" s="175"/>
      <c r="UOG16" s="175"/>
      <c r="UOH16" s="175"/>
      <c r="UOI16" s="175"/>
      <c r="UOJ16" s="175"/>
      <c r="UOK16" s="175"/>
      <c r="UOL16" s="175"/>
      <c r="UOM16" s="175"/>
      <c r="UON16" s="175"/>
      <c r="UOO16" s="175"/>
      <c r="UOP16" s="175"/>
      <c r="UOQ16" s="175"/>
      <c r="UOR16" s="175"/>
      <c r="UOS16" s="175"/>
      <c r="UOT16" s="175"/>
      <c r="UOU16" s="175"/>
      <c r="UOV16" s="175"/>
      <c r="UOW16" s="175"/>
      <c r="UOX16" s="175"/>
      <c r="UOY16" s="175"/>
      <c r="UOZ16" s="175"/>
      <c r="UPA16" s="175"/>
      <c r="UPB16" s="175"/>
      <c r="UPC16" s="175"/>
      <c r="UPD16" s="175"/>
      <c r="UPE16" s="175"/>
      <c r="UPF16" s="175"/>
      <c r="UPG16" s="175"/>
      <c r="UPH16" s="175"/>
      <c r="UPI16" s="175"/>
      <c r="UPJ16" s="175"/>
      <c r="UPK16" s="175"/>
      <c r="UPL16" s="175"/>
      <c r="UPM16" s="175"/>
      <c r="UPN16" s="175"/>
      <c r="UPO16" s="175"/>
      <c r="UPP16" s="175"/>
      <c r="UPQ16" s="175"/>
      <c r="UPR16" s="175"/>
      <c r="UPS16" s="175"/>
      <c r="UPT16" s="175"/>
      <c r="UPU16" s="175"/>
      <c r="UPV16" s="175"/>
      <c r="UPW16" s="175"/>
      <c r="UPX16" s="175"/>
      <c r="UPY16" s="175"/>
      <c r="UPZ16" s="175"/>
      <c r="UQA16" s="175"/>
      <c r="UQB16" s="175"/>
      <c r="UQC16" s="175"/>
      <c r="UQD16" s="175"/>
      <c r="UQE16" s="175"/>
      <c r="UQF16" s="175"/>
      <c r="UQG16" s="175"/>
      <c r="UQH16" s="175"/>
      <c r="UQI16" s="175"/>
      <c r="UQJ16" s="175"/>
      <c r="UQK16" s="175"/>
      <c r="UQL16" s="175"/>
      <c r="UQM16" s="175"/>
      <c r="UQN16" s="175"/>
      <c r="UQO16" s="175"/>
      <c r="UQP16" s="175"/>
      <c r="UQQ16" s="175"/>
      <c r="UQR16" s="175"/>
      <c r="UQS16" s="175"/>
      <c r="UQT16" s="175"/>
      <c r="UQU16" s="175"/>
      <c r="UQV16" s="175"/>
      <c r="UQW16" s="175"/>
      <c r="UQX16" s="175"/>
      <c r="UQY16" s="175"/>
      <c r="UQZ16" s="175"/>
      <c r="URA16" s="175"/>
      <c r="URB16" s="175"/>
      <c r="URC16" s="175"/>
      <c r="URD16" s="175"/>
      <c r="URE16" s="175"/>
      <c r="URF16" s="175"/>
      <c r="URG16" s="175"/>
      <c r="URH16" s="175"/>
      <c r="URI16" s="175"/>
      <c r="URJ16" s="175"/>
      <c r="URK16" s="175"/>
      <c r="URL16" s="175"/>
      <c r="URM16" s="175"/>
      <c r="URN16" s="175"/>
      <c r="URO16" s="175"/>
      <c r="URP16" s="175"/>
      <c r="URQ16" s="175"/>
      <c r="URR16" s="175"/>
      <c r="URS16" s="175"/>
      <c r="URT16" s="175"/>
      <c r="URU16" s="175"/>
      <c r="URV16" s="175"/>
      <c r="URW16" s="175"/>
      <c r="URX16" s="175"/>
      <c r="URY16" s="175"/>
      <c r="URZ16" s="175"/>
      <c r="USA16" s="175"/>
      <c r="USB16" s="175"/>
      <c r="USC16" s="175"/>
      <c r="USD16" s="175"/>
      <c r="USE16" s="175"/>
      <c r="USF16" s="175"/>
      <c r="USG16" s="175"/>
      <c r="USH16" s="175"/>
      <c r="USI16" s="175"/>
      <c r="USJ16" s="175"/>
      <c r="USK16" s="175"/>
      <c r="USL16" s="175"/>
      <c r="USM16" s="175"/>
      <c r="USN16" s="175"/>
      <c r="USO16" s="175"/>
      <c r="USP16" s="175"/>
      <c r="USQ16" s="175"/>
      <c r="USR16" s="175"/>
      <c r="USS16" s="175"/>
      <c r="UST16" s="175"/>
      <c r="USU16" s="175"/>
      <c r="USV16" s="175"/>
      <c r="USW16" s="175"/>
      <c r="USX16" s="175"/>
      <c r="USY16" s="175"/>
      <c r="USZ16" s="175"/>
      <c r="UTA16" s="175"/>
      <c r="UTB16" s="175"/>
      <c r="UTC16" s="175"/>
      <c r="UTD16" s="175"/>
      <c r="UTE16" s="175"/>
      <c r="UTF16" s="175"/>
      <c r="UTG16" s="175"/>
      <c r="UTH16" s="175"/>
      <c r="UTI16" s="175"/>
      <c r="UTJ16" s="175"/>
      <c r="UTK16" s="175"/>
      <c r="UTL16" s="175"/>
      <c r="UTM16" s="175"/>
      <c r="UTN16" s="175"/>
      <c r="UTO16" s="175"/>
      <c r="UTP16" s="175"/>
      <c r="UTQ16" s="175"/>
      <c r="UTR16" s="175"/>
      <c r="UTS16" s="175"/>
      <c r="UTT16" s="175"/>
      <c r="UTU16" s="175"/>
      <c r="UTV16" s="175"/>
      <c r="UTW16" s="175"/>
      <c r="UTX16" s="175"/>
      <c r="UTY16" s="175"/>
      <c r="UTZ16" s="175"/>
      <c r="UUA16" s="175"/>
      <c r="UUB16" s="175"/>
      <c r="UUC16" s="175"/>
      <c r="UUD16" s="175"/>
      <c r="UUE16" s="175"/>
      <c r="UUF16" s="175"/>
      <c r="UUG16" s="175"/>
      <c r="UUH16" s="175"/>
      <c r="UUI16" s="175"/>
      <c r="UUJ16" s="175"/>
      <c r="UUK16" s="175"/>
      <c r="UUL16" s="175"/>
      <c r="UUM16" s="175"/>
      <c r="UUN16" s="175"/>
      <c r="UUO16" s="175"/>
      <c r="UUP16" s="175"/>
      <c r="UUQ16" s="175"/>
      <c r="UUR16" s="175"/>
      <c r="UUS16" s="175"/>
      <c r="UUT16" s="175"/>
      <c r="UUU16" s="175"/>
      <c r="UUV16" s="175"/>
      <c r="UUW16" s="175"/>
      <c r="UUX16" s="175"/>
      <c r="UUY16" s="175"/>
      <c r="UUZ16" s="175"/>
      <c r="UVA16" s="175"/>
      <c r="UVB16" s="175"/>
      <c r="UVC16" s="175"/>
      <c r="UVD16" s="175"/>
      <c r="UVE16" s="175"/>
      <c r="UVF16" s="175"/>
      <c r="UVG16" s="175"/>
      <c r="UVH16" s="175"/>
      <c r="UVI16" s="175"/>
      <c r="UVJ16" s="175"/>
      <c r="UVK16" s="175"/>
      <c r="UVL16" s="175"/>
      <c r="UVM16" s="175"/>
      <c r="UVN16" s="175"/>
      <c r="UVO16" s="175"/>
      <c r="UVP16" s="175"/>
      <c r="UVQ16" s="175"/>
      <c r="UVR16" s="175"/>
      <c r="UVS16" s="175"/>
      <c r="UVT16" s="175"/>
      <c r="UVU16" s="175"/>
      <c r="UVV16" s="175"/>
      <c r="UVW16" s="175"/>
      <c r="UVX16" s="175"/>
      <c r="UVY16" s="175"/>
      <c r="UVZ16" s="175"/>
      <c r="UWA16" s="175"/>
      <c r="UWB16" s="175"/>
      <c r="UWC16" s="175"/>
      <c r="UWD16" s="175"/>
      <c r="UWE16" s="175"/>
      <c r="UWF16" s="175"/>
      <c r="UWG16" s="175"/>
      <c r="UWH16" s="175"/>
      <c r="UWI16" s="175"/>
      <c r="UWJ16" s="175"/>
      <c r="UWK16" s="175"/>
      <c r="UWL16" s="175"/>
      <c r="UWM16" s="175"/>
      <c r="UWN16" s="175"/>
      <c r="UWO16" s="175"/>
      <c r="UWP16" s="175"/>
      <c r="UWQ16" s="175"/>
      <c r="UWR16" s="175"/>
      <c r="UWS16" s="175"/>
      <c r="UWT16" s="175"/>
      <c r="UWU16" s="175"/>
      <c r="UWV16" s="175"/>
      <c r="UWW16" s="175"/>
      <c r="UWX16" s="175"/>
      <c r="UWY16" s="175"/>
      <c r="UWZ16" s="175"/>
      <c r="UXA16" s="175"/>
      <c r="UXB16" s="175"/>
      <c r="UXC16" s="175"/>
      <c r="UXD16" s="175"/>
      <c r="UXE16" s="175"/>
      <c r="UXF16" s="175"/>
      <c r="UXG16" s="175"/>
      <c r="UXH16" s="175"/>
      <c r="UXI16" s="175"/>
      <c r="UXJ16" s="175"/>
      <c r="UXK16" s="175"/>
      <c r="UXL16" s="175"/>
      <c r="UXM16" s="175"/>
      <c r="UXN16" s="175"/>
      <c r="UXO16" s="175"/>
      <c r="UXP16" s="175"/>
      <c r="UXQ16" s="175"/>
      <c r="UXR16" s="175"/>
      <c r="UXS16" s="175"/>
      <c r="UXT16" s="175"/>
      <c r="UXU16" s="175"/>
      <c r="UXV16" s="175"/>
      <c r="UXW16" s="175"/>
      <c r="UXX16" s="175"/>
      <c r="UXY16" s="175"/>
      <c r="UXZ16" s="175"/>
      <c r="UYA16" s="175"/>
      <c r="UYB16" s="175"/>
      <c r="UYC16" s="175"/>
      <c r="UYD16" s="175"/>
      <c r="UYE16" s="175"/>
      <c r="UYF16" s="175"/>
      <c r="UYG16" s="175"/>
      <c r="UYH16" s="175"/>
      <c r="UYI16" s="175"/>
      <c r="UYJ16" s="175"/>
      <c r="UYK16" s="175"/>
      <c r="UYL16" s="175"/>
      <c r="UYM16" s="175"/>
      <c r="UYN16" s="175"/>
      <c r="UYO16" s="175"/>
      <c r="UYP16" s="175"/>
      <c r="UYQ16" s="175"/>
      <c r="UYR16" s="175"/>
      <c r="UYS16" s="175"/>
      <c r="UYT16" s="175"/>
      <c r="UYU16" s="175"/>
      <c r="UYV16" s="175"/>
      <c r="UYW16" s="175"/>
      <c r="UYX16" s="175"/>
      <c r="UYY16" s="175"/>
      <c r="UYZ16" s="175"/>
      <c r="UZA16" s="175"/>
      <c r="UZB16" s="175"/>
      <c r="UZC16" s="175"/>
      <c r="UZD16" s="175"/>
      <c r="UZE16" s="175"/>
      <c r="UZF16" s="175"/>
      <c r="UZG16" s="175"/>
      <c r="UZH16" s="175"/>
      <c r="UZI16" s="175"/>
      <c r="UZJ16" s="175"/>
      <c r="UZK16" s="175"/>
      <c r="UZL16" s="175"/>
      <c r="UZM16" s="175"/>
      <c r="UZN16" s="175"/>
      <c r="UZO16" s="175"/>
      <c r="UZP16" s="175"/>
      <c r="UZQ16" s="175"/>
      <c r="UZR16" s="175"/>
      <c r="UZS16" s="175"/>
      <c r="UZT16" s="175"/>
      <c r="UZU16" s="175"/>
      <c r="UZV16" s="175"/>
      <c r="UZW16" s="175"/>
      <c r="UZX16" s="175"/>
      <c r="UZY16" s="175"/>
      <c r="UZZ16" s="175"/>
      <c r="VAA16" s="175"/>
      <c r="VAB16" s="175"/>
      <c r="VAC16" s="175"/>
      <c r="VAD16" s="175"/>
      <c r="VAE16" s="175"/>
      <c r="VAF16" s="175"/>
      <c r="VAG16" s="175"/>
      <c r="VAH16" s="175"/>
      <c r="VAI16" s="175"/>
      <c r="VAJ16" s="175"/>
      <c r="VAK16" s="175"/>
      <c r="VAL16" s="175"/>
      <c r="VAM16" s="175"/>
      <c r="VAN16" s="175"/>
      <c r="VAO16" s="175"/>
      <c r="VAP16" s="175"/>
      <c r="VAQ16" s="175"/>
      <c r="VAR16" s="175"/>
      <c r="VAS16" s="175"/>
      <c r="VAT16" s="175"/>
      <c r="VAU16" s="175"/>
      <c r="VAV16" s="175"/>
      <c r="VAW16" s="175"/>
      <c r="VAX16" s="175"/>
      <c r="VAY16" s="175"/>
      <c r="VAZ16" s="175"/>
      <c r="VBA16" s="175"/>
      <c r="VBB16" s="175"/>
      <c r="VBC16" s="175"/>
      <c r="VBD16" s="175"/>
      <c r="VBE16" s="175"/>
      <c r="VBF16" s="175"/>
      <c r="VBG16" s="175"/>
      <c r="VBH16" s="175"/>
      <c r="VBI16" s="175"/>
      <c r="VBJ16" s="175"/>
      <c r="VBK16" s="175"/>
      <c r="VBL16" s="175"/>
      <c r="VBM16" s="175"/>
      <c r="VBN16" s="175"/>
      <c r="VBO16" s="175"/>
      <c r="VBP16" s="175"/>
      <c r="VBQ16" s="175"/>
      <c r="VBR16" s="175"/>
      <c r="VBS16" s="175"/>
      <c r="VBT16" s="175"/>
      <c r="VBU16" s="175"/>
      <c r="VBV16" s="175"/>
      <c r="VBW16" s="175"/>
      <c r="VBX16" s="175"/>
      <c r="VBY16" s="175"/>
      <c r="VBZ16" s="175"/>
      <c r="VCA16" s="175"/>
      <c r="VCB16" s="175"/>
      <c r="VCC16" s="175"/>
      <c r="VCD16" s="175"/>
      <c r="VCE16" s="175"/>
      <c r="VCF16" s="175"/>
      <c r="VCG16" s="175"/>
      <c r="VCH16" s="175"/>
      <c r="VCI16" s="175"/>
      <c r="VCJ16" s="175"/>
      <c r="VCK16" s="175"/>
      <c r="VCL16" s="175"/>
      <c r="VCM16" s="175"/>
      <c r="VCN16" s="175"/>
      <c r="VCO16" s="175"/>
      <c r="VCP16" s="175"/>
      <c r="VCQ16" s="175"/>
      <c r="VCR16" s="175"/>
      <c r="VCS16" s="175"/>
      <c r="VCT16" s="175"/>
      <c r="VCU16" s="175"/>
      <c r="VCV16" s="175"/>
      <c r="VCW16" s="175"/>
      <c r="VCX16" s="175"/>
      <c r="VCY16" s="175"/>
      <c r="VCZ16" s="175"/>
      <c r="VDA16" s="175"/>
      <c r="VDB16" s="175"/>
      <c r="VDC16" s="175"/>
      <c r="VDD16" s="175"/>
      <c r="VDE16" s="175"/>
      <c r="VDF16" s="175"/>
      <c r="VDG16" s="175"/>
      <c r="VDH16" s="175"/>
      <c r="VDI16" s="175"/>
      <c r="VDJ16" s="175"/>
      <c r="VDK16" s="175"/>
      <c r="VDL16" s="175"/>
      <c r="VDM16" s="175"/>
      <c r="VDN16" s="175"/>
      <c r="VDO16" s="175"/>
      <c r="VDP16" s="175"/>
      <c r="VDQ16" s="175"/>
      <c r="VDR16" s="175"/>
      <c r="VDS16" s="175"/>
      <c r="VDT16" s="175"/>
      <c r="VDU16" s="175"/>
      <c r="VDV16" s="175"/>
      <c r="VDW16" s="175"/>
      <c r="VDX16" s="175"/>
      <c r="VDY16" s="175"/>
      <c r="VDZ16" s="175"/>
      <c r="VEA16" s="175"/>
      <c r="VEB16" s="175"/>
      <c r="VEC16" s="175"/>
      <c r="VED16" s="175"/>
      <c r="VEE16" s="175"/>
      <c r="VEF16" s="175"/>
      <c r="VEG16" s="175"/>
      <c r="VEH16" s="175"/>
      <c r="VEI16" s="175"/>
      <c r="VEJ16" s="175"/>
      <c r="VEK16" s="175"/>
      <c r="VEL16" s="175"/>
      <c r="VEM16" s="175"/>
      <c r="VEN16" s="175"/>
      <c r="VEO16" s="175"/>
      <c r="VEP16" s="175"/>
      <c r="VEQ16" s="175"/>
      <c r="VER16" s="175"/>
      <c r="VES16" s="175"/>
      <c r="VET16" s="175"/>
      <c r="VEU16" s="175"/>
      <c r="VEV16" s="175"/>
      <c r="VEW16" s="175"/>
      <c r="VEX16" s="175"/>
      <c r="VEY16" s="175"/>
      <c r="VEZ16" s="175"/>
      <c r="VFA16" s="175"/>
      <c r="VFB16" s="175"/>
      <c r="VFC16" s="175"/>
      <c r="VFD16" s="175"/>
      <c r="VFE16" s="175"/>
      <c r="VFF16" s="175"/>
      <c r="VFG16" s="175"/>
      <c r="VFH16" s="175"/>
      <c r="VFI16" s="175"/>
      <c r="VFJ16" s="175"/>
      <c r="VFK16" s="175"/>
      <c r="VFL16" s="175"/>
      <c r="VFM16" s="175"/>
      <c r="VFN16" s="175"/>
      <c r="VFO16" s="175"/>
      <c r="VFP16" s="175"/>
      <c r="VFQ16" s="175"/>
      <c r="VFR16" s="175"/>
      <c r="VFS16" s="175"/>
      <c r="VFT16" s="175"/>
      <c r="VFU16" s="175"/>
      <c r="VFV16" s="175"/>
      <c r="VFW16" s="175"/>
      <c r="VFX16" s="175"/>
      <c r="VFY16" s="175"/>
      <c r="VFZ16" s="175"/>
      <c r="VGA16" s="175"/>
      <c r="VGB16" s="175"/>
      <c r="VGC16" s="175"/>
      <c r="VGD16" s="175"/>
      <c r="VGE16" s="175"/>
      <c r="VGF16" s="175"/>
      <c r="VGG16" s="175"/>
      <c r="VGH16" s="175"/>
      <c r="VGI16" s="175"/>
      <c r="VGJ16" s="175"/>
      <c r="VGK16" s="175"/>
      <c r="VGL16" s="175"/>
      <c r="VGM16" s="175"/>
      <c r="VGN16" s="175"/>
      <c r="VGO16" s="175"/>
      <c r="VGP16" s="175"/>
      <c r="VGQ16" s="175"/>
      <c r="VGR16" s="175"/>
      <c r="VGS16" s="175"/>
      <c r="VGT16" s="175"/>
      <c r="VGU16" s="175"/>
      <c r="VGV16" s="175"/>
      <c r="VGW16" s="175"/>
      <c r="VGX16" s="175"/>
      <c r="VGY16" s="175"/>
      <c r="VGZ16" s="175"/>
      <c r="VHA16" s="175"/>
      <c r="VHB16" s="175"/>
      <c r="VHC16" s="175"/>
      <c r="VHD16" s="175"/>
      <c r="VHE16" s="175"/>
      <c r="VHF16" s="175"/>
      <c r="VHG16" s="175"/>
      <c r="VHH16" s="175"/>
      <c r="VHI16" s="175"/>
      <c r="VHJ16" s="175"/>
      <c r="VHK16" s="175"/>
      <c r="VHL16" s="175"/>
      <c r="VHM16" s="175"/>
      <c r="VHN16" s="175"/>
      <c r="VHO16" s="175"/>
      <c r="VHP16" s="175"/>
      <c r="VHQ16" s="175"/>
      <c r="VHR16" s="175"/>
      <c r="VHS16" s="175"/>
      <c r="VHT16" s="175"/>
      <c r="VHU16" s="175"/>
      <c r="VHV16" s="175"/>
      <c r="VHW16" s="175"/>
      <c r="VHX16" s="175"/>
      <c r="VHY16" s="175"/>
      <c r="VHZ16" s="175"/>
      <c r="VIA16" s="175"/>
      <c r="VIB16" s="175"/>
      <c r="VIC16" s="175"/>
      <c r="VID16" s="175"/>
      <c r="VIE16" s="175"/>
      <c r="VIF16" s="175"/>
      <c r="VIG16" s="175"/>
      <c r="VIH16" s="175"/>
      <c r="VII16" s="175"/>
      <c r="VIJ16" s="175"/>
      <c r="VIK16" s="175"/>
      <c r="VIL16" s="175"/>
      <c r="VIM16" s="175"/>
      <c r="VIN16" s="175"/>
      <c r="VIO16" s="175"/>
      <c r="VIP16" s="175"/>
      <c r="VIQ16" s="175"/>
      <c r="VIR16" s="175"/>
      <c r="VIS16" s="175"/>
      <c r="VIT16" s="175"/>
      <c r="VIU16" s="175"/>
      <c r="VIV16" s="175"/>
      <c r="VIW16" s="175"/>
      <c r="VIX16" s="175"/>
      <c r="VIY16" s="175"/>
      <c r="VIZ16" s="175"/>
      <c r="VJA16" s="175"/>
      <c r="VJB16" s="175"/>
      <c r="VJC16" s="175"/>
      <c r="VJD16" s="175"/>
      <c r="VJE16" s="175"/>
      <c r="VJF16" s="175"/>
      <c r="VJG16" s="175"/>
      <c r="VJH16" s="175"/>
      <c r="VJI16" s="175"/>
      <c r="VJJ16" s="175"/>
      <c r="VJK16" s="175"/>
      <c r="VJL16" s="175"/>
      <c r="VJM16" s="175"/>
      <c r="VJN16" s="175"/>
      <c r="VJO16" s="175"/>
      <c r="VJP16" s="175"/>
      <c r="VJQ16" s="175"/>
      <c r="VJR16" s="175"/>
      <c r="VJS16" s="175"/>
      <c r="VJT16" s="175"/>
      <c r="VJU16" s="175"/>
      <c r="VJV16" s="175"/>
      <c r="VJW16" s="175"/>
      <c r="VJX16" s="175"/>
      <c r="VJY16" s="175"/>
      <c r="VJZ16" s="175"/>
      <c r="VKA16" s="175"/>
      <c r="VKB16" s="175"/>
      <c r="VKC16" s="175"/>
      <c r="VKD16" s="175"/>
      <c r="VKE16" s="175"/>
      <c r="VKF16" s="175"/>
      <c r="VKG16" s="175"/>
      <c r="VKH16" s="175"/>
      <c r="VKI16" s="175"/>
      <c r="VKJ16" s="175"/>
      <c r="VKK16" s="175"/>
      <c r="VKL16" s="175"/>
      <c r="VKM16" s="175"/>
      <c r="VKN16" s="175"/>
      <c r="VKO16" s="175"/>
      <c r="VKP16" s="175"/>
      <c r="VKQ16" s="175"/>
      <c r="VKR16" s="175"/>
      <c r="VKS16" s="175"/>
      <c r="VKT16" s="175"/>
      <c r="VKU16" s="175"/>
      <c r="VKV16" s="175"/>
      <c r="VKW16" s="175"/>
      <c r="VKX16" s="175"/>
      <c r="VKY16" s="175"/>
      <c r="VKZ16" s="175"/>
      <c r="VLA16" s="175"/>
      <c r="VLB16" s="175"/>
      <c r="VLC16" s="175"/>
      <c r="VLD16" s="175"/>
      <c r="VLE16" s="175"/>
      <c r="VLF16" s="175"/>
      <c r="VLG16" s="175"/>
      <c r="VLH16" s="175"/>
      <c r="VLI16" s="175"/>
      <c r="VLJ16" s="175"/>
      <c r="VLK16" s="175"/>
      <c r="VLL16" s="175"/>
      <c r="VLM16" s="175"/>
      <c r="VLN16" s="175"/>
      <c r="VLO16" s="175"/>
      <c r="VLP16" s="175"/>
      <c r="VLQ16" s="175"/>
      <c r="VLR16" s="175"/>
      <c r="VLS16" s="175"/>
      <c r="VLT16" s="175"/>
      <c r="VLU16" s="175"/>
      <c r="VLV16" s="175"/>
      <c r="VLW16" s="175"/>
      <c r="VLX16" s="175"/>
      <c r="VLY16" s="175"/>
      <c r="VLZ16" s="175"/>
      <c r="VMA16" s="175"/>
      <c r="VMB16" s="175"/>
      <c r="VMC16" s="175"/>
      <c r="VMD16" s="175"/>
      <c r="VME16" s="175"/>
      <c r="VMF16" s="175"/>
      <c r="VMG16" s="175"/>
      <c r="VMH16" s="175"/>
      <c r="VMI16" s="175"/>
      <c r="VMJ16" s="175"/>
      <c r="VMK16" s="175"/>
      <c r="VML16" s="175"/>
      <c r="VMM16" s="175"/>
      <c r="VMN16" s="175"/>
      <c r="VMO16" s="175"/>
      <c r="VMP16" s="175"/>
      <c r="VMQ16" s="175"/>
      <c r="VMR16" s="175"/>
      <c r="VMS16" s="175"/>
      <c r="VMT16" s="175"/>
      <c r="VMU16" s="175"/>
      <c r="VMV16" s="175"/>
      <c r="VMW16" s="175"/>
      <c r="VMX16" s="175"/>
      <c r="VMY16" s="175"/>
      <c r="VMZ16" s="175"/>
      <c r="VNA16" s="175"/>
      <c r="VNB16" s="175"/>
      <c r="VNC16" s="175"/>
      <c r="VND16" s="175"/>
      <c r="VNE16" s="175"/>
      <c r="VNF16" s="175"/>
      <c r="VNG16" s="175"/>
      <c r="VNH16" s="175"/>
      <c r="VNI16" s="175"/>
      <c r="VNJ16" s="175"/>
      <c r="VNK16" s="175"/>
      <c r="VNL16" s="175"/>
      <c r="VNM16" s="175"/>
      <c r="VNN16" s="175"/>
      <c r="VNO16" s="175"/>
      <c r="VNP16" s="175"/>
      <c r="VNQ16" s="175"/>
      <c r="VNR16" s="175"/>
      <c r="VNS16" s="175"/>
      <c r="VNT16" s="175"/>
      <c r="VNU16" s="175"/>
      <c r="VNV16" s="175"/>
      <c r="VNW16" s="175"/>
      <c r="VNX16" s="175"/>
      <c r="VNY16" s="175"/>
      <c r="VNZ16" s="175"/>
      <c r="VOA16" s="175"/>
      <c r="VOB16" s="175"/>
      <c r="VOC16" s="175"/>
      <c r="VOD16" s="175"/>
      <c r="VOE16" s="175"/>
      <c r="VOF16" s="175"/>
      <c r="VOG16" s="175"/>
      <c r="VOH16" s="175"/>
      <c r="VOI16" s="175"/>
      <c r="VOJ16" s="175"/>
      <c r="VOK16" s="175"/>
      <c r="VOL16" s="175"/>
      <c r="VOM16" s="175"/>
      <c r="VON16" s="175"/>
      <c r="VOO16" s="175"/>
      <c r="VOP16" s="175"/>
      <c r="VOQ16" s="175"/>
      <c r="VOR16" s="175"/>
      <c r="VOS16" s="175"/>
      <c r="VOT16" s="175"/>
      <c r="VOU16" s="175"/>
      <c r="VOV16" s="175"/>
      <c r="VOW16" s="175"/>
      <c r="VOX16" s="175"/>
      <c r="VOY16" s="175"/>
      <c r="VOZ16" s="175"/>
      <c r="VPA16" s="175"/>
      <c r="VPB16" s="175"/>
      <c r="VPC16" s="175"/>
      <c r="VPD16" s="175"/>
      <c r="VPE16" s="175"/>
      <c r="VPF16" s="175"/>
      <c r="VPG16" s="175"/>
      <c r="VPH16" s="175"/>
      <c r="VPI16" s="175"/>
      <c r="VPJ16" s="175"/>
      <c r="VPK16" s="175"/>
      <c r="VPL16" s="175"/>
      <c r="VPM16" s="175"/>
      <c r="VPN16" s="175"/>
      <c r="VPO16" s="175"/>
      <c r="VPP16" s="175"/>
      <c r="VPQ16" s="175"/>
      <c r="VPR16" s="175"/>
      <c r="VPS16" s="175"/>
      <c r="VPT16" s="175"/>
      <c r="VPU16" s="175"/>
      <c r="VPV16" s="175"/>
      <c r="VPW16" s="175"/>
      <c r="VPX16" s="175"/>
      <c r="VPY16" s="175"/>
      <c r="VPZ16" s="175"/>
      <c r="VQA16" s="175"/>
      <c r="VQB16" s="175"/>
      <c r="VQC16" s="175"/>
      <c r="VQD16" s="175"/>
      <c r="VQE16" s="175"/>
      <c r="VQF16" s="175"/>
      <c r="VQG16" s="175"/>
      <c r="VQH16" s="175"/>
      <c r="VQI16" s="175"/>
      <c r="VQJ16" s="175"/>
      <c r="VQK16" s="175"/>
      <c r="VQL16" s="175"/>
      <c r="VQM16" s="175"/>
      <c r="VQN16" s="175"/>
      <c r="VQO16" s="175"/>
      <c r="VQP16" s="175"/>
      <c r="VQQ16" s="175"/>
      <c r="VQR16" s="175"/>
      <c r="VQS16" s="175"/>
      <c r="VQT16" s="175"/>
      <c r="VQU16" s="175"/>
      <c r="VQV16" s="175"/>
      <c r="VQW16" s="175"/>
      <c r="VQX16" s="175"/>
      <c r="VQY16" s="175"/>
      <c r="VQZ16" s="175"/>
      <c r="VRA16" s="175"/>
      <c r="VRB16" s="175"/>
      <c r="VRC16" s="175"/>
      <c r="VRD16" s="175"/>
      <c r="VRE16" s="175"/>
      <c r="VRF16" s="175"/>
      <c r="VRG16" s="175"/>
      <c r="VRH16" s="175"/>
      <c r="VRI16" s="175"/>
      <c r="VRJ16" s="175"/>
      <c r="VRK16" s="175"/>
      <c r="VRL16" s="175"/>
      <c r="VRM16" s="175"/>
      <c r="VRN16" s="175"/>
      <c r="VRO16" s="175"/>
      <c r="VRP16" s="175"/>
      <c r="VRQ16" s="175"/>
      <c r="VRR16" s="175"/>
      <c r="VRS16" s="175"/>
      <c r="VRT16" s="175"/>
      <c r="VRU16" s="175"/>
      <c r="VRV16" s="175"/>
      <c r="VRW16" s="175"/>
      <c r="VRX16" s="175"/>
      <c r="VRY16" s="175"/>
      <c r="VRZ16" s="175"/>
      <c r="VSA16" s="175"/>
      <c r="VSB16" s="175"/>
      <c r="VSC16" s="175"/>
      <c r="VSD16" s="175"/>
      <c r="VSE16" s="175"/>
      <c r="VSF16" s="175"/>
      <c r="VSG16" s="175"/>
      <c r="VSH16" s="175"/>
      <c r="VSI16" s="175"/>
      <c r="VSJ16" s="175"/>
      <c r="VSK16" s="175"/>
      <c r="VSL16" s="175"/>
      <c r="VSM16" s="175"/>
      <c r="VSN16" s="175"/>
      <c r="VSO16" s="175"/>
      <c r="VSP16" s="175"/>
      <c r="VSQ16" s="175"/>
      <c r="VSR16" s="175"/>
      <c r="VSS16" s="175"/>
      <c r="VST16" s="175"/>
      <c r="VSU16" s="175"/>
      <c r="VSV16" s="175"/>
      <c r="VSW16" s="175"/>
      <c r="VSX16" s="175"/>
      <c r="VSY16" s="175"/>
      <c r="VSZ16" s="175"/>
      <c r="VTA16" s="175"/>
      <c r="VTB16" s="175"/>
      <c r="VTC16" s="175"/>
      <c r="VTD16" s="175"/>
      <c r="VTE16" s="175"/>
      <c r="VTF16" s="175"/>
      <c r="VTG16" s="175"/>
      <c r="VTH16" s="175"/>
      <c r="VTI16" s="175"/>
      <c r="VTJ16" s="175"/>
      <c r="VTK16" s="175"/>
      <c r="VTL16" s="175"/>
      <c r="VTM16" s="175"/>
      <c r="VTN16" s="175"/>
      <c r="VTO16" s="175"/>
      <c r="VTP16" s="175"/>
      <c r="VTQ16" s="175"/>
      <c r="VTR16" s="175"/>
      <c r="VTS16" s="175"/>
      <c r="VTT16" s="175"/>
      <c r="VTU16" s="175"/>
      <c r="VTV16" s="175"/>
      <c r="VTW16" s="175"/>
      <c r="VTX16" s="175"/>
      <c r="VTY16" s="175"/>
      <c r="VTZ16" s="175"/>
      <c r="VUA16" s="175"/>
      <c r="VUB16" s="175"/>
      <c r="VUC16" s="175"/>
      <c r="VUD16" s="175"/>
      <c r="VUE16" s="175"/>
      <c r="VUF16" s="175"/>
      <c r="VUG16" s="175"/>
      <c r="VUH16" s="175"/>
      <c r="VUI16" s="175"/>
      <c r="VUJ16" s="175"/>
      <c r="VUK16" s="175"/>
      <c r="VUL16" s="175"/>
      <c r="VUM16" s="175"/>
      <c r="VUN16" s="175"/>
      <c r="VUO16" s="175"/>
      <c r="VUP16" s="175"/>
      <c r="VUQ16" s="175"/>
      <c r="VUR16" s="175"/>
      <c r="VUS16" s="175"/>
      <c r="VUT16" s="175"/>
      <c r="VUU16" s="175"/>
      <c r="VUV16" s="175"/>
      <c r="VUW16" s="175"/>
      <c r="VUX16" s="175"/>
      <c r="VUY16" s="175"/>
      <c r="VUZ16" s="175"/>
      <c r="VVA16" s="175"/>
      <c r="VVB16" s="175"/>
      <c r="VVC16" s="175"/>
      <c r="VVD16" s="175"/>
      <c r="VVE16" s="175"/>
      <c r="VVF16" s="175"/>
      <c r="VVG16" s="175"/>
      <c r="VVH16" s="175"/>
      <c r="VVI16" s="175"/>
      <c r="VVJ16" s="175"/>
      <c r="VVK16" s="175"/>
      <c r="VVL16" s="175"/>
      <c r="VVM16" s="175"/>
      <c r="VVN16" s="175"/>
      <c r="VVO16" s="175"/>
      <c r="VVP16" s="175"/>
      <c r="VVQ16" s="175"/>
      <c r="VVR16" s="175"/>
      <c r="VVS16" s="175"/>
      <c r="VVT16" s="175"/>
      <c r="VVU16" s="175"/>
      <c r="VVV16" s="175"/>
      <c r="VVW16" s="175"/>
      <c r="VVX16" s="175"/>
      <c r="VVY16" s="175"/>
      <c r="VVZ16" s="175"/>
      <c r="VWA16" s="175"/>
      <c r="VWB16" s="175"/>
      <c r="VWC16" s="175"/>
      <c r="VWD16" s="175"/>
      <c r="VWE16" s="175"/>
      <c r="VWF16" s="175"/>
      <c r="VWG16" s="175"/>
      <c r="VWH16" s="175"/>
      <c r="VWI16" s="175"/>
      <c r="VWJ16" s="175"/>
      <c r="VWK16" s="175"/>
      <c r="VWL16" s="175"/>
      <c r="VWM16" s="175"/>
      <c r="VWN16" s="175"/>
      <c r="VWO16" s="175"/>
      <c r="VWP16" s="175"/>
      <c r="VWQ16" s="175"/>
      <c r="VWR16" s="175"/>
      <c r="VWS16" s="175"/>
      <c r="VWT16" s="175"/>
      <c r="VWU16" s="175"/>
      <c r="VWV16" s="175"/>
      <c r="VWW16" s="175"/>
      <c r="VWX16" s="175"/>
      <c r="VWY16" s="175"/>
      <c r="VWZ16" s="175"/>
      <c r="VXA16" s="175"/>
      <c r="VXB16" s="175"/>
      <c r="VXC16" s="175"/>
      <c r="VXD16" s="175"/>
      <c r="VXE16" s="175"/>
      <c r="VXF16" s="175"/>
      <c r="VXG16" s="175"/>
      <c r="VXH16" s="175"/>
      <c r="VXI16" s="175"/>
      <c r="VXJ16" s="175"/>
      <c r="VXK16" s="175"/>
      <c r="VXL16" s="175"/>
      <c r="VXM16" s="175"/>
      <c r="VXN16" s="175"/>
      <c r="VXO16" s="175"/>
      <c r="VXP16" s="175"/>
      <c r="VXQ16" s="175"/>
      <c r="VXR16" s="175"/>
      <c r="VXS16" s="175"/>
      <c r="VXT16" s="175"/>
      <c r="VXU16" s="175"/>
      <c r="VXV16" s="175"/>
      <c r="VXW16" s="175"/>
      <c r="VXX16" s="175"/>
      <c r="VXY16" s="175"/>
      <c r="VXZ16" s="175"/>
      <c r="VYA16" s="175"/>
      <c r="VYB16" s="175"/>
      <c r="VYC16" s="175"/>
      <c r="VYD16" s="175"/>
      <c r="VYE16" s="175"/>
      <c r="VYF16" s="175"/>
      <c r="VYG16" s="175"/>
      <c r="VYH16" s="175"/>
      <c r="VYI16" s="175"/>
      <c r="VYJ16" s="175"/>
      <c r="VYK16" s="175"/>
      <c r="VYL16" s="175"/>
      <c r="VYM16" s="175"/>
      <c r="VYN16" s="175"/>
      <c r="VYO16" s="175"/>
      <c r="VYP16" s="175"/>
      <c r="VYQ16" s="175"/>
      <c r="VYR16" s="175"/>
      <c r="VYS16" s="175"/>
      <c r="VYT16" s="175"/>
      <c r="VYU16" s="175"/>
      <c r="VYV16" s="175"/>
      <c r="VYW16" s="175"/>
      <c r="VYX16" s="175"/>
      <c r="VYY16" s="175"/>
      <c r="VYZ16" s="175"/>
      <c r="VZA16" s="175"/>
      <c r="VZB16" s="175"/>
      <c r="VZC16" s="175"/>
      <c r="VZD16" s="175"/>
      <c r="VZE16" s="175"/>
      <c r="VZF16" s="175"/>
      <c r="VZG16" s="175"/>
      <c r="VZH16" s="175"/>
      <c r="VZI16" s="175"/>
      <c r="VZJ16" s="175"/>
      <c r="VZK16" s="175"/>
      <c r="VZL16" s="175"/>
      <c r="VZM16" s="175"/>
      <c r="VZN16" s="175"/>
      <c r="VZO16" s="175"/>
      <c r="VZP16" s="175"/>
      <c r="VZQ16" s="175"/>
      <c r="VZR16" s="175"/>
      <c r="VZS16" s="175"/>
      <c r="VZT16" s="175"/>
      <c r="VZU16" s="175"/>
      <c r="VZV16" s="175"/>
      <c r="VZW16" s="175"/>
      <c r="VZX16" s="175"/>
      <c r="VZY16" s="175"/>
      <c r="VZZ16" s="175"/>
      <c r="WAA16" s="175"/>
      <c r="WAB16" s="175"/>
      <c r="WAC16" s="175"/>
      <c r="WAD16" s="175"/>
      <c r="WAE16" s="175"/>
      <c r="WAF16" s="175"/>
      <c r="WAG16" s="175"/>
      <c r="WAH16" s="175"/>
      <c r="WAI16" s="175"/>
      <c r="WAJ16" s="175"/>
      <c r="WAK16" s="175"/>
      <c r="WAL16" s="175"/>
      <c r="WAM16" s="175"/>
      <c r="WAN16" s="175"/>
      <c r="WAO16" s="175"/>
      <c r="WAP16" s="175"/>
      <c r="WAQ16" s="175"/>
      <c r="WAR16" s="175"/>
      <c r="WAS16" s="175"/>
      <c r="WAT16" s="175"/>
      <c r="WAU16" s="175"/>
      <c r="WAV16" s="175"/>
      <c r="WAW16" s="175"/>
      <c r="WAX16" s="175"/>
      <c r="WAY16" s="175"/>
      <c r="WAZ16" s="175"/>
      <c r="WBA16" s="175"/>
      <c r="WBB16" s="175"/>
      <c r="WBC16" s="175"/>
      <c r="WBD16" s="175"/>
      <c r="WBE16" s="175"/>
      <c r="WBF16" s="175"/>
      <c r="WBG16" s="175"/>
      <c r="WBH16" s="175"/>
      <c r="WBI16" s="175"/>
      <c r="WBJ16" s="175"/>
      <c r="WBK16" s="175"/>
      <c r="WBL16" s="175"/>
      <c r="WBM16" s="175"/>
      <c r="WBN16" s="175"/>
      <c r="WBO16" s="175"/>
      <c r="WBP16" s="175"/>
      <c r="WBQ16" s="175"/>
      <c r="WBR16" s="175"/>
      <c r="WBS16" s="175"/>
      <c r="WBT16" s="175"/>
      <c r="WBU16" s="175"/>
      <c r="WBV16" s="175"/>
      <c r="WBW16" s="175"/>
      <c r="WBX16" s="175"/>
      <c r="WBY16" s="175"/>
      <c r="WBZ16" s="175"/>
      <c r="WCA16" s="175"/>
      <c r="WCB16" s="175"/>
      <c r="WCC16" s="175"/>
      <c r="WCD16" s="175"/>
      <c r="WCE16" s="175"/>
      <c r="WCF16" s="175"/>
      <c r="WCG16" s="175"/>
      <c r="WCH16" s="175"/>
      <c r="WCI16" s="175"/>
      <c r="WCJ16" s="175"/>
      <c r="WCK16" s="175"/>
      <c r="WCL16" s="175"/>
      <c r="WCM16" s="175"/>
      <c r="WCN16" s="175"/>
      <c r="WCO16" s="175"/>
      <c r="WCP16" s="175"/>
      <c r="WCQ16" s="175"/>
      <c r="WCR16" s="175"/>
      <c r="WCS16" s="175"/>
      <c r="WCT16" s="175"/>
      <c r="WCU16" s="175"/>
      <c r="WCV16" s="175"/>
      <c r="WCW16" s="175"/>
      <c r="WCX16" s="175"/>
      <c r="WCY16" s="175"/>
      <c r="WCZ16" s="175"/>
      <c r="WDA16" s="175"/>
      <c r="WDB16" s="175"/>
      <c r="WDC16" s="175"/>
      <c r="WDD16" s="175"/>
      <c r="WDE16" s="175"/>
      <c r="WDF16" s="175"/>
      <c r="WDG16" s="175"/>
      <c r="WDH16" s="175"/>
      <c r="WDI16" s="175"/>
      <c r="WDJ16" s="175"/>
      <c r="WDK16" s="175"/>
      <c r="WDL16" s="175"/>
      <c r="WDM16" s="175"/>
      <c r="WDN16" s="175"/>
      <c r="WDO16" s="175"/>
      <c r="WDP16" s="175"/>
      <c r="WDQ16" s="175"/>
      <c r="WDR16" s="175"/>
      <c r="WDS16" s="175"/>
      <c r="WDT16" s="175"/>
      <c r="WDU16" s="175"/>
      <c r="WDV16" s="175"/>
      <c r="WDW16" s="175"/>
      <c r="WDX16" s="175"/>
      <c r="WDY16" s="175"/>
      <c r="WDZ16" s="175"/>
      <c r="WEA16" s="175"/>
      <c r="WEB16" s="175"/>
      <c r="WEC16" s="175"/>
      <c r="WED16" s="175"/>
      <c r="WEE16" s="175"/>
      <c r="WEF16" s="175"/>
      <c r="WEG16" s="175"/>
      <c r="WEH16" s="175"/>
      <c r="WEI16" s="175"/>
      <c r="WEJ16" s="175"/>
      <c r="WEK16" s="175"/>
      <c r="WEL16" s="175"/>
      <c r="WEM16" s="175"/>
      <c r="WEN16" s="175"/>
      <c r="WEO16" s="175"/>
      <c r="WEP16" s="175"/>
      <c r="WEQ16" s="175"/>
      <c r="WER16" s="175"/>
      <c r="WES16" s="175"/>
      <c r="WET16" s="175"/>
      <c r="WEU16" s="175"/>
      <c r="WEV16" s="175"/>
      <c r="WEW16" s="175"/>
      <c r="WEX16" s="175"/>
      <c r="WEY16" s="175"/>
      <c r="WEZ16" s="175"/>
      <c r="WFA16" s="175"/>
      <c r="WFB16" s="175"/>
      <c r="WFC16" s="175"/>
      <c r="WFD16" s="175"/>
      <c r="WFE16" s="175"/>
      <c r="WFF16" s="175"/>
      <c r="WFG16" s="175"/>
      <c r="WFH16" s="175"/>
      <c r="WFI16" s="175"/>
      <c r="WFJ16" s="175"/>
      <c r="WFK16" s="175"/>
      <c r="WFL16" s="175"/>
      <c r="WFM16" s="175"/>
      <c r="WFN16" s="175"/>
      <c r="WFO16" s="175"/>
      <c r="WFP16" s="175"/>
      <c r="WFQ16" s="175"/>
      <c r="WFR16" s="175"/>
      <c r="WFS16" s="175"/>
      <c r="WFT16" s="175"/>
      <c r="WFU16" s="175"/>
      <c r="WFV16" s="175"/>
      <c r="WFW16" s="175"/>
      <c r="WFX16" s="175"/>
      <c r="WFY16" s="175"/>
      <c r="WFZ16" s="175"/>
      <c r="WGA16" s="175"/>
      <c r="WGB16" s="175"/>
      <c r="WGC16" s="175"/>
      <c r="WGD16" s="175"/>
      <c r="WGE16" s="175"/>
      <c r="WGF16" s="175"/>
      <c r="WGG16" s="175"/>
      <c r="WGH16" s="175"/>
      <c r="WGI16" s="175"/>
      <c r="WGJ16" s="175"/>
      <c r="WGK16" s="175"/>
      <c r="WGL16" s="175"/>
      <c r="WGM16" s="175"/>
      <c r="WGN16" s="175"/>
      <c r="WGO16" s="175"/>
      <c r="WGP16" s="175"/>
      <c r="WGQ16" s="175"/>
      <c r="WGR16" s="175"/>
      <c r="WGS16" s="175"/>
      <c r="WGT16" s="175"/>
      <c r="WGU16" s="175"/>
      <c r="WGV16" s="175"/>
      <c r="WGW16" s="175"/>
      <c r="WGX16" s="175"/>
      <c r="WGY16" s="175"/>
      <c r="WGZ16" s="175"/>
      <c r="WHA16" s="175"/>
      <c r="WHB16" s="175"/>
      <c r="WHC16" s="175"/>
      <c r="WHD16" s="175"/>
      <c r="WHE16" s="175"/>
      <c r="WHF16" s="175"/>
      <c r="WHG16" s="175"/>
      <c r="WHH16" s="175"/>
      <c r="WHI16" s="175"/>
      <c r="WHJ16" s="175"/>
      <c r="WHK16" s="175"/>
      <c r="WHL16" s="175"/>
      <c r="WHM16" s="175"/>
      <c r="WHN16" s="175"/>
      <c r="WHO16" s="175"/>
      <c r="WHP16" s="175"/>
      <c r="WHQ16" s="175"/>
      <c r="WHR16" s="175"/>
      <c r="WHS16" s="175"/>
      <c r="WHT16" s="175"/>
      <c r="WHU16" s="175"/>
      <c r="WHV16" s="175"/>
      <c r="WHW16" s="175"/>
      <c r="WHX16" s="175"/>
      <c r="WHY16" s="175"/>
      <c r="WHZ16" s="175"/>
      <c r="WIA16" s="175"/>
      <c r="WIB16" s="175"/>
      <c r="WIC16" s="175"/>
      <c r="WID16" s="175"/>
      <c r="WIE16" s="175"/>
      <c r="WIF16" s="175"/>
      <c r="WIG16" s="175"/>
      <c r="WIH16" s="175"/>
      <c r="WII16" s="175"/>
      <c r="WIJ16" s="175"/>
      <c r="WIK16" s="175"/>
      <c r="WIL16" s="175"/>
      <c r="WIM16" s="175"/>
      <c r="WIN16" s="175"/>
      <c r="WIO16" s="175"/>
      <c r="WIP16" s="175"/>
      <c r="WIQ16" s="175"/>
      <c r="WIR16" s="175"/>
      <c r="WIS16" s="175"/>
      <c r="WIT16" s="175"/>
      <c r="WIU16" s="175"/>
      <c r="WIV16" s="175"/>
      <c r="WIW16" s="175"/>
      <c r="WIX16" s="175"/>
      <c r="WIY16" s="175"/>
      <c r="WIZ16" s="175"/>
      <c r="WJA16" s="175"/>
      <c r="WJB16" s="175"/>
      <c r="WJC16" s="175"/>
      <c r="WJD16" s="175"/>
      <c r="WJE16" s="175"/>
      <c r="WJF16" s="175"/>
      <c r="WJG16" s="175"/>
      <c r="WJH16" s="175"/>
      <c r="WJI16" s="175"/>
      <c r="WJJ16" s="175"/>
      <c r="WJK16" s="175"/>
      <c r="WJL16" s="175"/>
      <c r="WJM16" s="175"/>
      <c r="WJN16" s="175"/>
      <c r="WJO16" s="175"/>
      <c r="WJP16" s="175"/>
      <c r="WJQ16" s="175"/>
      <c r="WJR16" s="175"/>
      <c r="WJS16" s="175"/>
      <c r="WJT16" s="175"/>
      <c r="WJU16" s="175"/>
      <c r="WJV16" s="175"/>
      <c r="WJW16" s="175"/>
      <c r="WJX16" s="175"/>
      <c r="WJY16" s="175"/>
      <c r="WJZ16" s="175"/>
      <c r="WKA16" s="175"/>
      <c r="WKB16" s="175"/>
      <c r="WKC16" s="175"/>
      <c r="WKD16" s="175"/>
      <c r="WKE16" s="175"/>
      <c r="WKF16" s="175"/>
      <c r="WKG16" s="175"/>
      <c r="WKH16" s="175"/>
      <c r="WKI16" s="175"/>
      <c r="WKJ16" s="175"/>
      <c r="WKK16" s="175"/>
      <c r="WKL16" s="175"/>
      <c r="WKM16" s="175"/>
      <c r="WKN16" s="175"/>
      <c r="WKO16" s="175"/>
      <c r="WKP16" s="175"/>
      <c r="WKQ16" s="175"/>
      <c r="WKR16" s="175"/>
      <c r="WKS16" s="175"/>
      <c r="WKT16" s="175"/>
      <c r="WKU16" s="175"/>
      <c r="WKV16" s="175"/>
      <c r="WKW16" s="175"/>
      <c r="WKX16" s="175"/>
      <c r="WKY16" s="175"/>
      <c r="WKZ16" s="175"/>
      <c r="WLA16" s="175"/>
      <c r="WLB16" s="175"/>
      <c r="WLC16" s="175"/>
      <c r="WLD16" s="175"/>
      <c r="WLE16" s="175"/>
      <c r="WLF16" s="175"/>
      <c r="WLG16" s="175"/>
      <c r="WLH16" s="175"/>
      <c r="WLI16" s="175"/>
      <c r="WLJ16" s="175"/>
      <c r="WLK16" s="175"/>
      <c r="WLL16" s="175"/>
      <c r="WLM16" s="175"/>
      <c r="WLN16" s="175"/>
      <c r="WLO16" s="175"/>
      <c r="WLP16" s="175"/>
      <c r="WLQ16" s="175"/>
      <c r="WLR16" s="175"/>
      <c r="WLS16" s="175"/>
      <c r="WLT16" s="175"/>
      <c r="WLU16" s="175"/>
      <c r="WLV16" s="175"/>
      <c r="WLW16" s="175"/>
      <c r="WLX16" s="175"/>
      <c r="WLY16" s="175"/>
      <c r="WLZ16" s="175"/>
      <c r="WMA16" s="175"/>
      <c r="WMB16" s="175"/>
      <c r="WMC16" s="175"/>
      <c r="WMD16" s="175"/>
      <c r="WME16" s="175"/>
      <c r="WMF16" s="175"/>
      <c r="WMG16" s="175"/>
      <c r="WMH16" s="175"/>
      <c r="WMI16" s="175"/>
      <c r="WMJ16" s="175"/>
      <c r="WMK16" s="175"/>
      <c r="WML16" s="175"/>
      <c r="WMM16" s="175"/>
      <c r="WMN16" s="175"/>
      <c r="WMO16" s="175"/>
      <c r="WMP16" s="175"/>
      <c r="WMQ16" s="175"/>
      <c r="WMR16" s="175"/>
      <c r="WMS16" s="175"/>
      <c r="WMT16" s="175"/>
      <c r="WMU16" s="175"/>
      <c r="WMV16" s="175"/>
      <c r="WMW16" s="175"/>
      <c r="WMX16" s="175"/>
      <c r="WMY16" s="175"/>
      <c r="WMZ16" s="175"/>
      <c r="WNA16" s="175"/>
      <c r="WNB16" s="175"/>
      <c r="WNC16" s="175"/>
      <c r="WND16" s="175"/>
      <c r="WNE16" s="175"/>
      <c r="WNF16" s="175"/>
      <c r="WNG16" s="175"/>
      <c r="WNH16" s="175"/>
      <c r="WNI16" s="175"/>
      <c r="WNJ16" s="175"/>
      <c r="WNK16" s="175"/>
      <c r="WNL16" s="175"/>
      <c r="WNM16" s="175"/>
      <c r="WNN16" s="175"/>
      <c r="WNO16" s="175"/>
      <c r="WNP16" s="175"/>
      <c r="WNQ16" s="175"/>
      <c r="WNR16" s="175"/>
      <c r="WNS16" s="175"/>
      <c r="WNT16" s="175"/>
      <c r="WNU16" s="175"/>
      <c r="WNV16" s="175"/>
      <c r="WNW16" s="175"/>
      <c r="WNX16" s="175"/>
      <c r="WNY16" s="175"/>
      <c r="WNZ16" s="175"/>
      <c r="WOA16" s="175"/>
      <c r="WOB16" s="175"/>
      <c r="WOC16" s="175"/>
      <c r="WOD16" s="175"/>
      <c r="WOE16" s="175"/>
      <c r="WOF16" s="175"/>
      <c r="WOG16" s="175"/>
      <c r="WOH16" s="175"/>
      <c r="WOI16" s="175"/>
      <c r="WOJ16" s="175"/>
      <c r="WOK16" s="175"/>
      <c r="WOL16" s="175"/>
      <c r="WOM16" s="175"/>
      <c r="WON16" s="175"/>
      <c r="WOO16" s="175"/>
      <c r="WOP16" s="175"/>
      <c r="WOQ16" s="175"/>
      <c r="WOR16" s="175"/>
      <c r="WOS16" s="175"/>
      <c r="WOT16" s="175"/>
      <c r="WOU16" s="175"/>
      <c r="WOV16" s="175"/>
      <c r="WOW16" s="175"/>
      <c r="WOX16" s="175"/>
      <c r="WOY16" s="175"/>
      <c r="WOZ16" s="175"/>
      <c r="WPA16" s="175"/>
      <c r="WPB16" s="175"/>
      <c r="WPC16" s="175"/>
      <c r="WPD16" s="175"/>
      <c r="WPE16" s="175"/>
      <c r="WPF16" s="175"/>
      <c r="WPG16" s="175"/>
      <c r="WPH16" s="175"/>
      <c r="WPI16" s="175"/>
      <c r="WPJ16" s="175"/>
      <c r="WPK16" s="175"/>
      <c r="WPL16" s="175"/>
      <c r="WPM16" s="175"/>
      <c r="WPN16" s="175"/>
      <c r="WPO16" s="175"/>
      <c r="WPP16" s="175"/>
      <c r="WPQ16" s="175"/>
      <c r="WPR16" s="175"/>
      <c r="WPS16" s="175"/>
      <c r="WPT16" s="175"/>
      <c r="WPU16" s="175"/>
      <c r="WPV16" s="175"/>
      <c r="WPW16" s="175"/>
      <c r="WPX16" s="175"/>
      <c r="WPY16" s="175"/>
      <c r="WPZ16" s="175"/>
      <c r="WQA16" s="175"/>
      <c r="WQB16" s="175"/>
      <c r="WQC16" s="175"/>
      <c r="WQD16" s="175"/>
      <c r="WQE16" s="175"/>
      <c r="WQF16" s="175"/>
      <c r="WQG16" s="175"/>
      <c r="WQH16" s="175"/>
      <c r="WQI16" s="175"/>
      <c r="WQJ16" s="175"/>
      <c r="WQK16" s="175"/>
      <c r="WQL16" s="175"/>
      <c r="WQM16" s="175"/>
      <c r="WQN16" s="175"/>
      <c r="WQO16" s="175"/>
      <c r="WQP16" s="175"/>
      <c r="WQQ16" s="175"/>
      <c r="WQR16" s="175"/>
      <c r="WQS16" s="175"/>
      <c r="WQT16" s="175"/>
      <c r="WQU16" s="175"/>
      <c r="WQV16" s="175"/>
      <c r="WQW16" s="175"/>
      <c r="WQX16" s="175"/>
      <c r="WQY16" s="175"/>
      <c r="WQZ16" s="175"/>
      <c r="WRA16" s="175"/>
      <c r="WRB16" s="175"/>
      <c r="WRC16" s="175"/>
      <c r="WRD16" s="175"/>
      <c r="WRE16" s="175"/>
      <c r="WRF16" s="175"/>
      <c r="WRG16" s="175"/>
      <c r="WRH16" s="175"/>
      <c r="WRI16" s="175"/>
      <c r="WRJ16" s="175"/>
      <c r="WRK16" s="175"/>
      <c r="WRL16" s="175"/>
      <c r="WRM16" s="175"/>
      <c r="WRN16" s="175"/>
      <c r="WRO16" s="175"/>
      <c r="WRP16" s="175"/>
      <c r="WRQ16" s="175"/>
      <c r="WRR16" s="175"/>
      <c r="WRS16" s="175"/>
      <c r="WRT16" s="175"/>
      <c r="WRU16" s="175"/>
      <c r="WRV16" s="175"/>
      <c r="WRW16" s="175"/>
      <c r="WRX16" s="175"/>
      <c r="WRY16" s="175"/>
      <c r="WRZ16" s="175"/>
      <c r="WSA16" s="175"/>
      <c r="WSB16" s="175"/>
      <c r="WSC16" s="175"/>
      <c r="WSD16" s="175"/>
      <c r="WSE16" s="175"/>
      <c r="WSF16" s="175"/>
      <c r="WSG16" s="175"/>
      <c r="WSH16" s="175"/>
      <c r="WSI16" s="175"/>
      <c r="WSJ16" s="175"/>
      <c r="WSK16" s="175"/>
      <c r="WSL16" s="175"/>
      <c r="WSM16" s="175"/>
      <c r="WSN16" s="175"/>
      <c r="WSO16" s="175"/>
      <c r="WSP16" s="175"/>
      <c r="WSQ16" s="175"/>
      <c r="WSR16" s="175"/>
      <c r="WSS16" s="175"/>
      <c r="WST16" s="175"/>
      <c r="WSU16" s="175"/>
      <c r="WSV16" s="175"/>
      <c r="WSW16" s="175"/>
      <c r="WSX16" s="175"/>
      <c r="WSY16" s="175"/>
      <c r="WSZ16" s="175"/>
      <c r="WTA16" s="175"/>
      <c r="WTB16" s="175"/>
      <c r="WTC16" s="175"/>
      <c r="WTD16" s="175"/>
      <c r="WTE16" s="175"/>
      <c r="WTF16" s="175"/>
      <c r="WTG16" s="175"/>
      <c r="WTH16" s="175"/>
      <c r="WTI16" s="175"/>
      <c r="WTJ16" s="175"/>
      <c r="WTK16" s="175"/>
      <c r="WTL16" s="175"/>
      <c r="WTM16" s="175"/>
      <c r="WTN16" s="175"/>
      <c r="WTO16" s="175"/>
      <c r="WTP16" s="175"/>
      <c r="WTQ16" s="175"/>
      <c r="WTR16" s="175"/>
      <c r="WTS16" s="175"/>
      <c r="WTT16" s="175"/>
      <c r="WTU16" s="175"/>
      <c r="WTV16" s="175"/>
      <c r="WTW16" s="175"/>
      <c r="WTX16" s="175"/>
      <c r="WTY16" s="175"/>
      <c r="WTZ16" s="175"/>
      <c r="WUA16" s="175"/>
      <c r="WUB16" s="175"/>
      <c r="WUC16" s="175"/>
      <c r="WUD16" s="175"/>
      <c r="WUE16" s="175"/>
      <c r="WUF16" s="175"/>
      <c r="WUG16" s="175"/>
      <c r="WUH16" s="175"/>
      <c r="WUI16" s="175"/>
      <c r="WUJ16" s="175"/>
      <c r="WUK16" s="175"/>
      <c r="WUL16" s="175"/>
      <c r="WUM16" s="175"/>
      <c r="WUN16" s="175"/>
      <c r="WUO16" s="175"/>
      <c r="WUP16" s="175"/>
      <c r="WUQ16" s="175"/>
      <c r="WUR16" s="175"/>
      <c r="WUS16" s="175"/>
      <c r="WUT16" s="175"/>
      <c r="WUU16" s="175"/>
      <c r="WUV16" s="175"/>
      <c r="WUW16" s="175"/>
      <c r="WUX16" s="175"/>
      <c r="WUY16" s="175"/>
      <c r="WUZ16" s="175"/>
      <c r="WVA16" s="175"/>
      <c r="WVB16" s="175"/>
      <c r="WVC16" s="175"/>
      <c r="WVD16" s="175"/>
      <c r="WVE16" s="175"/>
      <c r="WVF16" s="175"/>
      <c r="WVG16" s="175"/>
      <c r="WVH16" s="175"/>
      <c r="WVI16" s="175"/>
      <c r="WVJ16" s="175"/>
      <c r="WVK16" s="175"/>
      <c r="WVL16" s="175"/>
      <c r="WVM16" s="175"/>
      <c r="WVN16" s="175"/>
      <c r="WVO16" s="175"/>
      <c r="WVP16" s="175"/>
      <c r="WVQ16" s="175"/>
      <c r="WVR16" s="175"/>
      <c r="WVS16" s="175"/>
      <c r="WVT16" s="175"/>
      <c r="WVU16" s="175"/>
      <c r="WVV16" s="175"/>
      <c r="WVW16" s="175"/>
      <c r="WVX16" s="175"/>
      <c r="WVY16" s="175"/>
      <c r="WVZ16" s="175"/>
      <c r="WWA16" s="175"/>
      <c r="WWB16" s="175"/>
      <c r="WWC16" s="175"/>
      <c r="WWD16" s="175"/>
      <c r="WWE16" s="175"/>
      <c r="WWF16" s="175"/>
      <c r="WWG16" s="175"/>
      <c r="WWH16" s="175"/>
      <c r="WWI16" s="175"/>
      <c r="WWJ16" s="175"/>
      <c r="WWK16" s="175"/>
      <c r="WWL16" s="175"/>
      <c r="WWM16" s="175"/>
      <c r="WWN16" s="175"/>
      <c r="WWO16" s="175"/>
      <c r="WWP16" s="175"/>
      <c r="WWQ16" s="175"/>
      <c r="WWR16" s="175"/>
      <c r="WWS16" s="175"/>
      <c r="WWT16" s="175"/>
      <c r="WWU16" s="175"/>
      <c r="WWV16" s="175"/>
      <c r="WWW16" s="175"/>
      <c r="WWX16" s="175"/>
      <c r="WWY16" s="175"/>
      <c r="WWZ16" s="175"/>
      <c r="WXA16" s="175"/>
      <c r="WXB16" s="175"/>
      <c r="WXC16" s="175"/>
      <c r="WXD16" s="175"/>
      <c r="WXE16" s="175"/>
      <c r="WXF16" s="175"/>
      <c r="WXG16" s="175"/>
      <c r="WXH16" s="175"/>
      <c r="WXI16" s="175"/>
      <c r="WXJ16" s="175"/>
      <c r="WXK16" s="175"/>
      <c r="WXL16" s="175"/>
      <c r="WXM16" s="175"/>
      <c r="WXN16" s="175"/>
      <c r="WXO16" s="175"/>
      <c r="WXP16" s="175"/>
      <c r="WXQ16" s="175"/>
      <c r="WXR16" s="175"/>
      <c r="WXS16" s="175"/>
      <c r="WXT16" s="175"/>
      <c r="WXU16" s="175"/>
      <c r="WXV16" s="175"/>
      <c r="WXW16" s="175"/>
      <c r="WXX16" s="175"/>
      <c r="WXY16" s="175"/>
      <c r="WXZ16" s="175"/>
      <c r="WYA16" s="175"/>
      <c r="WYB16" s="175"/>
      <c r="WYC16" s="175"/>
      <c r="WYD16" s="175"/>
      <c r="WYE16" s="175"/>
      <c r="WYF16" s="175"/>
      <c r="WYG16" s="175"/>
      <c r="WYH16" s="175"/>
      <c r="WYI16" s="175"/>
      <c r="WYJ16" s="175"/>
      <c r="WYK16" s="175"/>
      <c r="WYL16" s="175"/>
      <c r="WYM16" s="175"/>
      <c r="WYN16" s="175"/>
      <c r="WYO16" s="175"/>
      <c r="WYP16" s="175"/>
      <c r="WYQ16" s="175"/>
      <c r="WYR16" s="175"/>
      <c r="WYS16" s="175"/>
      <c r="WYT16" s="175"/>
      <c r="WYU16" s="175"/>
      <c r="WYV16" s="175"/>
      <c r="WYW16" s="175"/>
      <c r="WYX16" s="175"/>
      <c r="WYY16" s="175"/>
      <c r="WYZ16" s="175"/>
      <c r="WZA16" s="175"/>
      <c r="WZB16" s="175"/>
      <c r="WZC16" s="175"/>
      <c r="WZD16" s="175"/>
      <c r="WZE16" s="175"/>
      <c r="WZF16" s="175"/>
      <c r="WZG16" s="175"/>
      <c r="WZH16" s="175"/>
      <c r="WZI16" s="175"/>
      <c r="WZJ16" s="175"/>
      <c r="WZK16" s="175"/>
      <c r="WZL16" s="175"/>
      <c r="WZM16" s="175"/>
      <c r="WZN16" s="175"/>
      <c r="WZO16" s="175"/>
      <c r="WZP16" s="175"/>
      <c r="WZQ16" s="175"/>
      <c r="WZR16" s="175"/>
      <c r="WZS16" s="175"/>
      <c r="WZT16" s="175"/>
      <c r="WZU16" s="175"/>
      <c r="WZV16" s="175"/>
      <c r="WZW16" s="175"/>
      <c r="WZX16" s="175"/>
      <c r="WZY16" s="175"/>
      <c r="WZZ16" s="175"/>
      <c r="XAA16" s="175"/>
      <c r="XAB16" s="175"/>
      <c r="XAC16" s="175"/>
      <c r="XAD16" s="175"/>
      <c r="XAE16" s="175"/>
      <c r="XAF16" s="175"/>
      <c r="XAG16" s="175"/>
      <c r="XAH16" s="175"/>
      <c r="XAI16" s="175"/>
      <c r="XAJ16" s="175"/>
      <c r="XAK16" s="175"/>
      <c r="XAL16" s="175"/>
      <c r="XAM16" s="175"/>
      <c r="XAN16" s="175"/>
      <c r="XAO16" s="175"/>
      <c r="XAP16" s="175"/>
      <c r="XAQ16" s="175"/>
      <c r="XAR16" s="175"/>
      <c r="XAS16" s="175"/>
      <c r="XAT16" s="175"/>
      <c r="XAU16" s="175"/>
      <c r="XAV16" s="175"/>
      <c r="XAW16" s="175"/>
      <c r="XAX16" s="175"/>
      <c r="XAY16" s="175"/>
      <c r="XAZ16" s="175"/>
      <c r="XBA16" s="175"/>
      <c r="XBB16" s="175"/>
      <c r="XBC16" s="175"/>
      <c r="XBD16" s="175"/>
      <c r="XBE16" s="175"/>
      <c r="XBF16" s="175"/>
      <c r="XBG16" s="175"/>
      <c r="XBH16" s="175"/>
      <c r="XBI16" s="175"/>
      <c r="XBJ16" s="175"/>
      <c r="XBK16" s="175"/>
      <c r="XBL16" s="175"/>
      <c r="XBM16" s="175"/>
      <c r="XBN16" s="175"/>
      <c r="XBO16" s="175"/>
      <c r="XBP16" s="175"/>
      <c r="XBQ16" s="175"/>
      <c r="XBR16" s="175"/>
      <c r="XBS16" s="175"/>
      <c r="XBT16" s="175"/>
      <c r="XBU16" s="175"/>
      <c r="XBV16" s="175"/>
      <c r="XBW16" s="175"/>
      <c r="XBX16" s="175"/>
      <c r="XBY16" s="175"/>
      <c r="XBZ16" s="175"/>
      <c r="XCA16" s="175"/>
      <c r="XCB16" s="175"/>
      <c r="XCC16" s="175"/>
      <c r="XCD16" s="175"/>
      <c r="XCE16" s="175"/>
      <c r="XCF16" s="175"/>
      <c r="XCG16" s="175"/>
      <c r="XCH16" s="175"/>
      <c r="XCI16" s="175"/>
      <c r="XCJ16" s="175"/>
      <c r="XCK16" s="175"/>
      <c r="XCL16" s="175"/>
      <c r="XCM16" s="175"/>
      <c r="XCN16" s="175"/>
      <c r="XCO16" s="175"/>
      <c r="XCP16" s="175"/>
      <c r="XCQ16" s="175"/>
      <c r="XCR16" s="175"/>
      <c r="XCS16" s="175"/>
      <c r="XCT16" s="175"/>
      <c r="XCU16" s="175"/>
      <c r="XCV16" s="175"/>
      <c r="XCW16" s="175"/>
      <c r="XCX16" s="175"/>
      <c r="XCY16" s="175"/>
      <c r="XCZ16" s="175"/>
      <c r="XDA16" s="175"/>
      <c r="XDB16" s="175"/>
      <c r="XDC16" s="175"/>
      <c r="XDD16" s="175"/>
      <c r="XDE16" s="175"/>
      <c r="XDF16" s="175"/>
      <c r="XDG16" s="175"/>
      <c r="XDH16" s="175"/>
      <c r="XDI16" s="175"/>
      <c r="XDJ16" s="175"/>
      <c r="XDK16" s="175"/>
      <c r="XDL16" s="175"/>
      <c r="XDM16" s="175"/>
      <c r="XDN16" s="175"/>
      <c r="XDO16" s="175"/>
      <c r="XDP16" s="175"/>
      <c r="XDQ16" s="175"/>
      <c r="XDR16" s="175"/>
      <c r="XDS16" s="175"/>
      <c r="XDT16" s="175"/>
      <c r="XDU16" s="175"/>
      <c r="XDV16" s="175"/>
      <c r="XDW16" s="175"/>
      <c r="XDX16" s="175"/>
      <c r="XDY16" s="175"/>
      <c r="XDZ16" s="175"/>
      <c r="XEA16" s="175"/>
      <c r="XEB16" s="175"/>
      <c r="XEC16" s="175"/>
      <c r="XED16" s="175"/>
      <c r="XEE16" s="175"/>
      <c r="XEF16" s="175"/>
      <c r="XEG16" s="175"/>
      <c r="XEH16" s="175"/>
      <c r="XEI16" s="175"/>
      <c r="XEJ16" s="175"/>
      <c r="XEK16" s="175"/>
      <c r="XEL16" s="175"/>
      <c r="XEM16" s="175"/>
      <c r="XEN16" s="175"/>
      <c r="XEO16" s="175"/>
      <c r="XEP16" s="175"/>
      <c r="XEQ16" s="175"/>
      <c r="XER16" s="175"/>
      <c r="XES16" s="175"/>
      <c r="XET16" s="175"/>
      <c r="XEU16" s="175"/>
      <c r="XEV16" s="175"/>
      <c r="XEW16" s="175"/>
      <c r="XEX16" s="175"/>
      <c r="XEY16" s="175"/>
      <c r="XEZ16" s="175"/>
      <c r="XFA16" s="175"/>
      <c r="XFB16" s="175"/>
      <c r="XFC16" s="175"/>
      <c r="XFD16" s="175"/>
    </row>
    <row r="17" spans="1:16384" x14ac:dyDescent="0.2">
      <c r="A17" s="68">
        <v>13</v>
      </c>
      <c r="B17" s="77" t="s">
        <v>587</v>
      </c>
      <c r="C17" s="76" t="s">
        <v>589</v>
      </c>
      <c r="D17" s="76" t="s">
        <v>258</v>
      </c>
      <c r="E17" s="69">
        <v>7</v>
      </c>
      <c r="F17" s="70">
        <v>13</v>
      </c>
    </row>
    <row r="18" spans="1:16384" s="103" customFormat="1" ht="15.75" thickBot="1" x14ac:dyDescent="0.25">
      <c r="A18" s="186"/>
      <c r="B18" s="179" t="s">
        <v>588</v>
      </c>
      <c r="C18" s="188" t="s">
        <v>590</v>
      </c>
      <c r="D18" s="189" t="s">
        <v>834</v>
      </c>
      <c r="E18" s="188">
        <v>9</v>
      </c>
      <c r="F18" s="189">
        <v>9</v>
      </c>
    </row>
    <row r="19" spans="1:16384" x14ac:dyDescent="0.2">
      <c r="A19" s="68">
        <v>15</v>
      </c>
      <c r="B19" s="179" t="s">
        <v>583</v>
      </c>
      <c r="C19" s="76" t="s">
        <v>835</v>
      </c>
      <c r="D19" s="76" t="s">
        <v>835</v>
      </c>
      <c r="E19" s="69">
        <v>10</v>
      </c>
      <c r="F19" s="70">
        <v>11</v>
      </c>
    </row>
    <row r="20" spans="1:16384" x14ac:dyDescent="0.2">
      <c r="A20" s="68">
        <v>16</v>
      </c>
      <c r="B20" s="77" t="s">
        <v>584</v>
      </c>
      <c r="C20" s="76" t="s">
        <v>589</v>
      </c>
      <c r="D20" s="76" t="s">
        <v>258</v>
      </c>
      <c r="E20" s="69">
        <v>10</v>
      </c>
      <c r="F20" s="70">
        <v>9</v>
      </c>
    </row>
    <row r="21" spans="1:16384" s="103" customFormat="1" x14ac:dyDescent="0.2">
      <c r="A21" s="178">
        <v>17</v>
      </c>
      <c r="B21" s="75" t="s">
        <v>585</v>
      </c>
      <c r="C21" s="186" t="s">
        <v>589</v>
      </c>
      <c r="D21" s="186" t="s">
        <v>258</v>
      </c>
      <c r="E21" s="180">
        <v>11</v>
      </c>
      <c r="F21" s="181">
        <v>10</v>
      </c>
    </row>
    <row r="22" spans="1:16384" x14ac:dyDescent="0.2">
      <c r="A22" s="68">
        <v>18</v>
      </c>
      <c r="B22" s="77" t="s">
        <v>586</v>
      </c>
      <c r="C22" s="76" t="s">
        <v>591</v>
      </c>
      <c r="D22" s="76" t="s">
        <v>591</v>
      </c>
      <c r="E22" s="69">
        <v>8</v>
      </c>
      <c r="F22" s="70"/>
    </row>
    <row r="23" spans="1:16384" s="182" customFormat="1" x14ac:dyDescent="0.2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5"/>
      <c r="BZ23" s="175"/>
      <c r="CA23" s="175"/>
      <c r="CB23" s="175"/>
      <c r="CC23" s="175"/>
      <c r="CD23" s="175"/>
      <c r="CE23" s="175"/>
      <c r="CF23" s="175"/>
      <c r="CG23" s="17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175"/>
      <c r="CX23" s="175"/>
      <c r="CY23" s="175"/>
      <c r="CZ23" s="175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5"/>
      <c r="DL23" s="175"/>
      <c r="DM23" s="175"/>
      <c r="DN23" s="175"/>
      <c r="DO23" s="175"/>
      <c r="DP23" s="175"/>
      <c r="DQ23" s="175"/>
      <c r="DR23" s="175"/>
      <c r="DS23" s="175"/>
      <c r="DT23" s="175"/>
      <c r="DU23" s="175"/>
      <c r="DV23" s="175"/>
      <c r="DW23" s="175"/>
      <c r="DX23" s="175"/>
      <c r="DY23" s="175"/>
      <c r="DZ23" s="175"/>
      <c r="EA23" s="175"/>
      <c r="EB23" s="175"/>
      <c r="EC23" s="175"/>
      <c r="ED23" s="175"/>
      <c r="EE23" s="175"/>
      <c r="EF23" s="175"/>
      <c r="EG23" s="175"/>
      <c r="EH23" s="175"/>
      <c r="EI23" s="175"/>
      <c r="EJ23" s="175"/>
      <c r="EK23" s="175"/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  <c r="IR23" s="175"/>
      <c r="IS23" s="175"/>
      <c r="IT23" s="175"/>
      <c r="IU23" s="175"/>
      <c r="IV23" s="175"/>
      <c r="IW23" s="175"/>
      <c r="IX23" s="175"/>
      <c r="IY23" s="175"/>
      <c r="IZ23" s="175"/>
      <c r="JA23" s="175"/>
      <c r="JB23" s="175"/>
      <c r="JC23" s="175"/>
      <c r="JD23" s="175"/>
      <c r="JE23" s="175"/>
      <c r="JF23" s="175"/>
      <c r="JG23" s="175"/>
      <c r="JH23" s="175"/>
      <c r="JI23" s="175"/>
      <c r="JJ23" s="175"/>
      <c r="JK23" s="175"/>
      <c r="JL23" s="175"/>
      <c r="JM23" s="175"/>
      <c r="JN23" s="175"/>
      <c r="JO23" s="175"/>
      <c r="JP23" s="175"/>
      <c r="JQ23" s="175"/>
      <c r="JR23" s="175"/>
      <c r="JS23" s="175"/>
      <c r="JT23" s="175"/>
      <c r="JU23" s="175"/>
      <c r="JV23" s="175"/>
      <c r="JW23" s="175"/>
      <c r="JX23" s="175"/>
      <c r="JY23" s="175"/>
      <c r="JZ23" s="175"/>
      <c r="KA23" s="175"/>
      <c r="KB23" s="175"/>
      <c r="KC23" s="175"/>
      <c r="KD23" s="175"/>
      <c r="KE23" s="175"/>
      <c r="KF23" s="175"/>
      <c r="KG23" s="175"/>
      <c r="KH23" s="175"/>
      <c r="KI23" s="175"/>
      <c r="KJ23" s="175"/>
      <c r="KK23" s="175"/>
      <c r="KL23" s="175"/>
      <c r="KM23" s="175"/>
      <c r="KN23" s="175"/>
      <c r="KO23" s="175"/>
      <c r="KP23" s="175"/>
      <c r="KQ23" s="175"/>
      <c r="KR23" s="175"/>
      <c r="KS23" s="175"/>
      <c r="KT23" s="175"/>
      <c r="KU23" s="175"/>
      <c r="KV23" s="175"/>
      <c r="KW23" s="175"/>
      <c r="KX23" s="175"/>
      <c r="KY23" s="175"/>
      <c r="KZ23" s="175"/>
      <c r="LA23" s="175"/>
      <c r="LB23" s="175"/>
      <c r="LC23" s="175"/>
      <c r="LD23" s="175"/>
      <c r="LE23" s="175"/>
      <c r="LF23" s="175"/>
      <c r="LG23" s="175"/>
      <c r="LH23" s="175"/>
      <c r="LI23" s="175"/>
      <c r="LJ23" s="175"/>
      <c r="LK23" s="175"/>
      <c r="LL23" s="175"/>
      <c r="LM23" s="175"/>
      <c r="LN23" s="175"/>
      <c r="LO23" s="175"/>
      <c r="LP23" s="175"/>
      <c r="LQ23" s="175"/>
      <c r="LR23" s="175"/>
      <c r="LS23" s="175"/>
      <c r="LT23" s="175"/>
      <c r="LU23" s="175"/>
      <c r="LV23" s="175"/>
      <c r="LW23" s="175"/>
      <c r="LX23" s="175"/>
      <c r="LY23" s="175"/>
      <c r="LZ23" s="175"/>
      <c r="MA23" s="175"/>
      <c r="MB23" s="175"/>
      <c r="MC23" s="175"/>
      <c r="MD23" s="175"/>
      <c r="ME23" s="175"/>
      <c r="MF23" s="175"/>
      <c r="MG23" s="175"/>
      <c r="MH23" s="175"/>
      <c r="MI23" s="175"/>
      <c r="MJ23" s="175"/>
      <c r="MK23" s="175"/>
      <c r="ML23" s="175"/>
      <c r="MM23" s="175"/>
      <c r="MN23" s="175"/>
      <c r="MO23" s="175"/>
      <c r="MP23" s="175"/>
      <c r="MQ23" s="175"/>
      <c r="MR23" s="175"/>
      <c r="MS23" s="175"/>
      <c r="MT23" s="175"/>
      <c r="MU23" s="175"/>
      <c r="MV23" s="175"/>
      <c r="MW23" s="175"/>
      <c r="MX23" s="175"/>
      <c r="MY23" s="175"/>
      <c r="MZ23" s="175"/>
      <c r="NA23" s="175"/>
      <c r="NB23" s="175"/>
      <c r="NC23" s="175"/>
      <c r="ND23" s="175"/>
      <c r="NE23" s="175"/>
      <c r="NF23" s="175"/>
      <c r="NG23" s="175"/>
      <c r="NH23" s="175"/>
      <c r="NI23" s="175"/>
      <c r="NJ23" s="175"/>
      <c r="NK23" s="175"/>
      <c r="NL23" s="175"/>
      <c r="NM23" s="175"/>
      <c r="NN23" s="175"/>
      <c r="NO23" s="175"/>
      <c r="NP23" s="175"/>
      <c r="NQ23" s="175"/>
      <c r="NR23" s="175"/>
      <c r="NS23" s="175"/>
      <c r="NT23" s="175"/>
      <c r="NU23" s="175"/>
      <c r="NV23" s="175"/>
      <c r="NW23" s="175"/>
      <c r="NX23" s="175"/>
      <c r="NY23" s="175"/>
      <c r="NZ23" s="175"/>
      <c r="OA23" s="175"/>
      <c r="OB23" s="175"/>
      <c r="OC23" s="175"/>
      <c r="OD23" s="175"/>
      <c r="OE23" s="175"/>
      <c r="OF23" s="175"/>
      <c r="OG23" s="175"/>
      <c r="OH23" s="175"/>
      <c r="OI23" s="175"/>
      <c r="OJ23" s="175"/>
      <c r="OK23" s="175"/>
      <c r="OL23" s="175"/>
      <c r="OM23" s="175"/>
      <c r="ON23" s="175"/>
      <c r="OO23" s="175"/>
      <c r="OP23" s="175"/>
      <c r="OQ23" s="175"/>
      <c r="OR23" s="175"/>
      <c r="OS23" s="175"/>
      <c r="OT23" s="175"/>
      <c r="OU23" s="175"/>
      <c r="OV23" s="175"/>
      <c r="OW23" s="175"/>
      <c r="OX23" s="175"/>
      <c r="OY23" s="175"/>
      <c r="OZ23" s="175"/>
      <c r="PA23" s="175"/>
      <c r="PB23" s="175"/>
      <c r="PC23" s="175"/>
      <c r="PD23" s="175"/>
      <c r="PE23" s="175"/>
      <c r="PF23" s="175"/>
      <c r="PG23" s="175"/>
      <c r="PH23" s="175"/>
      <c r="PI23" s="175"/>
      <c r="PJ23" s="175"/>
      <c r="PK23" s="175"/>
      <c r="PL23" s="175"/>
      <c r="PM23" s="175"/>
      <c r="PN23" s="175"/>
      <c r="PO23" s="175"/>
      <c r="PP23" s="175"/>
      <c r="PQ23" s="175"/>
      <c r="PR23" s="175"/>
      <c r="PS23" s="175"/>
      <c r="PT23" s="175"/>
      <c r="PU23" s="175"/>
      <c r="PV23" s="175"/>
      <c r="PW23" s="175"/>
      <c r="PX23" s="175"/>
      <c r="PY23" s="175"/>
      <c r="PZ23" s="175"/>
      <c r="QA23" s="175"/>
      <c r="QB23" s="175"/>
      <c r="QC23" s="175"/>
      <c r="QD23" s="175"/>
      <c r="QE23" s="175"/>
      <c r="QF23" s="175"/>
      <c r="QG23" s="175"/>
      <c r="QH23" s="175"/>
      <c r="QI23" s="175"/>
      <c r="QJ23" s="175"/>
      <c r="QK23" s="175"/>
      <c r="QL23" s="175"/>
      <c r="QM23" s="175"/>
      <c r="QN23" s="175"/>
      <c r="QO23" s="175"/>
      <c r="QP23" s="175"/>
      <c r="QQ23" s="175"/>
      <c r="QR23" s="175"/>
      <c r="QS23" s="175"/>
      <c r="QT23" s="175"/>
      <c r="QU23" s="175"/>
      <c r="QV23" s="175"/>
      <c r="QW23" s="175"/>
      <c r="QX23" s="175"/>
      <c r="QY23" s="175"/>
      <c r="QZ23" s="175"/>
      <c r="RA23" s="175"/>
      <c r="RB23" s="175"/>
      <c r="RC23" s="175"/>
      <c r="RD23" s="175"/>
      <c r="RE23" s="175"/>
      <c r="RF23" s="175"/>
      <c r="RG23" s="175"/>
      <c r="RH23" s="175"/>
      <c r="RI23" s="175"/>
      <c r="RJ23" s="175"/>
      <c r="RK23" s="175"/>
      <c r="RL23" s="175"/>
      <c r="RM23" s="175"/>
      <c r="RN23" s="175"/>
      <c r="RO23" s="175"/>
      <c r="RP23" s="175"/>
      <c r="RQ23" s="175"/>
      <c r="RR23" s="175"/>
      <c r="RS23" s="175"/>
      <c r="RT23" s="175"/>
      <c r="RU23" s="175"/>
      <c r="RV23" s="175"/>
      <c r="RW23" s="175"/>
      <c r="RX23" s="175"/>
      <c r="RY23" s="175"/>
      <c r="RZ23" s="175"/>
      <c r="SA23" s="175"/>
      <c r="SB23" s="175"/>
      <c r="SC23" s="175"/>
      <c r="SD23" s="175"/>
      <c r="SE23" s="175"/>
      <c r="SF23" s="175"/>
      <c r="SG23" s="175"/>
      <c r="SH23" s="175"/>
      <c r="SI23" s="175"/>
      <c r="SJ23" s="175"/>
      <c r="SK23" s="175"/>
      <c r="SL23" s="175"/>
      <c r="SM23" s="175"/>
      <c r="SN23" s="175"/>
      <c r="SO23" s="175"/>
      <c r="SP23" s="175"/>
      <c r="SQ23" s="175"/>
      <c r="SR23" s="175"/>
      <c r="SS23" s="175"/>
      <c r="ST23" s="175"/>
      <c r="SU23" s="175"/>
      <c r="SV23" s="175"/>
      <c r="SW23" s="175"/>
      <c r="SX23" s="175"/>
      <c r="SY23" s="175"/>
      <c r="SZ23" s="175"/>
      <c r="TA23" s="175"/>
      <c r="TB23" s="175"/>
      <c r="TC23" s="175"/>
      <c r="TD23" s="175"/>
      <c r="TE23" s="175"/>
      <c r="TF23" s="175"/>
      <c r="TG23" s="175"/>
      <c r="TH23" s="175"/>
      <c r="TI23" s="175"/>
      <c r="TJ23" s="175"/>
      <c r="TK23" s="175"/>
      <c r="TL23" s="175"/>
      <c r="TM23" s="175"/>
      <c r="TN23" s="175"/>
      <c r="TO23" s="175"/>
      <c r="TP23" s="175"/>
      <c r="TQ23" s="175"/>
      <c r="TR23" s="175"/>
      <c r="TS23" s="175"/>
      <c r="TT23" s="175"/>
      <c r="TU23" s="175"/>
      <c r="TV23" s="175"/>
      <c r="TW23" s="175"/>
      <c r="TX23" s="175"/>
      <c r="TY23" s="175"/>
      <c r="TZ23" s="175"/>
      <c r="UA23" s="175"/>
      <c r="UB23" s="175"/>
      <c r="UC23" s="175"/>
      <c r="UD23" s="175"/>
      <c r="UE23" s="175"/>
      <c r="UF23" s="175"/>
      <c r="UG23" s="175"/>
      <c r="UH23" s="175"/>
      <c r="UI23" s="175"/>
      <c r="UJ23" s="175"/>
      <c r="UK23" s="175"/>
      <c r="UL23" s="175"/>
      <c r="UM23" s="175"/>
      <c r="UN23" s="175"/>
      <c r="UO23" s="175"/>
      <c r="UP23" s="175"/>
      <c r="UQ23" s="175"/>
      <c r="UR23" s="175"/>
      <c r="US23" s="175"/>
      <c r="UT23" s="175"/>
      <c r="UU23" s="175"/>
      <c r="UV23" s="175"/>
      <c r="UW23" s="175"/>
      <c r="UX23" s="175"/>
      <c r="UY23" s="175"/>
      <c r="UZ23" s="175"/>
      <c r="VA23" s="175"/>
      <c r="VB23" s="175"/>
      <c r="VC23" s="175"/>
      <c r="VD23" s="175"/>
      <c r="VE23" s="175"/>
      <c r="VF23" s="175"/>
      <c r="VG23" s="175"/>
      <c r="VH23" s="175"/>
      <c r="VI23" s="175"/>
      <c r="VJ23" s="175"/>
      <c r="VK23" s="175"/>
      <c r="VL23" s="175"/>
      <c r="VM23" s="175"/>
      <c r="VN23" s="175"/>
      <c r="VO23" s="175"/>
      <c r="VP23" s="175"/>
      <c r="VQ23" s="175"/>
      <c r="VR23" s="175"/>
      <c r="VS23" s="175"/>
      <c r="VT23" s="175"/>
      <c r="VU23" s="175"/>
      <c r="VV23" s="175"/>
      <c r="VW23" s="175"/>
      <c r="VX23" s="175"/>
      <c r="VY23" s="175"/>
      <c r="VZ23" s="175"/>
      <c r="WA23" s="175"/>
      <c r="WB23" s="175"/>
      <c r="WC23" s="175"/>
      <c r="WD23" s="175"/>
      <c r="WE23" s="175"/>
      <c r="WF23" s="175"/>
      <c r="WG23" s="175"/>
      <c r="WH23" s="175"/>
      <c r="WI23" s="175"/>
      <c r="WJ23" s="175"/>
      <c r="WK23" s="175"/>
      <c r="WL23" s="175"/>
      <c r="WM23" s="175"/>
      <c r="WN23" s="175"/>
      <c r="WO23" s="175"/>
      <c r="WP23" s="175"/>
      <c r="WQ23" s="175"/>
      <c r="WR23" s="175"/>
      <c r="WS23" s="175"/>
      <c r="WT23" s="175"/>
      <c r="WU23" s="175"/>
      <c r="WV23" s="175"/>
      <c r="WW23" s="175"/>
      <c r="WX23" s="175"/>
      <c r="WY23" s="175"/>
      <c r="WZ23" s="175"/>
      <c r="XA23" s="175"/>
      <c r="XB23" s="175"/>
      <c r="XC23" s="175"/>
      <c r="XD23" s="175"/>
      <c r="XE23" s="175"/>
      <c r="XF23" s="175"/>
      <c r="XG23" s="175"/>
      <c r="XH23" s="175"/>
      <c r="XI23" s="175"/>
      <c r="XJ23" s="175"/>
      <c r="XK23" s="175"/>
      <c r="XL23" s="175"/>
      <c r="XM23" s="175"/>
      <c r="XN23" s="175"/>
      <c r="XO23" s="175"/>
      <c r="XP23" s="175"/>
      <c r="XQ23" s="175"/>
      <c r="XR23" s="175"/>
      <c r="XS23" s="175"/>
      <c r="XT23" s="175"/>
      <c r="XU23" s="175"/>
      <c r="XV23" s="175"/>
      <c r="XW23" s="175"/>
      <c r="XX23" s="175"/>
      <c r="XY23" s="175"/>
      <c r="XZ23" s="175"/>
      <c r="YA23" s="175"/>
      <c r="YB23" s="175"/>
      <c r="YC23" s="175"/>
      <c r="YD23" s="175"/>
      <c r="YE23" s="175"/>
      <c r="YF23" s="175"/>
      <c r="YG23" s="175"/>
      <c r="YH23" s="175"/>
      <c r="YI23" s="175"/>
      <c r="YJ23" s="175"/>
      <c r="YK23" s="175"/>
      <c r="YL23" s="175"/>
      <c r="YM23" s="175"/>
      <c r="YN23" s="175"/>
      <c r="YO23" s="175"/>
      <c r="YP23" s="175"/>
      <c r="YQ23" s="175"/>
      <c r="YR23" s="175"/>
      <c r="YS23" s="175"/>
      <c r="YT23" s="175"/>
      <c r="YU23" s="175"/>
      <c r="YV23" s="175"/>
      <c r="YW23" s="175"/>
      <c r="YX23" s="175"/>
      <c r="YY23" s="175"/>
      <c r="YZ23" s="175"/>
      <c r="ZA23" s="175"/>
      <c r="ZB23" s="175"/>
      <c r="ZC23" s="175"/>
      <c r="ZD23" s="175"/>
      <c r="ZE23" s="175"/>
      <c r="ZF23" s="175"/>
      <c r="ZG23" s="175"/>
      <c r="ZH23" s="175"/>
      <c r="ZI23" s="175"/>
      <c r="ZJ23" s="175"/>
      <c r="ZK23" s="175"/>
      <c r="ZL23" s="175"/>
      <c r="ZM23" s="175"/>
      <c r="ZN23" s="175"/>
      <c r="ZO23" s="175"/>
      <c r="ZP23" s="175"/>
      <c r="ZQ23" s="175"/>
      <c r="ZR23" s="175"/>
      <c r="ZS23" s="175"/>
      <c r="ZT23" s="175"/>
      <c r="ZU23" s="175"/>
      <c r="ZV23" s="175"/>
      <c r="ZW23" s="175"/>
      <c r="ZX23" s="175"/>
      <c r="ZY23" s="175"/>
      <c r="ZZ23" s="175"/>
      <c r="AAA23" s="175"/>
      <c r="AAB23" s="175"/>
      <c r="AAC23" s="175"/>
      <c r="AAD23" s="175"/>
      <c r="AAE23" s="175"/>
      <c r="AAF23" s="175"/>
      <c r="AAG23" s="175"/>
      <c r="AAH23" s="175"/>
      <c r="AAI23" s="175"/>
      <c r="AAJ23" s="175"/>
      <c r="AAK23" s="175"/>
      <c r="AAL23" s="175"/>
      <c r="AAM23" s="175"/>
      <c r="AAN23" s="175"/>
      <c r="AAO23" s="175"/>
      <c r="AAP23" s="175"/>
      <c r="AAQ23" s="175"/>
      <c r="AAR23" s="175"/>
      <c r="AAS23" s="175"/>
      <c r="AAT23" s="175"/>
      <c r="AAU23" s="175"/>
      <c r="AAV23" s="175"/>
      <c r="AAW23" s="175"/>
      <c r="AAX23" s="175"/>
      <c r="AAY23" s="175"/>
      <c r="AAZ23" s="175"/>
      <c r="ABA23" s="175"/>
      <c r="ABB23" s="175"/>
      <c r="ABC23" s="175"/>
      <c r="ABD23" s="175"/>
      <c r="ABE23" s="175"/>
      <c r="ABF23" s="175"/>
      <c r="ABG23" s="175"/>
      <c r="ABH23" s="175"/>
      <c r="ABI23" s="175"/>
      <c r="ABJ23" s="175"/>
      <c r="ABK23" s="175"/>
      <c r="ABL23" s="175"/>
      <c r="ABM23" s="175"/>
      <c r="ABN23" s="175"/>
      <c r="ABO23" s="175"/>
      <c r="ABP23" s="175"/>
      <c r="ABQ23" s="175"/>
      <c r="ABR23" s="175"/>
      <c r="ABS23" s="175"/>
      <c r="ABT23" s="175"/>
      <c r="ABU23" s="175"/>
      <c r="ABV23" s="175"/>
      <c r="ABW23" s="175"/>
      <c r="ABX23" s="175"/>
      <c r="ABY23" s="175"/>
      <c r="ABZ23" s="175"/>
      <c r="ACA23" s="175"/>
      <c r="ACB23" s="175"/>
      <c r="ACC23" s="175"/>
      <c r="ACD23" s="175"/>
      <c r="ACE23" s="175"/>
      <c r="ACF23" s="175"/>
      <c r="ACG23" s="175"/>
      <c r="ACH23" s="175"/>
      <c r="ACI23" s="175"/>
      <c r="ACJ23" s="175"/>
      <c r="ACK23" s="175"/>
      <c r="ACL23" s="175"/>
      <c r="ACM23" s="175"/>
      <c r="ACN23" s="175"/>
      <c r="ACO23" s="175"/>
      <c r="ACP23" s="175"/>
      <c r="ACQ23" s="175"/>
      <c r="ACR23" s="175"/>
      <c r="ACS23" s="175"/>
      <c r="ACT23" s="175"/>
      <c r="ACU23" s="175"/>
      <c r="ACV23" s="175"/>
      <c r="ACW23" s="175"/>
      <c r="ACX23" s="175"/>
      <c r="ACY23" s="175"/>
      <c r="ACZ23" s="175"/>
      <c r="ADA23" s="175"/>
      <c r="ADB23" s="175"/>
      <c r="ADC23" s="175"/>
      <c r="ADD23" s="175"/>
      <c r="ADE23" s="175"/>
      <c r="ADF23" s="175"/>
      <c r="ADG23" s="175"/>
      <c r="ADH23" s="175"/>
      <c r="ADI23" s="175"/>
      <c r="ADJ23" s="175"/>
      <c r="ADK23" s="175"/>
      <c r="ADL23" s="175"/>
      <c r="ADM23" s="175"/>
      <c r="ADN23" s="175"/>
      <c r="ADO23" s="175"/>
      <c r="ADP23" s="175"/>
      <c r="ADQ23" s="175"/>
      <c r="ADR23" s="175"/>
      <c r="ADS23" s="175"/>
      <c r="ADT23" s="175"/>
      <c r="ADU23" s="175"/>
      <c r="ADV23" s="175"/>
      <c r="ADW23" s="175"/>
      <c r="ADX23" s="175"/>
      <c r="ADY23" s="175"/>
      <c r="ADZ23" s="175"/>
      <c r="AEA23" s="175"/>
      <c r="AEB23" s="175"/>
      <c r="AEC23" s="175"/>
      <c r="AED23" s="175"/>
      <c r="AEE23" s="175"/>
      <c r="AEF23" s="175"/>
      <c r="AEG23" s="175"/>
      <c r="AEH23" s="175"/>
      <c r="AEI23" s="175"/>
      <c r="AEJ23" s="175"/>
      <c r="AEK23" s="175"/>
      <c r="AEL23" s="175"/>
      <c r="AEM23" s="175"/>
      <c r="AEN23" s="175"/>
      <c r="AEO23" s="175"/>
      <c r="AEP23" s="175"/>
      <c r="AEQ23" s="175"/>
      <c r="AER23" s="175"/>
      <c r="AES23" s="175"/>
      <c r="AET23" s="175"/>
      <c r="AEU23" s="175"/>
      <c r="AEV23" s="175"/>
      <c r="AEW23" s="175"/>
      <c r="AEX23" s="175"/>
      <c r="AEY23" s="175"/>
      <c r="AEZ23" s="175"/>
      <c r="AFA23" s="175"/>
      <c r="AFB23" s="175"/>
      <c r="AFC23" s="175"/>
      <c r="AFD23" s="175"/>
      <c r="AFE23" s="175"/>
      <c r="AFF23" s="175"/>
      <c r="AFG23" s="175"/>
      <c r="AFH23" s="175"/>
      <c r="AFI23" s="175"/>
      <c r="AFJ23" s="175"/>
      <c r="AFK23" s="175"/>
      <c r="AFL23" s="175"/>
      <c r="AFM23" s="175"/>
      <c r="AFN23" s="175"/>
      <c r="AFO23" s="175"/>
      <c r="AFP23" s="175"/>
      <c r="AFQ23" s="175"/>
      <c r="AFR23" s="175"/>
      <c r="AFS23" s="175"/>
      <c r="AFT23" s="175"/>
      <c r="AFU23" s="175"/>
      <c r="AFV23" s="175"/>
      <c r="AFW23" s="175"/>
      <c r="AFX23" s="175"/>
      <c r="AFY23" s="175"/>
      <c r="AFZ23" s="175"/>
      <c r="AGA23" s="175"/>
      <c r="AGB23" s="175"/>
      <c r="AGC23" s="175"/>
      <c r="AGD23" s="175"/>
      <c r="AGE23" s="175"/>
      <c r="AGF23" s="175"/>
      <c r="AGG23" s="175"/>
      <c r="AGH23" s="175"/>
      <c r="AGI23" s="175"/>
      <c r="AGJ23" s="175"/>
      <c r="AGK23" s="175"/>
      <c r="AGL23" s="175"/>
      <c r="AGM23" s="175"/>
      <c r="AGN23" s="175"/>
      <c r="AGO23" s="175"/>
      <c r="AGP23" s="175"/>
      <c r="AGQ23" s="175"/>
      <c r="AGR23" s="175"/>
      <c r="AGS23" s="175"/>
      <c r="AGT23" s="175"/>
      <c r="AGU23" s="175"/>
      <c r="AGV23" s="175"/>
      <c r="AGW23" s="175"/>
      <c r="AGX23" s="175"/>
      <c r="AGY23" s="175"/>
      <c r="AGZ23" s="175"/>
      <c r="AHA23" s="175"/>
      <c r="AHB23" s="175"/>
      <c r="AHC23" s="175"/>
      <c r="AHD23" s="175"/>
      <c r="AHE23" s="175"/>
      <c r="AHF23" s="175"/>
      <c r="AHG23" s="175"/>
      <c r="AHH23" s="175"/>
      <c r="AHI23" s="175"/>
      <c r="AHJ23" s="175"/>
      <c r="AHK23" s="175"/>
      <c r="AHL23" s="175"/>
      <c r="AHM23" s="175"/>
      <c r="AHN23" s="175"/>
      <c r="AHO23" s="175"/>
      <c r="AHP23" s="175"/>
      <c r="AHQ23" s="175"/>
      <c r="AHR23" s="175"/>
      <c r="AHS23" s="175"/>
      <c r="AHT23" s="175"/>
      <c r="AHU23" s="175"/>
      <c r="AHV23" s="175"/>
      <c r="AHW23" s="175"/>
      <c r="AHX23" s="175"/>
      <c r="AHY23" s="175"/>
      <c r="AHZ23" s="175"/>
      <c r="AIA23" s="175"/>
      <c r="AIB23" s="175"/>
      <c r="AIC23" s="175"/>
      <c r="AID23" s="175"/>
      <c r="AIE23" s="175"/>
      <c r="AIF23" s="175"/>
      <c r="AIG23" s="175"/>
      <c r="AIH23" s="175"/>
      <c r="AII23" s="175"/>
      <c r="AIJ23" s="175"/>
      <c r="AIK23" s="175"/>
      <c r="AIL23" s="175"/>
      <c r="AIM23" s="175"/>
      <c r="AIN23" s="175"/>
      <c r="AIO23" s="175"/>
      <c r="AIP23" s="175"/>
      <c r="AIQ23" s="175"/>
      <c r="AIR23" s="175"/>
      <c r="AIS23" s="175"/>
      <c r="AIT23" s="175"/>
      <c r="AIU23" s="175"/>
      <c r="AIV23" s="175"/>
      <c r="AIW23" s="175"/>
      <c r="AIX23" s="175"/>
      <c r="AIY23" s="175"/>
      <c r="AIZ23" s="175"/>
      <c r="AJA23" s="175"/>
      <c r="AJB23" s="175"/>
      <c r="AJC23" s="175"/>
      <c r="AJD23" s="175"/>
      <c r="AJE23" s="175"/>
      <c r="AJF23" s="175"/>
      <c r="AJG23" s="175"/>
      <c r="AJH23" s="175"/>
      <c r="AJI23" s="175"/>
      <c r="AJJ23" s="175"/>
      <c r="AJK23" s="175"/>
      <c r="AJL23" s="175"/>
      <c r="AJM23" s="175"/>
      <c r="AJN23" s="175"/>
      <c r="AJO23" s="175"/>
      <c r="AJP23" s="175"/>
      <c r="AJQ23" s="175"/>
      <c r="AJR23" s="175"/>
      <c r="AJS23" s="175"/>
      <c r="AJT23" s="175"/>
      <c r="AJU23" s="175"/>
      <c r="AJV23" s="175"/>
      <c r="AJW23" s="175"/>
      <c r="AJX23" s="175"/>
      <c r="AJY23" s="175"/>
      <c r="AJZ23" s="175"/>
      <c r="AKA23" s="175"/>
      <c r="AKB23" s="175"/>
      <c r="AKC23" s="175"/>
      <c r="AKD23" s="175"/>
      <c r="AKE23" s="175"/>
      <c r="AKF23" s="175"/>
      <c r="AKG23" s="175"/>
      <c r="AKH23" s="175"/>
      <c r="AKI23" s="175"/>
      <c r="AKJ23" s="175"/>
      <c r="AKK23" s="175"/>
      <c r="AKL23" s="175"/>
      <c r="AKM23" s="175"/>
      <c r="AKN23" s="175"/>
      <c r="AKO23" s="175"/>
      <c r="AKP23" s="175"/>
      <c r="AKQ23" s="175"/>
      <c r="AKR23" s="175"/>
      <c r="AKS23" s="175"/>
      <c r="AKT23" s="175"/>
      <c r="AKU23" s="175"/>
      <c r="AKV23" s="175"/>
      <c r="AKW23" s="175"/>
      <c r="AKX23" s="175"/>
      <c r="AKY23" s="175"/>
      <c r="AKZ23" s="175"/>
      <c r="ALA23" s="175"/>
      <c r="ALB23" s="175"/>
      <c r="ALC23" s="175"/>
      <c r="ALD23" s="175"/>
      <c r="ALE23" s="175"/>
      <c r="ALF23" s="175"/>
      <c r="ALG23" s="175"/>
      <c r="ALH23" s="175"/>
      <c r="ALI23" s="175"/>
      <c r="ALJ23" s="175"/>
      <c r="ALK23" s="175"/>
      <c r="ALL23" s="175"/>
      <c r="ALM23" s="175"/>
      <c r="ALN23" s="175"/>
      <c r="ALO23" s="175"/>
      <c r="ALP23" s="175"/>
      <c r="ALQ23" s="175"/>
      <c r="ALR23" s="175"/>
      <c r="ALS23" s="175"/>
      <c r="ALT23" s="175"/>
      <c r="ALU23" s="175"/>
      <c r="ALV23" s="175"/>
      <c r="ALW23" s="175"/>
      <c r="ALX23" s="175"/>
      <c r="ALY23" s="175"/>
      <c r="ALZ23" s="175"/>
      <c r="AMA23" s="175"/>
      <c r="AMB23" s="175"/>
      <c r="AMC23" s="175"/>
      <c r="AMD23" s="175"/>
      <c r="AME23" s="175"/>
      <c r="AMF23" s="175"/>
      <c r="AMG23" s="175"/>
      <c r="AMH23" s="175"/>
      <c r="AMI23" s="175"/>
      <c r="AMJ23" s="175"/>
      <c r="AMK23" s="175"/>
      <c r="AML23" s="175"/>
      <c r="AMM23" s="175"/>
      <c r="AMN23" s="175"/>
      <c r="AMO23" s="175"/>
      <c r="AMP23" s="175"/>
      <c r="AMQ23" s="175"/>
      <c r="AMR23" s="175"/>
      <c r="AMS23" s="175"/>
      <c r="AMT23" s="175"/>
      <c r="AMU23" s="175"/>
      <c r="AMV23" s="175"/>
      <c r="AMW23" s="175"/>
      <c r="AMX23" s="175"/>
      <c r="AMY23" s="175"/>
      <c r="AMZ23" s="175"/>
      <c r="ANA23" s="175"/>
      <c r="ANB23" s="175"/>
      <c r="ANC23" s="175"/>
      <c r="AND23" s="175"/>
      <c r="ANE23" s="175"/>
      <c r="ANF23" s="175"/>
      <c r="ANG23" s="175"/>
      <c r="ANH23" s="175"/>
      <c r="ANI23" s="175"/>
      <c r="ANJ23" s="175"/>
      <c r="ANK23" s="175"/>
      <c r="ANL23" s="175"/>
      <c r="ANM23" s="175"/>
      <c r="ANN23" s="175"/>
      <c r="ANO23" s="175"/>
      <c r="ANP23" s="175"/>
      <c r="ANQ23" s="175"/>
      <c r="ANR23" s="175"/>
      <c r="ANS23" s="175"/>
      <c r="ANT23" s="175"/>
      <c r="ANU23" s="175"/>
      <c r="ANV23" s="175"/>
      <c r="ANW23" s="175"/>
      <c r="ANX23" s="175"/>
      <c r="ANY23" s="175"/>
      <c r="ANZ23" s="175"/>
      <c r="AOA23" s="175"/>
      <c r="AOB23" s="175"/>
      <c r="AOC23" s="175"/>
      <c r="AOD23" s="175"/>
      <c r="AOE23" s="175"/>
      <c r="AOF23" s="175"/>
      <c r="AOG23" s="175"/>
      <c r="AOH23" s="175"/>
      <c r="AOI23" s="175"/>
      <c r="AOJ23" s="175"/>
      <c r="AOK23" s="175"/>
      <c r="AOL23" s="175"/>
      <c r="AOM23" s="175"/>
      <c r="AON23" s="175"/>
      <c r="AOO23" s="175"/>
      <c r="AOP23" s="175"/>
      <c r="AOQ23" s="175"/>
      <c r="AOR23" s="175"/>
      <c r="AOS23" s="175"/>
      <c r="AOT23" s="175"/>
      <c r="AOU23" s="175"/>
      <c r="AOV23" s="175"/>
      <c r="AOW23" s="175"/>
      <c r="AOX23" s="175"/>
      <c r="AOY23" s="175"/>
      <c r="AOZ23" s="175"/>
      <c r="APA23" s="175"/>
      <c r="APB23" s="175"/>
      <c r="APC23" s="175"/>
      <c r="APD23" s="175"/>
      <c r="APE23" s="175"/>
      <c r="APF23" s="175"/>
      <c r="APG23" s="175"/>
      <c r="APH23" s="175"/>
      <c r="API23" s="175"/>
      <c r="APJ23" s="175"/>
      <c r="APK23" s="175"/>
      <c r="APL23" s="175"/>
      <c r="APM23" s="175"/>
      <c r="APN23" s="175"/>
      <c r="APO23" s="175"/>
      <c r="APP23" s="175"/>
      <c r="APQ23" s="175"/>
      <c r="APR23" s="175"/>
      <c r="APS23" s="175"/>
      <c r="APT23" s="175"/>
      <c r="APU23" s="175"/>
      <c r="APV23" s="175"/>
      <c r="APW23" s="175"/>
      <c r="APX23" s="175"/>
      <c r="APY23" s="175"/>
      <c r="APZ23" s="175"/>
      <c r="AQA23" s="175"/>
      <c r="AQB23" s="175"/>
      <c r="AQC23" s="175"/>
      <c r="AQD23" s="175"/>
      <c r="AQE23" s="175"/>
      <c r="AQF23" s="175"/>
      <c r="AQG23" s="175"/>
      <c r="AQH23" s="175"/>
      <c r="AQI23" s="175"/>
      <c r="AQJ23" s="175"/>
      <c r="AQK23" s="175"/>
      <c r="AQL23" s="175"/>
      <c r="AQM23" s="175"/>
      <c r="AQN23" s="175"/>
      <c r="AQO23" s="175"/>
      <c r="AQP23" s="175"/>
      <c r="AQQ23" s="175"/>
      <c r="AQR23" s="175"/>
      <c r="AQS23" s="175"/>
      <c r="AQT23" s="175"/>
      <c r="AQU23" s="175"/>
      <c r="AQV23" s="175"/>
      <c r="AQW23" s="175"/>
      <c r="AQX23" s="175"/>
      <c r="AQY23" s="175"/>
      <c r="AQZ23" s="175"/>
      <c r="ARA23" s="175"/>
      <c r="ARB23" s="175"/>
      <c r="ARC23" s="175"/>
      <c r="ARD23" s="175"/>
      <c r="ARE23" s="175"/>
      <c r="ARF23" s="175"/>
      <c r="ARG23" s="175"/>
      <c r="ARH23" s="175"/>
      <c r="ARI23" s="175"/>
      <c r="ARJ23" s="175"/>
      <c r="ARK23" s="175"/>
      <c r="ARL23" s="175"/>
      <c r="ARM23" s="175"/>
      <c r="ARN23" s="175"/>
      <c r="ARO23" s="175"/>
      <c r="ARP23" s="175"/>
      <c r="ARQ23" s="175"/>
      <c r="ARR23" s="175"/>
      <c r="ARS23" s="175"/>
      <c r="ART23" s="175"/>
      <c r="ARU23" s="175"/>
      <c r="ARV23" s="175"/>
      <c r="ARW23" s="175"/>
      <c r="ARX23" s="175"/>
      <c r="ARY23" s="175"/>
      <c r="ARZ23" s="175"/>
      <c r="ASA23" s="175"/>
      <c r="ASB23" s="175"/>
      <c r="ASC23" s="175"/>
      <c r="ASD23" s="175"/>
      <c r="ASE23" s="175"/>
      <c r="ASF23" s="175"/>
      <c r="ASG23" s="175"/>
      <c r="ASH23" s="175"/>
      <c r="ASI23" s="175"/>
      <c r="ASJ23" s="175"/>
      <c r="ASK23" s="175"/>
      <c r="ASL23" s="175"/>
      <c r="ASM23" s="175"/>
      <c r="ASN23" s="175"/>
      <c r="ASO23" s="175"/>
      <c r="ASP23" s="175"/>
      <c r="ASQ23" s="175"/>
      <c r="ASR23" s="175"/>
      <c r="ASS23" s="175"/>
      <c r="AST23" s="175"/>
      <c r="ASU23" s="175"/>
      <c r="ASV23" s="175"/>
      <c r="ASW23" s="175"/>
      <c r="ASX23" s="175"/>
      <c r="ASY23" s="175"/>
      <c r="ASZ23" s="175"/>
      <c r="ATA23" s="175"/>
      <c r="ATB23" s="175"/>
      <c r="ATC23" s="175"/>
      <c r="ATD23" s="175"/>
      <c r="ATE23" s="175"/>
      <c r="ATF23" s="175"/>
      <c r="ATG23" s="175"/>
      <c r="ATH23" s="175"/>
      <c r="ATI23" s="175"/>
      <c r="ATJ23" s="175"/>
      <c r="ATK23" s="175"/>
      <c r="ATL23" s="175"/>
      <c r="ATM23" s="175"/>
      <c r="ATN23" s="175"/>
      <c r="ATO23" s="175"/>
      <c r="ATP23" s="175"/>
      <c r="ATQ23" s="175"/>
      <c r="ATR23" s="175"/>
      <c r="ATS23" s="175"/>
      <c r="ATT23" s="175"/>
      <c r="ATU23" s="175"/>
      <c r="ATV23" s="175"/>
      <c r="ATW23" s="175"/>
      <c r="ATX23" s="175"/>
      <c r="ATY23" s="175"/>
      <c r="ATZ23" s="175"/>
      <c r="AUA23" s="175"/>
      <c r="AUB23" s="175"/>
      <c r="AUC23" s="175"/>
      <c r="AUD23" s="175"/>
      <c r="AUE23" s="175"/>
      <c r="AUF23" s="175"/>
      <c r="AUG23" s="175"/>
      <c r="AUH23" s="175"/>
      <c r="AUI23" s="175"/>
      <c r="AUJ23" s="175"/>
      <c r="AUK23" s="175"/>
      <c r="AUL23" s="175"/>
      <c r="AUM23" s="175"/>
      <c r="AUN23" s="175"/>
      <c r="AUO23" s="175"/>
      <c r="AUP23" s="175"/>
      <c r="AUQ23" s="175"/>
      <c r="AUR23" s="175"/>
      <c r="AUS23" s="175"/>
      <c r="AUT23" s="175"/>
      <c r="AUU23" s="175"/>
      <c r="AUV23" s="175"/>
      <c r="AUW23" s="175"/>
      <c r="AUX23" s="175"/>
      <c r="AUY23" s="175"/>
      <c r="AUZ23" s="175"/>
      <c r="AVA23" s="175"/>
      <c r="AVB23" s="175"/>
      <c r="AVC23" s="175"/>
      <c r="AVD23" s="175"/>
      <c r="AVE23" s="175"/>
      <c r="AVF23" s="175"/>
      <c r="AVG23" s="175"/>
      <c r="AVH23" s="175"/>
      <c r="AVI23" s="175"/>
      <c r="AVJ23" s="175"/>
      <c r="AVK23" s="175"/>
      <c r="AVL23" s="175"/>
      <c r="AVM23" s="175"/>
      <c r="AVN23" s="175"/>
      <c r="AVO23" s="175"/>
      <c r="AVP23" s="175"/>
      <c r="AVQ23" s="175"/>
      <c r="AVR23" s="175"/>
      <c r="AVS23" s="175"/>
      <c r="AVT23" s="175"/>
      <c r="AVU23" s="175"/>
      <c r="AVV23" s="175"/>
      <c r="AVW23" s="175"/>
      <c r="AVX23" s="175"/>
      <c r="AVY23" s="175"/>
      <c r="AVZ23" s="175"/>
      <c r="AWA23" s="175"/>
      <c r="AWB23" s="175"/>
      <c r="AWC23" s="175"/>
      <c r="AWD23" s="175"/>
      <c r="AWE23" s="175"/>
      <c r="AWF23" s="175"/>
      <c r="AWG23" s="175"/>
      <c r="AWH23" s="175"/>
      <c r="AWI23" s="175"/>
      <c r="AWJ23" s="175"/>
      <c r="AWK23" s="175"/>
      <c r="AWL23" s="175"/>
      <c r="AWM23" s="175"/>
      <c r="AWN23" s="175"/>
      <c r="AWO23" s="175"/>
      <c r="AWP23" s="175"/>
      <c r="AWQ23" s="175"/>
      <c r="AWR23" s="175"/>
      <c r="AWS23" s="175"/>
      <c r="AWT23" s="175"/>
      <c r="AWU23" s="175"/>
      <c r="AWV23" s="175"/>
      <c r="AWW23" s="175"/>
      <c r="AWX23" s="175"/>
      <c r="AWY23" s="175"/>
      <c r="AWZ23" s="175"/>
      <c r="AXA23" s="175"/>
      <c r="AXB23" s="175"/>
      <c r="AXC23" s="175"/>
      <c r="AXD23" s="175"/>
      <c r="AXE23" s="175"/>
      <c r="AXF23" s="175"/>
      <c r="AXG23" s="175"/>
      <c r="AXH23" s="175"/>
      <c r="AXI23" s="175"/>
      <c r="AXJ23" s="175"/>
      <c r="AXK23" s="175"/>
      <c r="AXL23" s="175"/>
      <c r="AXM23" s="175"/>
      <c r="AXN23" s="175"/>
      <c r="AXO23" s="175"/>
      <c r="AXP23" s="175"/>
      <c r="AXQ23" s="175"/>
      <c r="AXR23" s="175"/>
      <c r="AXS23" s="175"/>
      <c r="AXT23" s="175"/>
      <c r="AXU23" s="175"/>
      <c r="AXV23" s="175"/>
      <c r="AXW23" s="175"/>
      <c r="AXX23" s="175"/>
      <c r="AXY23" s="175"/>
      <c r="AXZ23" s="175"/>
      <c r="AYA23" s="175"/>
      <c r="AYB23" s="175"/>
      <c r="AYC23" s="175"/>
      <c r="AYD23" s="175"/>
      <c r="AYE23" s="175"/>
      <c r="AYF23" s="175"/>
      <c r="AYG23" s="175"/>
      <c r="AYH23" s="175"/>
      <c r="AYI23" s="175"/>
      <c r="AYJ23" s="175"/>
      <c r="AYK23" s="175"/>
      <c r="AYL23" s="175"/>
      <c r="AYM23" s="175"/>
      <c r="AYN23" s="175"/>
      <c r="AYO23" s="175"/>
      <c r="AYP23" s="175"/>
      <c r="AYQ23" s="175"/>
      <c r="AYR23" s="175"/>
      <c r="AYS23" s="175"/>
      <c r="AYT23" s="175"/>
      <c r="AYU23" s="175"/>
      <c r="AYV23" s="175"/>
      <c r="AYW23" s="175"/>
      <c r="AYX23" s="175"/>
      <c r="AYY23" s="175"/>
      <c r="AYZ23" s="175"/>
      <c r="AZA23" s="175"/>
      <c r="AZB23" s="175"/>
      <c r="AZC23" s="175"/>
      <c r="AZD23" s="175"/>
      <c r="AZE23" s="175"/>
      <c r="AZF23" s="175"/>
      <c r="AZG23" s="175"/>
      <c r="AZH23" s="175"/>
      <c r="AZI23" s="175"/>
      <c r="AZJ23" s="175"/>
      <c r="AZK23" s="175"/>
      <c r="AZL23" s="175"/>
      <c r="AZM23" s="175"/>
      <c r="AZN23" s="175"/>
      <c r="AZO23" s="175"/>
      <c r="AZP23" s="175"/>
      <c r="AZQ23" s="175"/>
      <c r="AZR23" s="175"/>
      <c r="AZS23" s="175"/>
      <c r="AZT23" s="175"/>
      <c r="AZU23" s="175"/>
      <c r="AZV23" s="175"/>
      <c r="AZW23" s="175"/>
      <c r="AZX23" s="175"/>
      <c r="AZY23" s="175"/>
      <c r="AZZ23" s="175"/>
      <c r="BAA23" s="175"/>
      <c r="BAB23" s="175"/>
      <c r="BAC23" s="175"/>
      <c r="BAD23" s="175"/>
      <c r="BAE23" s="175"/>
      <c r="BAF23" s="175"/>
      <c r="BAG23" s="175"/>
      <c r="BAH23" s="175"/>
      <c r="BAI23" s="175"/>
      <c r="BAJ23" s="175"/>
      <c r="BAK23" s="175"/>
      <c r="BAL23" s="175"/>
      <c r="BAM23" s="175"/>
      <c r="BAN23" s="175"/>
      <c r="BAO23" s="175"/>
      <c r="BAP23" s="175"/>
      <c r="BAQ23" s="175"/>
      <c r="BAR23" s="175"/>
      <c r="BAS23" s="175"/>
      <c r="BAT23" s="175"/>
      <c r="BAU23" s="175"/>
      <c r="BAV23" s="175"/>
      <c r="BAW23" s="175"/>
      <c r="BAX23" s="175"/>
      <c r="BAY23" s="175"/>
      <c r="BAZ23" s="175"/>
      <c r="BBA23" s="175"/>
      <c r="BBB23" s="175"/>
      <c r="BBC23" s="175"/>
      <c r="BBD23" s="175"/>
      <c r="BBE23" s="175"/>
      <c r="BBF23" s="175"/>
      <c r="BBG23" s="175"/>
      <c r="BBH23" s="175"/>
      <c r="BBI23" s="175"/>
      <c r="BBJ23" s="175"/>
      <c r="BBK23" s="175"/>
      <c r="BBL23" s="175"/>
      <c r="BBM23" s="175"/>
      <c r="BBN23" s="175"/>
      <c r="BBO23" s="175"/>
      <c r="BBP23" s="175"/>
      <c r="BBQ23" s="175"/>
      <c r="BBR23" s="175"/>
      <c r="BBS23" s="175"/>
      <c r="BBT23" s="175"/>
      <c r="BBU23" s="175"/>
      <c r="BBV23" s="175"/>
      <c r="BBW23" s="175"/>
      <c r="BBX23" s="175"/>
      <c r="BBY23" s="175"/>
      <c r="BBZ23" s="175"/>
      <c r="BCA23" s="175"/>
      <c r="BCB23" s="175"/>
      <c r="BCC23" s="175"/>
      <c r="BCD23" s="175"/>
      <c r="BCE23" s="175"/>
      <c r="BCF23" s="175"/>
      <c r="BCG23" s="175"/>
      <c r="BCH23" s="175"/>
      <c r="BCI23" s="175"/>
      <c r="BCJ23" s="175"/>
      <c r="BCK23" s="175"/>
      <c r="BCL23" s="175"/>
      <c r="BCM23" s="175"/>
      <c r="BCN23" s="175"/>
      <c r="BCO23" s="175"/>
      <c r="BCP23" s="175"/>
      <c r="BCQ23" s="175"/>
      <c r="BCR23" s="175"/>
      <c r="BCS23" s="175"/>
      <c r="BCT23" s="175"/>
      <c r="BCU23" s="175"/>
      <c r="BCV23" s="175"/>
      <c r="BCW23" s="175"/>
      <c r="BCX23" s="175"/>
      <c r="BCY23" s="175"/>
      <c r="BCZ23" s="175"/>
      <c r="BDA23" s="175"/>
      <c r="BDB23" s="175"/>
      <c r="BDC23" s="175"/>
      <c r="BDD23" s="175"/>
      <c r="BDE23" s="175"/>
      <c r="BDF23" s="175"/>
      <c r="BDG23" s="175"/>
      <c r="BDH23" s="175"/>
      <c r="BDI23" s="175"/>
      <c r="BDJ23" s="175"/>
      <c r="BDK23" s="175"/>
      <c r="BDL23" s="175"/>
      <c r="BDM23" s="175"/>
      <c r="BDN23" s="175"/>
      <c r="BDO23" s="175"/>
      <c r="BDP23" s="175"/>
      <c r="BDQ23" s="175"/>
      <c r="BDR23" s="175"/>
      <c r="BDS23" s="175"/>
      <c r="BDT23" s="175"/>
      <c r="BDU23" s="175"/>
      <c r="BDV23" s="175"/>
      <c r="BDW23" s="175"/>
      <c r="BDX23" s="175"/>
      <c r="BDY23" s="175"/>
      <c r="BDZ23" s="175"/>
      <c r="BEA23" s="175"/>
      <c r="BEB23" s="175"/>
      <c r="BEC23" s="175"/>
      <c r="BED23" s="175"/>
      <c r="BEE23" s="175"/>
      <c r="BEF23" s="175"/>
      <c r="BEG23" s="175"/>
      <c r="BEH23" s="175"/>
      <c r="BEI23" s="175"/>
      <c r="BEJ23" s="175"/>
      <c r="BEK23" s="175"/>
      <c r="BEL23" s="175"/>
      <c r="BEM23" s="175"/>
      <c r="BEN23" s="175"/>
      <c r="BEO23" s="175"/>
      <c r="BEP23" s="175"/>
      <c r="BEQ23" s="175"/>
      <c r="BER23" s="175"/>
      <c r="BES23" s="175"/>
      <c r="BET23" s="175"/>
      <c r="BEU23" s="175"/>
      <c r="BEV23" s="175"/>
      <c r="BEW23" s="175"/>
      <c r="BEX23" s="175"/>
      <c r="BEY23" s="175"/>
      <c r="BEZ23" s="175"/>
      <c r="BFA23" s="175"/>
      <c r="BFB23" s="175"/>
      <c r="BFC23" s="175"/>
      <c r="BFD23" s="175"/>
      <c r="BFE23" s="175"/>
      <c r="BFF23" s="175"/>
      <c r="BFG23" s="175"/>
      <c r="BFH23" s="175"/>
      <c r="BFI23" s="175"/>
      <c r="BFJ23" s="175"/>
      <c r="BFK23" s="175"/>
      <c r="BFL23" s="175"/>
      <c r="BFM23" s="175"/>
      <c r="BFN23" s="175"/>
      <c r="BFO23" s="175"/>
      <c r="BFP23" s="175"/>
      <c r="BFQ23" s="175"/>
      <c r="BFR23" s="175"/>
      <c r="BFS23" s="175"/>
      <c r="BFT23" s="175"/>
      <c r="BFU23" s="175"/>
      <c r="BFV23" s="175"/>
      <c r="BFW23" s="175"/>
      <c r="BFX23" s="175"/>
      <c r="BFY23" s="175"/>
      <c r="BFZ23" s="175"/>
      <c r="BGA23" s="175"/>
      <c r="BGB23" s="175"/>
      <c r="BGC23" s="175"/>
      <c r="BGD23" s="175"/>
      <c r="BGE23" s="175"/>
      <c r="BGF23" s="175"/>
      <c r="BGG23" s="175"/>
      <c r="BGH23" s="175"/>
      <c r="BGI23" s="175"/>
      <c r="BGJ23" s="175"/>
      <c r="BGK23" s="175"/>
      <c r="BGL23" s="175"/>
      <c r="BGM23" s="175"/>
      <c r="BGN23" s="175"/>
      <c r="BGO23" s="175"/>
      <c r="BGP23" s="175"/>
      <c r="BGQ23" s="175"/>
      <c r="BGR23" s="175"/>
      <c r="BGS23" s="175"/>
      <c r="BGT23" s="175"/>
      <c r="BGU23" s="175"/>
      <c r="BGV23" s="175"/>
      <c r="BGW23" s="175"/>
      <c r="BGX23" s="175"/>
      <c r="BGY23" s="175"/>
      <c r="BGZ23" s="175"/>
      <c r="BHA23" s="175"/>
      <c r="BHB23" s="175"/>
      <c r="BHC23" s="175"/>
      <c r="BHD23" s="175"/>
      <c r="BHE23" s="175"/>
      <c r="BHF23" s="175"/>
      <c r="BHG23" s="175"/>
      <c r="BHH23" s="175"/>
      <c r="BHI23" s="175"/>
      <c r="BHJ23" s="175"/>
      <c r="BHK23" s="175"/>
      <c r="BHL23" s="175"/>
      <c r="BHM23" s="175"/>
      <c r="BHN23" s="175"/>
      <c r="BHO23" s="175"/>
      <c r="BHP23" s="175"/>
      <c r="BHQ23" s="175"/>
      <c r="BHR23" s="175"/>
      <c r="BHS23" s="175"/>
      <c r="BHT23" s="175"/>
      <c r="BHU23" s="175"/>
      <c r="BHV23" s="175"/>
      <c r="BHW23" s="175"/>
      <c r="BHX23" s="175"/>
      <c r="BHY23" s="175"/>
      <c r="BHZ23" s="175"/>
      <c r="BIA23" s="175"/>
      <c r="BIB23" s="175"/>
      <c r="BIC23" s="175"/>
      <c r="BID23" s="175"/>
      <c r="BIE23" s="175"/>
      <c r="BIF23" s="175"/>
      <c r="BIG23" s="175"/>
      <c r="BIH23" s="175"/>
      <c r="BII23" s="175"/>
      <c r="BIJ23" s="175"/>
      <c r="BIK23" s="175"/>
      <c r="BIL23" s="175"/>
      <c r="BIM23" s="175"/>
      <c r="BIN23" s="175"/>
      <c r="BIO23" s="175"/>
      <c r="BIP23" s="175"/>
      <c r="BIQ23" s="175"/>
      <c r="BIR23" s="175"/>
      <c r="BIS23" s="175"/>
      <c r="BIT23" s="175"/>
      <c r="BIU23" s="175"/>
      <c r="BIV23" s="175"/>
      <c r="BIW23" s="175"/>
      <c r="BIX23" s="175"/>
      <c r="BIY23" s="175"/>
      <c r="BIZ23" s="175"/>
      <c r="BJA23" s="175"/>
      <c r="BJB23" s="175"/>
      <c r="BJC23" s="175"/>
      <c r="BJD23" s="175"/>
      <c r="BJE23" s="175"/>
      <c r="BJF23" s="175"/>
      <c r="BJG23" s="175"/>
      <c r="BJH23" s="175"/>
      <c r="BJI23" s="175"/>
      <c r="BJJ23" s="175"/>
      <c r="BJK23" s="175"/>
      <c r="BJL23" s="175"/>
      <c r="BJM23" s="175"/>
      <c r="BJN23" s="175"/>
      <c r="BJO23" s="175"/>
      <c r="BJP23" s="175"/>
      <c r="BJQ23" s="175"/>
      <c r="BJR23" s="175"/>
      <c r="BJS23" s="175"/>
      <c r="BJT23" s="175"/>
      <c r="BJU23" s="175"/>
      <c r="BJV23" s="175"/>
      <c r="BJW23" s="175"/>
      <c r="BJX23" s="175"/>
      <c r="BJY23" s="175"/>
      <c r="BJZ23" s="175"/>
      <c r="BKA23" s="175"/>
      <c r="BKB23" s="175"/>
      <c r="BKC23" s="175"/>
      <c r="BKD23" s="175"/>
      <c r="BKE23" s="175"/>
      <c r="BKF23" s="175"/>
      <c r="BKG23" s="175"/>
      <c r="BKH23" s="175"/>
      <c r="BKI23" s="175"/>
      <c r="BKJ23" s="175"/>
      <c r="BKK23" s="175"/>
      <c r="BKL23" s="175"/>
      <c r="BKM23" s="175"/>
      <c r="BKN23" s="175"/>
      <c r="BKO23" s="175"/>
      <c r="BKP23" s="175"/>
      <c r="BKQ23" s="175"/>
      <c r="BKR23" s="175"/>
      <c r="BKS23" s="175"/>
      <c r="BKT23" s="175"/>
      <c r="BKU23" s="175"/>
      <c r="BKV23" s="175"/>
      <c r="BKW23" s="175"/>
      <c r="BKX23" s="175"/>
      <c r="BKY23" s="175"/>
      <c r="BKZ23" s="175"/>
      <c r="BLA23" s="175"/>
      <c r="BLB23" s="175"/>
      <c r="BLC23" s="175"/>
      <c r="BLD23" s="175"/>
      <c r="BLE23" s="175"/>
      <c r="BLF23" s="175"/>
      <c r="BLG23" s="175"/>
      <c r="BLH23" s="175"/>
      <c r="BLI23" s="175"/>
      <c r="BLJ23" s="175"/>
      <c r="BLK23" s="175"/>
      <c r="BLL23" s="175"/>
      <c r="BLM23" s="175"/>
      <c r="BLN23" s="175"/>
      <c r="BLO23" s="175"/>
      <c r="BLP23" s="175"/>
      <c r="BLQ23" s="175"/>
      <c r="BLR23" s="175"/>
      <c r="BLS23" s="175"/>
      <c r="BLT23" s="175"/>
      <c r="BLU23" s="175"/>
      <c r="BLV23" s="175"/>
      <c r="BLW23" s="175"/>
      <c r="BLX23" s="175"/>
      <c r="BLY23" s="175"/>
      <c r="BLZ23" s="175"/>
      <c r="BMA23" s="175"/>
      <c r="BMB23" s="175"/>
      <c r="BMC23" s="175"/>
      <c r="BMD23" s="175"/>
      <c r="BME23" s="175"/>
      <c r="BMF23" s="175"/>
      <c r="BMG23" s="175"/>
      <c r="BMH23" s="175"/>
      <c r="BMI23" s="175"/>
      <c r="BMJ23" s="175"/>
      <c r="BMK23" s="175"/>
      <c r="BML23" s="175"/>
      <c r="BMM23" s="175"/>
      <c r="BMN23" s="175"/>
      <c r="BMO23" s="175"/>
      <c r="BMP23" s="175"/>
      <c r="BMQ23" s="175"/>
      <c r="BMR23" s="175"/>
      <c r="BMS23" s="175"/>
      <c r="BMT23" s="175"/>
      <c r="BMU23" s="175"/>
      <c r="BMV23" s="175"/>
      <c r="BMW23" s="175"/>
      <c r="BMX23" s="175"/>
      <c r="BMY23" s="175"/>
      <c r="BMZ23" s="175"/>
      <c r="BNA23" s="175"/>
      <c r="BNB23" s="175"/>
      <c r="BNC23" s="175"/>
      <c r="BND23" s="175"/>
      <c r="BNE23" s="175"/>
      <c r="BNF23" s="175"/>
      <c r="BNG23" s="175"/>
      <c r="BNH23" s="175"/>
      <c r="BNI23" s="175"/>
      <c r="BNJ23" s="175"/>
      <c r="BNK23" s="175"/>
      <c r="BNL23" s="175"/>
      <c r="BNM23" s="175"/>
      <c r="BNN23" s="175"/>
      <c r="BNO23" s="175"/>
      <c r="BNP23" s="175"/>
      <c r="BNQ23" s="175"/>
      <c r="BNR23" s="175"/>
      <c r="BNS23" s="175"/>
      <c r="BNT23" s="175"/>
      <c r="BNU23" s="175"/>
      <c r="BNV23" s="175"/>
      <c r="BNW23" s="175"/>
      <c r="BNX23" s="175"/>
      <c r="BNY23" s="175"/>
      <c r="BNZ23" s="175"/>
      <c r="BOA23" s="175"/>
      <c r="BOB23" s="175"/>
      <c r="BOC23" s="175"/>
      <c r="BOD23" s="175"/>
      <c r="BOE23" s="175"/>
      <c r="BOF23" s="175"/>
      <c r="BOG23" s="175"/>
      <c r="BOH23" s="175"/>
      <c r="BOI23" s="175"/>
      <c r="BOJ23" s="175"/>
      <c r="BOK23" s="175"/>
      <c r="BOL23" s="175"/>
      <c r="BOM23" s="175"/>
      <c r="BON23" s="175"/>
      <c r="BOO23" s="175"/>
      <c r="BOP23" s="175"/>
      <c r="BOQ23" s="175"/>
      <c r="BOR23" s="175"/>
      <c r="BOS23" s="175"/>
      <c r="BOT23" s="175"/>
      <c r="BOU23" s="175"/>
      <c r="BOV23" s="175"/>
      <c r="BOW23" s="175"/>
      <c r="BOX23" s="175"/>
      <c r="BOY23" s="175"/>
      <c r="BOZ23" s="175"/>
      <c r="BPA23" s="175"/>
      <c r="BPB23" s="175"/>
      <c r="BPC23" s="175"/>
      <c r="BPD23" s="175"/>
      <c r="BPE23" s="175"/>
      <c r="BPF23" s="175"/>
      <c r="BPG23" s="175"/>
      <c r="BPH23" s="175"/>
      <c r="BPI23" s="175"/>
      <c r="BPJ23" s="175"/>
      <c r="BPK23" s="175"/>
      <c r="BPL23" s="175"/>
      <c r="BPM23" s="175"/>
      <c r="BPN23" s="175"/>
      <c r="BPO23" s="175"/>
      <c r="BPP23" s="175"/>
      <c r="BPQ23" s="175"/>
      <c r="BPR23" s="175"/>
      <c r="BPS23" s="175"/>
      <c r="BPT23" s="175"/>
      <c r="BPU23" s="175"/>
      <c r="BPV23" s="175"/>
      <c r="BPW23" s="175"/>
      <c r="BPX23" s="175"/>
      <c r="BPY23" s="175"/>
      <c r="BPZ23" s="175"/>
      <c r="BQA23" s="175"/>
      <c r="BQB23" s="175"/>
      <c r="BQC23" s="175"/>
      <c r="BQD23" s="175"/>
      <c r="BQE23" s="175"/>
      <c r="BQF23" s="175"/>
      <c r="BQG23" s="175"/>
      <c r="BQH23" s="175"/>
      <c r="BQI23" s="175"/>
      <c r="BQJ23" s="175"/>
      <c r="BQK23" s="175"/>
      <c r="BQL23" s="175"/>
      <c r="BQM23" s="175"/>
      <c r="BQN23" s="175"/>
      <c r="BQO23" s="175"/>
      <c r="BQP23" s="175"/>
      <c r="BQQ23" s="175"/>
      <c r="BQR23" s="175"/>
      <c r="BQS23" s="175"/>
      <c r="BQT23" s="175"/>
      <c r="BQU23" s="175"/>
      <c r="BQV23" s="175"/>
      <c r="BQW23" s="175"/>
      <c r="BQX23" s="175"/>
      <c r="BQY23" s="175"/>
      <c r="BQZ23" s="175"/>
      <c r="BRA23" s="175"/>
      <c r="BRB23" s="175"/>
      <c r="BRC23" s="175"/>
      <c r="BRD23" s="175"/>
      <c r="BRE23" s="175"/>
      <c r="BRF23" s="175"/>
      <c r="BRG23" s="175"/>
      <c r="BRH23" s="175"/>
      <c r="BRI23" s="175"/>
      <c r="BRJ23" s="175"/>
      <c r="BRK23" s="175"/>
      <c r="BRL23" s="175"/>
      <c r="BRM23" s="175"/>
      <c r="BRN23" s="175"/>
      <c r="BRO23" s="175"/>
      <c r="BRP23" s="175"/>
      <c r="BRQ23" s="175"/>
      <c r="BRR23" s="175"/>
      <c r="BRS23" s="175"/>
      <c r="BRT23" s="175"/>
      <c r="BRU23" s="175"/>
      <c r="BRV23" s="175"/>
      <c r="BRW23" s="175"/>
      <c r="BRX23" s="175"/>
      <c r="BRY23" s="175"/>
      <c r="BRZ23" s="175"/>
      <c r="BSA23" s="175"/>
      <c r="BSB23" s="175"/>
      <c r="BSC23" s="175"/>
      <c r="BSD23" s="175"/>
      <c r="BSE23" s="175"/>
      <c r="BSF23" s="175"/>
      <c r="BSG23" s="175"/>
      <c r="BSH23" s="175"/>
      <c r="BSI23" s="175"/>
      <c r="BSJ23" s="175"/>
      <c r="BSK23" s="175"/>
      <c r="BSL23" s="175"/>
      <c r="BSM23" s="175"/>
      <c r="BSN23" s="175"/>
      <c r="BSO23" s="175"/>
      <c r="BSP23" s="175"/>
      <c r="BSQ23" s="175"/>
      <c r="BSR23" s="175"/>
      <c r="BSS23" s="175"/>
      <c r="BST23" s="175"/>
      <c r="BSU23" s="175"/>
      <c r="BSV23" s="175"/>
      <c r="BSW23" s="175"/>
      <c r="BSX23" s="175"/>
      <c r="BSY23" s="175"/>
      <c r="BSZ23" s="175"/>
      <c r="BTA23" s="175"/>
      <c r="BTB23" s="175"/>
      <c r="BTC23" s="175"/>
      <c r="BTD23" s="175"/>
      <c r="BTE23" s="175"/>
      <c r="BTF23" s="175"/>
      <c r="BTG23" s="175"/>
      <c r="BTH23" s="175"/>
      <c r="BTI23" s="175"/>
      <c r="BTJ23" s="175"/>
      <c r="BTK23" s="175"/>
      <c r="BTL23" s="175"/>
      <c r="BTM23" s="175"/>
      <c r="BTN23" s="175"/>
      <c r="BTO23" s="175"/>
      <c r="BTP23" s="175"/>
      <c r="BTQ23" s="175"/>
      <c r="BTR23" s="175"/>
      <c r="BTS23" s="175"/>
      <c r="BTT23" s="175"/>
      <c r="BTU23" s="175"/>
      <c r="BTV23" s="175"/>
      <c r="BTW23" s="175"/>
      <c r="BTX23" s="175"/>
      <c r="BTY23" s="175"/>
      <c r="BTZ23" s="175"/>
      <c r="BUA23" s="175"/>
      <c r="BUB23" s="175"/>
      <c r="BUC23" s="175"/>
      <c r="BUD23" s="175"/>
      <c r="BUE23" s="175"/>
      <c r="BUF23" s="175"/>
      <c r="BUG23" s="175"/>
      <c r="BUH23" s="175"/>
      <c r="BUI23" s="175"/>
      <c r="BUJ23" s="175"/>
      <c r="BUK23" s="175"/>
      <c r="BUL23" s="175"/>
      <c r="BUM23" s="175"/>
      <c r="BUN23" s="175"/>
      <c r="BUO23" s="175"/>
      <c r="BUP23" s="175"/>
      <c r="BUQ23" s="175"/>
      <c r="BUR23" s="175"/>
      <c r="BUS23" s="175"/>
      <c r="BUT23" s="175"/>
      <c r="BUU23" s="175"/>
      <c r="BUV23" s="175"/>
      <c r="BUW23" s="175"/>
      <c r="BUX23" s="175"/>
      <c r="BUY23" s="175"/>
      <c r="BUZ23" s="175"/>
      <c r="BVA23" s="175"/>
      <c r="BVB23" s="175"/>
      <c r="BVC23" s="175"/>
      <c r="BVD23" s="175"/>
      <c r="BVE23" s="175"/>
      <c r="BVF23" s="175"/>
      <c r="BVG23" s="175"/>
      <c r="BVH23" s="175"/>
      <c r="BVI23" s="175"/>
      <c r="BVJ23" s="175"/>
      <c r="BVK23" s="175"/>
      <c r="BVL23" s="175"/>
      <c r="BVM23" s="175"/>
      <c r="BVN23" s="175"/>
      <c r="BVO23" s="175"/>
      <c r="BVP23" s="175"/>
      <c r="BVQ23" s="175"/>
      <c r="BVR23" s="175"/>
      <c r="BVS23" s="175"/>
      <c r="BVT23" s="175"/>
      <c r="BVU23" s="175"/>
      <c r="BVV23" s="175"/>
      <c r="BVW23" s="175"/>
      <c r="BVX23" s="175"/>
      <c r="BVY23" s="175"/>
      <c r="BVZ23" s="175"/>
      <c r="BWA23" s="175"/>
      <c r="BWB23" s="175"/>
      <c r="BWC23" s="175"/>
      <c r="BWD23" s="175"/>
      <c r="BWE23" s="175"/>
      <c r="BWF23" s="175"/>
      <c r="BWG23" s="175"/>
      <c r="BWH23" s="175"/>
      <c r="BWI23" s="175"/>
      <c r="BWJ23" s="175"/>
      <c r="BWK23" s="175"/>
      <c r="BWL23" s="175"/>
      <c r="BWM23" s="175"/>
      <c r="BWN23" s="175"/>
      <c r="BWO23" s="175"/>
      <c r="BWP23" s="175"/>
      <c r="BWQ23" s="175"/>
      <c r="BWR23" s="175"/>
      <c r="BWS23" s="175"/>
      <c r="BWT23" s="175"/>
      <c r="BWU23" s="175"/>
      <c r="BWV23" s="175"/>
      <c r="BWW23" s="175"/>
      <c r="BWX23" s="175"/>
      <c r="BWY23" s="175"/>
      <c r="BWZ23" s="175"/>
      <c r="BXA23" s="175"/>
      <c r="BXB23" s="175"/>
      <c r="BXC23" s="175"/>
      <c r="BXD23" s="175"/>
      <c r="BXE23" s="175"/>
      <c r="BXF23" s="175"/>
      <c r="BXG23" s="175"/>
      <c r="BXH23" s="175"/>
      <c r="BXI23" s="175"/>
      <c r="BXJ23" s="175"/>
      <c r="BXK23" s="175"/>
      <c r="BXL23" s="175"/>
      <c r="BXM23" s="175"/>
      <c r="BXN23" s="175"/>
      <c r="BXO23" s="175"/>
      <c r="BXP23" s="175"/>
      <c r="BXQ23" s="175"/>
      <c r="BXR23" s="175"/>
      <c r="BXS23" s="175"/>
      <c r="BXT23" s="175"/>
      <c r="BXU23" s="175"/>
      <c r="BXV23" s="175"/>
      <c r="BXW23" s="175"/>
      <c r="BXX23" s="175"/>
      <c r="BXY23" s="175"/>
      <c r="BXZ23" s="175"/>
      <c r="BYA23" s="175"/>
      <c r="BYB23" s="175"/>
      <c r="BYC23" s="175"/>
      <c r="BYD23" s="175"/>
      <c r="BYE23" s="175"/>
      <c r="BYF23" s="175"/>
      <c r="BYG23" s="175"/>
      <c r="BYH23" s="175"/>
      <c r="BYI23" s="175"/>
      <c r="BYJ23" s="175"/>
      <c r="BYK23" s="175"/>
      <c r="BYL23" s="175"/>
      <c r="BYM23" s="175"/>
      <c r="BYN23" s="175"/>
      <c r="BYO23" s="175"/>
      <c r="BYP23" s="175"/>
      <c r="BYQ23" s="175"/>
      <c r="BYR23" s="175"/>
      <c r="BYS23" s="175"/>
      <c r="BYT23" s="175"/>
      <c r="BYU23" s="175"/>
      <c r="BYV23" s="175"/>
      <c r="BYW23" s="175"/>
      <c r="BYX23" s="175"/>
      <c r="BYY23" s="175"/>
      <c r="BYZ23" s="175"/>
      <c r="BZA23" s="175"/>
      <c r="BZB23" s="175"/>
      <c r="BZC23" s="175"/>
      <c r="BZD23" s="175"/>
      <c r="BZE23" s="175"/>
      <c r="BZF23" s="175"/>
      <c r="BZG23" s="175"/>
      <c r="BZH23" s="175"/>
      <c r="BZI23" s="175"/>
      <c r="BZJ23" s="175"/>
      <c r="BZK23" s="175"/>
      <c r="BZL23" s="175"/>
      <c r="BZM23" s="175"/>
      <c r="BZN23" s="175"/>
      <c r="BZO23" s="175"/>
      <c r="BZP23" s="175"/>
      <c r="BZQ23" s="175"/>
      <c r="BZR23" s="175"/>
      <c r="BZS23" s="175"/>
      <c r="BZT23" s="175"/>
      <c r="BZU23" s="175"/>
      <c r="BZV23" s="175"/>
      <c r="BZW23" s="175"/>
      <c r="BZX23" s="175"/>
      <c r="BZY23" s="175"/>
      <c r="BZZ23" s="175"/>
      <c r="CAA23" s="175"/>
      <c r="CAB23" s="175"/>
      <c r="CAC23" s="175"/>
      <c r="CAD23" s="175"/>
      <c r="CAE23" s="175"/>
      <c r="CAF23" s="175"/>
      <c r="CAG23" s="175"/>
      <c r="CAH23" s="175"/>
      <c r="CAI23" s="175"/>
      <c r="CAJ23" s="175"/>
      <c r="CAK23" s="175"/>
      <c r="CAL23" s="175"/>
      <c r="CAM23" s="175"/>
      <c r="CAN23" s="175"/>
      <c r="CAO23" s="175"/>
      <c r="CAP23" s="175"/>
      <c r="CAQ23" s="175"/>
      <c r="CAR23" s="175"/>
      <c r="CAS23" s="175"/>
      <c r="CAT23" s="175"/>
      <c r="CAU23" s="175"/>
      <c r="CAV23" s="175"/>
      <c r="CAW23" s="175"/>
      <c r="CAX23" s="175"/>
      <c r="CAY23" s="175"/>
      <c r="CAZ23" s="175"/>
      <c r="CBA23" s="175"/>
      <c r="CBB23" s="175"/>
      <c r="CBC23" s="175"/>
      <c r="CBD23" s="175"/>
      <c r="CBE23" s="175"/>
      <c r="CBF23" s="175"/>
      <c r="CBG23" s="175"/>
      <c r="CBH23" s="175"/>
      <c r="CBI23" s="175"/>
      <c r="CBJ23" s="175"/>
      <c r="CBK23" s="175"/>
      <c r="CBL23" s="175"/>
      <c r="CBM23" s="175"/>
      <c r="CBN23" s="175"/>
      <c r="CBO23" s="175"/>
      <c r="CBP23" s="175"/>
      <c r="CBQ23" s="175"/>
      <c r="CBR23" s="175"/>
      <c r="CBS23" s="175"/>
      <c r="CBT23" s="175"/>
      <c r="CBU23" s="175"/>
      <c r="CBV23" s="175"/>
      <c r="CBW23" s="175"/>
      <c r="CBX23" s="175"/>
      <c r="CBY23" s="175"/>
      <c r="CBZ23" s="175"/>
      <c r="CCA23" s="175"/>
      <c r="CCB23" s="175"/>
      <c r="CCC23" s="175"/>
      <c r="CCD23" s="175"/>
      <c r="CCE23" s="175"/>
      <c r="CCF23" s="175"/>
      <c r="CCG23" s="175"/>
      <c r="CCH23" s="175"/>
      <c r="CCI23" s="175"/>
      <c r="CCJ23" s="175"/>
      <c r="CCK23" s="175"/>
      <c r="CCL23" s="175"/>
      <c r="CCM23" s="175"/>
      <c r="CCN23" s="175"/>
      <c r="CCO23" s="175"/>
      <c r="CCP23" s="175"/>
      <c r="CCQ23" s="175"/>
      <c r="CCR23" s="175"/>
      <c r="CCS23" s="175"/>
      <c r="CCT23" s="175"/>
      <c r="CCU23" s="175"/>
      <c r="CCV23" s="175"/>
      <c r="CCW23" s="175"/>
      <c r="CCX23" s="175"/>
      <c r="CCY23" s="175"/>
      <c r="CCZ23" s="175"/>
      <c r="CDA23" s="175"/>
      <c r="CDB23" s="175"/>
      <c r="CDC23" s="175"/>
      <c r="CDD23" s="175"/>
      <c r="CDE23" s="175"/>
      <c r="CDF23" s="175"/>
      <c r="CDG23" s="175"/>
      <c r="CDH23" s="175"/>
      <c r="CDI23" s="175"/>
      <c r="CDJ23" s="175"/>
      <c r="CDK23" s="175"/>
      <c r="CDL23" s="175"/>
      <c r="CDM23" s="175"/>
      <c r="CDN23" s="175"/>
      <c r="CDO23" s="175"/>
      <c r="CDP23" s="175"/>
      <c r="CDQ23" s="175"/>
      <c r="CDR23" s="175"/>
      <c r="CDS23" s="175"/>
      <c r="CDT23" s="175"/>
      <c r="CDU23" s="175"/>
      <c r="CDV23" s="175"/>
      <c r="CDW23" s="175"/>
      <c r="CDX23" s="175"/>
      <c r="CDY23" s="175"/>
      <c r="CDZ23" s="175"/>
      <c r="CEA23" s="175"/>
      <c r="CEB23" s="175"/>
      <c r="CEC23" s="175"/>
      <c r="CED23" s="175"/>
      <c r="CEE23" s="175"/>
      <c r="CEF23" s="175"/>
      <c r="CEG23" s="175"/>
      <c r="CEH23" s="175"/>
      <c r="CEI23" s="175"/>
      <c r="CEJ23" s="175"/>
      <c r="CEK23" s="175"/>
      <c r="CEL23" s="175"/>
      <c r="CEM23" s="175"/>
      <c r="CEN23" s="175"/>
      <c r="CEO23" s="175"/>
      <c r="CEP23" s="175"/>
      <c r="CEQ23" s="175"/>
      <c r="CER23" s="175"/>
      <c r="CES23" s="175"/>
      <c r="CET23" s="175"/>
      <c r="CEU23" s="175"/>
      <c r="CEV23" s="175"/>
      <c r="CEW23" s="175"/>
      <c r="CEX23" s="175"/>
      <c r="CEY23" s="175"/>
      <c r="CEZ23" s="175"/>
      <c r="CFA23" s="175"/>
      <c r="CFB23" s="175"/>
      <c r="CFC23" s="175"/>
      <c r="CFD23" s="175"/>
      <c r="CFE23" s="175"/>
      <c r="CFF23" s="175"/>
      <c r="CFG23" s="175"/>
      <c r="CFH23" s="175"/>
      <c r="CFI23" s="175"/>
      <c r="CFJ23" s="175"/>
      <c r="CFK23" s="175"/>
      <c r="CFL23" s="175"/>
      <c r="CFM23" s="175"/>
      <c r="CFN23" s="175"/>
      <c r="CFO23" s="175"/>
      <c r="CFP23" s="175"/>
      <c r="CFQ23" s="175"/>
      <c r="CFR23" s="175"/>
      <c r="CFS23" s="175"/>
      <c r="CFT23" s="175"/>
      <c r="CFU23" s="175"/>
      <c r="CFV23" s="175"/>
      <c r="CFW23" s="175"/>
      <c r="CFX23" s="175"/>
      <c r="CFY23" s="175"/>
      <c r="CFZ23" s="175"/>
      <c r="CGA23" s="175"/>
      <c r="CGB23" s="175"/>
      <c r="CGC23" s="175"/>
      <c r="CGD23" s="175"/>
      <c r="CGE23" s="175"/>
      <c r="CGF23" s="175"/>
      <c r="CGG23" s="175"/>
      <c r="CGH23" s="175"/>
      <c r="CGI23" s="175"/>
      <c r="CGJ23" s="175"/>
      <c r="CGK23" s="175"/>
      <c r="CGL23" s="175"/>
      <c r="CGM23" s="175"/>
      <c r="CGN23" s="175"/>
      <c r="CGO23" s="175"/>
      <c r="CGP23" s="175"/>
      <c r="CGQ23" s="175"/>
      <c r="CGR23" s="175"/>
      <c r="CGS23" s="175"/>
      <c r="CGT23" s="175"/>
      <c r="CGU23" s="175"/>
      <c r="CGV23" s="175"/>
      <c r="CGW23" s="175"/>
      <c r="CGX23" s="175"/>
      <c r="CGY23" s="175"/>
      <c r="CGZ23" s="175"/>
      <c r="CHA23" s="175"/>
      <c r="CHB23" s="175"/>
      <c r="CHC23" s="175"/>
      <c r="CHD23" s="175"/>
      <c r="CHE23" s="175"/>
      <c r="CHF23" s="175"/>
      <c r="CHG23" s="175"/>
      <c r="CHH23" s="175"/>
      <c r="CHI23" s="175"/>
      <c r="CHJ23" s="175"/>
      <c r="CHK23" s="175"/>
      <c r="CHL23" s="175"/>
      <c r="CHM23" s="175"/>
      <c r="CHN23" s="175"/>
      <c r="CHO23" s="175"/>
      <c r="CHP23" s="175"/>
      <c r="CHQ23" s="175"/>
      <c r="CHR23" s="175"/>
      <c r="CHS23" s="175"/>
      <c r="CHT23" s="175"/>
      <c r="CHU23" s="175"/>
      <c r="CHV23" s="175"/>
      <c r="CHW23" s="175"/>
      <c r="CHX23" s="175"/>
      <c r="CHY23" s="175"/>
      <c r="CHZ23" s="175"/>
      <c r="CIA23" s="175"/>
      <c r="CIB23" s="175"/>
      <c r="CIC23" s="175"/>
      <c r="CID23" s="175"/>
      <c r="CIE23" s="175"/>
      <c r="CIF23" s="175"/>
      <c r="CIG23" s="175"/>
      <c r="CIH23" s="175"/>
      <c r="CII23" s="175"/>
      <c r="CIJ23" s="175"/>
      <c r="CIK23" s="175"/>
      <c r="CIL23" s="175"/>
      <c r="CIM23" s="175"/>
      <c r="CIN23" s="175"/>
      <c r="CIO23" s="175"/>
      <c r="CIP23" s="175"/>
      <c r="CIQ23" s="175"/>
      <c r="CIR23" s="175"/>
      <c r="CIS23" s="175"/>
      <c r="CIT23" s="175"/>
      <c r="CIU23" s="175"/>
      <c r="CIV23" s="175"/>
      <c r="CIW23" s="175"/>
      <c r="CIX23" s="175"/>
      <c r="CIY23" s="175"/>
      <c r="CIZ23" s="175"/>
      <c r="CJA23" s="175"/>
      <c r="CJB23" s="175"/>
      <c r="CJC23" s="175"/>
      <c r="CJD23" s="175"/>
      <c r="CJE23" s="175"/>
      <c r="CJF23" s="175"/>
      <c r="CJG23" s="175"/>
      <c r="CJH23" s="175"/>
      <c r="CJI23" s="175"/>
      <c r="CJJ23" s="175"/>
      <c r="CJK23" s="175"/>
      <c r="CJL23" s="175"/>
      <c r="CJM23" s="175"/>
      <c r="CJN23" s="175"/>
      <c r="CJO23" s="175"/>
      <c r="CJP23" s="175"/>
      <c r="CJQ23" s="175"/>
      <c r="CJR23" s="175"/>
      <c r="CJS23" s="175"/>
      <c r="CJT23" s="175"/>
      <c r="CJU23" s="175"/>
      <c r="CJV23" s="175"/>
      <c r="CJW23" s="175"/>
      <c r="CJX23" s="175"/>
      <c r="CJY23" s="175"/>
      <c r="CJZ23" s="175"/>
      <c r="CKA23" s="175"/>
      <c r="CKB23" s="175"/>
      <c r="CKC23" s="175"/>
      <c r="CKD23" s="175"/>
      <c r="CKE23" s="175"/>
      <c r="CKF23" s="175"/>
      <c r="CKG23" s="175"/>
      <c r="CKH23" s="175"/>
      <c r="CKI23" s="175"/>
      <c r="CKJ23" s="175"/>
      <c r="CKK23" s="175"/>
      <c r="CKL23" s="175"/>
      <c r="CKM23" s="175"/>
      <c r="CKN23" s="175"/>
      <c r="CKO23" s="175"/>
      <c r="CKP23" s="175"/>
      <c r="CKQ23" s="175"/>
      <c r="CKR23" s="175"/>
      <c r="CKS23" s="175"/>
      <c r="CKT23" s="175"/>
      <c r="CKU23" s="175"/>
      <c r="CKV23" s="175"/>
      <c r="CKW23" s="175"/>
      <c r="CKX23" s="175"/>
      <c r="CKY23" s="175"/>
      <c r="CKZ23" s="175"/>
      <c r="CLA23" s="175"/>
      <c r="CLB23" s="175"/>
      <c r="CLC23" s="175"/>
      <c r="CLD23" s="175"/>
      <c r="CLE23" s="175"/>
      <c r="CLF23" s="175"/>
      <c r="CLG23" s="175"/>
      <c r="CLH23" s="175"/>
      <c r="CLI23" s="175"/>
      <c r="CLJ23" s="175"/>
      <c r="CLK23" s="175"/>
      <c r="CLL23" s="175"/>
      <c r="CLM23" s="175"/>
      <c r="CLN23" s="175"/>
      <c r="CLO23" s="175"/>
      <c r="CLP23" s="175"/>
      <c r="CLQ23" s="175"/>
      <c r="CLR23" s="175"/>
      <c r="CLS23" s="175"/>
      <c r="CLT23" s="175"/>
      <c r="CLU23" s="175"/>
      <c r="CLV23" s="175"/>
      <c r="CLW23" s="175"/>
      <c r="CLX23" s="175"/>
      <c r="CLY23" s="175"/>
      <c r="CLZ23" s="175"/>
      <c r="CMA23" s="175"/>
      <c r="CMB23" s="175"/>
      <c r="CMC23" s="175"/>
      <c r="CMD23" s="175"/>
      <c r="CME23" s="175"/>
      <c r="CMF23" s="175"/>
      <c r="CMG23" s="175"/>
      <c r="CMH23" s="175"/>
      <c r="CMI23" s="175"/>
      <c r="CMJ23" s="175"/>
      <c r="CMK23" s="175"/>
      <c r="CML23" s="175"/>
      <c r="CMM23" s="175"/>
      <c r="CMN23" s="175"/>
      <c r="CMO23" s="175"/>
      <c r="CMP23" s="175"/>
      <c r="CMQ23" s="175"/>
      <c r="CMR23" s="175"/>
      <c r="CMS23" s="175"/>
      <c r="CMT23" s="175"/>
      <c r="CMU23" s="175"/>
      <c r="CMV23" s="175"/>
      <c r="CMW23" s="175"/>
      <c r="CMX23" s="175"/>
      <c r="CMY23" s="175"/>
      <c r="CMZ23" s="175"/>
      <c r="CNA23" s="175"/>
      <c r="CNB23" s="175"/>
      <c r="CNC23" s="175"/>
      <c r="CND23" s="175"/>
      <c r="CNE23" s="175"/>
      <c r="CNF23" s="175"/>
      <c r="CNG23" s="175"/>
      <c r="CNH23" s="175"/>
      <c r="CNI23" s="175"/>
      <c r="CNJ23" s="175"/>
      <c r="CNK23" s="175"/>
      <c r="CNL23" s="175"/>
      <c r="CNM23" s="175"/>
      <c r="CNN23" s="175"/>
      <c r="CNO23" s="175"/>
      <c r="CNP23" s="175"/>
      <c r="CNQ23" s="175"/>
      <c r="CNR23" s="175"/>
      <c r="CNS23" s="175"/>
      <c r="CNT23" s="175"/>
      <c r="CNU23" s="175"/>
      <c r="CNV23" s="175"/>
      <c r="CNW23" s="175"/>
      <c r="CNX23" s="175"/>
      <c r="CNY23" s="175"/>
      <c r="CNZ23" s="175"/>
      <c r="COA23" s="175"/>
      <c r="COB23" s="175"/>
      <c r="COC23" s="175"/>
      <c r="COD23" s="175"/>
      <c r="COE23" s="175"/>
      <c r="COF23" s="175"/>
      <c r="COG23" s="175"/>
      <c r="COH23" s="175"/>
      <c r="COI23" s="175"/>
      <c r="COJ23" s="175"/>
      <c r="COK23" s="175"/>
      <c r="COL23" s="175"/>
      <c r="COM23" s="175"/>
      <c r="CON23" s="175"/>
      <c r="COO23" s="175"/>
      <c r="COP23" s="175"/>
      <c r="COQ23" s="175"/>
      <c r="COR23" s="175"/>
      <c r="COS23" s="175"/>
      <c r="COT23" s="175"/>
      <c r="COU23" s="175"/>
      <c r="COV23" s="175"/>
      <c r="COW23" s="175"/>
      <c r="COX23" s="175"/>
      <c r="COY23" s="175"/>
      <c r="COZ23" s="175"/>
      <c r="CPA23" s="175"/>
      <c r="CPB23" s="175"/>
      <c r="CPC23" s="175"/>
      <c r="CPD23" s="175"/>
      <c r="CPE23" s="175"/>
      <c r="CPF23" s="175"/>
      <c r="CPG23" s="175"/>
      <c r="CPH23" s="175"/>
      <c r="CPI23" s="175"/>
      <c r="CPJ23" s="175"/>
      <c r="CPK23" s="175"/>
      <c r="CPL23" s="175"/>
      <c r="CPM23" s="175"/>
      <c r="CPN23" s="175"/>
      <c r="CPO23" s="175"/>
      <c r="CPP23" s="175"/>
      <c r="CPQ23" s="175"/>
      <c r="CPR23" s="175"/>
      <c r="CPS23" s="175"/>
      <c r="CPT23" s="175"/>
      <c r="CPU23" s="175"/>
      <c r="CPV23" s="175"/>
      <c r="CPW23" s="175"/>
      <c r="CPX23" s="175"/>
      <c r="CPY23" s="175"/>
      <c r="CPZ23" s="175"/>
      <c r="CQA23" s="175"/>
      <c r="CQB23" s="175"/>
      <c r="CQC23" s="175"/>
      <c r="CQD23" s="175"/>
      <c r="CQE23" s="175"/>
      <c r="CQF23" s="175"/>
      <c r="CQG23" s="175"/>
      <c r="CQH23" s="175"/>
      <c r="CQI23" s="175"/>
      <c r="CQJ23" s="175"/>
      <c r="CQK23" s="175"/>
      <c r="CQL23" s="175"/>
      <c r="CQM23" s="175"/>
      <c r="CQN23" s="175"/>
      <c r="CQO23" s="175"/>
      <c r="CQP23" s="175"/>
      <c r="CQQ23" s="175"/>
      <c r="CQR23" s="175"/>
      <c r="CQS23" s="175"/>
      <c r="CQT23" s="175"/>
      <c r="CQU23" s="175"/>
      <c r="CQV23" s="175"/>
      <c r="CQW23" s="175"/>
      <c r="CQX23" s="175"/>
      <c r="CQY23" s="175"/>
      <c r="CQZ23" s="175"/>
      <c r="CRA23" s="175"/>
      <c r="CRB23" s="175"/>
      <c r="CRC23" s="175"/>
      <c r="CRD23" s="175"/>
      <c r="CRE23" s="175"/>
      <c r="CRF23" s="175"/>
      <c r="CRG23" s="175"/>
      <c r="CRH23" s="175"/>
      <c r="CRI23" s="175"/>
      <c r="CRJ23" s="175"/>
      <c r="CRK23" s="175"/>
      <c r="CRL23" s="175"/>
      <c r="CRM23" s="175"/>
      <c r="CRN23" s="175"/>
      <c r="CRO23" s="175"/>
      <c r="CRP23" s="175"/>
      <c r="CRQ23" s="175"/>
      <c r="CRR23" s="175"/>
      <c r="CRS23" s="175"/>
      <c r="CRT23" s="175"/>
      <c r="CRU23" s="175"/>
      <c r="CRV23" s="175"/>
      <c r="CRW23" s="175"/>
      <c r="CRX23" s="175"/>
      <c r="CRY23" s="175"/>
      <c r="CRZ23" s="175"/>
      <c r="CSA23" s="175"/>
      <c r="CSB23" s="175"/>
      <c r="CSC23" s="175"/>
      <c r="CSD23" s="175"/>
      <c r="CSE23" s="175"/>
      <c r="CSF23" s="175"/>
      <c r="CSG23" s="175"/>
      <c r="CSH23" s="175"/>
      <c r="CSI23" s="175"/>
      <c r="CSJ23" s="175"/>
      <c r="CSK23" s="175"/>
      <c r="CSL23" s="175"/>
      <c r="CSM23" s="175"/>
      <c r="CSN23" s="175"/>
      <c r="CSO23" s="175"/>
      <c r="CSP23" s="175"/>
      <c r="CSQ23" s="175"/>
      <c r="CSR23" s="175"/>
      <c r="CSS23" s="175"/>
      <c r="CST23" s="175"/>
      <c r="CSU23" s="175"/>
      <c r="CSV23" s="175"/>
      <c r="CSW23" s="175"/>
      <c r="CSX23" s="175"/>
      <c r="CSY23" s="175"/>
      <c r="CSZ23" s="175"/>
      <c r="CTA23" s="175"/>
      <c r="CTB23" s="175"/>
      <c r="CTC23" s="175"/>
      <c r="CTD23" s="175"/>
      <c r="CTE23" s="175"/>
      <c r="CTF23" s="175"/>
      <c r="CTG23" s="175"/>
      <c r="CTH23" s="175"/>
      <c r="CTI23" s="175"/>
      <c r="CTJ23" s="175"/>
      <c r="CTK23" s="175"/>
      <c r="CTL23" s="175"/>
      <c r="CTM23" s="175"/>
      <c r="CTN23" s="175"/>
      <c r="CTO23" s="175"/>
      <c r="CTP23" s="175"/>
      <c r="CTQ23" s="175"/>
      <c r="CTR23" s="175"/>
      <c r="CTS23" s="175"/>
      <c r="CTT23" s="175"/>
      <c r="CTU23" s="175"/>
      <c r="CTV23" s="175"/>
      <c r="CTW23" s="175"/>
      <c r="CTX23" s="175"/>
      <c r="CTY23" s="175"/>
      <c r="CTZ23" s="175"/>
      <c r="CUA23" s="175"/>
      <c r="CUB23" s="175"/>
      <c r="CUC23" s="175"/>
      <c r="CUD23" s="175"/>
      <c r="CUE23" s="175"/>
      <c r="CUF23" s="175"/>
      <c r="CUG23" s="175"/>
      <c r="CUH23" s="175"/>
      <c r="CUI23" s="175"/>
      <c r="CUJ23" s="175"/>
      <c r="CUK23" s="175"/>
      <c r="CUL23" s="175"/>
      <c r="CUM23" s="175"/>
      <c r="CUN23" s="175"/>
      <c r="CUO23" s="175"/>
      <c r="CUP23" s="175"/>
      <c r="CUQ23" s="175"/>
      <c r="CUR23" s="175"/>
      <c r="CUS23" s="175"/>
      <c r="CUT23" s="175"/>
      <c r="CUU23" s="175"/>
      <c r="CUV23" s="175"/>
      <c r="CUW23" s="175"/>
      <c r="CUX23" s="175"/>
      <c r="CUY23" s="175"/>
      <c r="CUZ23" s="175"/>
      <c r="CVA23" s="175"/>
      <c r="CVB23" s="175"/>
      <c r="CVC23" s="175"/>
      <c r="CVD23" s="175"/>
      <c r="CVE23" s="175"/>
      <c r="CVF23" s="175"/>
      <c r="CVG23" s="175"/>
      <c r="CVH23" s="175"/>
      <c r="CVI23" s="175"/>
      <c r="CVJ23" s="175"/>
      <c r="CVK23" s="175"/>
      <c r="CVL23" s="175"/>
      <c r="CVM23" s="175"/>
      <c r="CVN23" s="175"/>
      <c r="CVO23" s="175"/>
      <c r="CVP23" s="175"/>
      <c r="CVQ23" s="175"/>
      <c r="CVR23" s="175"/>
      <c r="CVS23" s="175"/>
      <c r="CVT23" s="175"/>
      <c r="CVU23" s="175"/>
      <c r="CVV23" s="175"/>
      <c r="CVW23" s="175"/>
      <c r="CVX23" s="175"/>
      <c r="CVY23" s="175"/>
      <c r="CVZ23" s="175"/>
      <c r="CWA23" s="175"/>
      <c r="CWB23" s="175"/>
      <c r="CWC23" s="175"/>
      <c r="CWD23" s="175"/>
      <c r="CWE23" s="175"/>
      <c r="CWF23" s="175"/>
      <c r="CWG23" s="175"/>
      <c r="CWH23" s="175"/>
      <c r="CWI23" s="175"/>
      <c r="CWJ23" s="175"/>
      <c r="CWK23" s="175"/>
      <c r="CWL23" s="175"/>
      <c r="CWM23" s="175"/>
      <c r="CWN23" s="175"/>
      <c r="CWO23" s="175"/>
      <c r="CWP23" s="175"/>
      <c r="CWQ23" s="175"/>
      <c r="CWR23" s="175"/>
      <c r="CWS23" s="175"/>
      <c r="CWT23" s="175"/>
      <c r="CWU23" s="175"/>
      <c r="CWV23" s="175"/>
      <c r="CWW23" s="175"/>
      <c r="CWX23" s="175"/>
      <c r="CWY23" s="175"/>
      <c r="CWZ23" s="175"/>
      <c r="CXA23" s="175"/>
      <c r="CXB23" s="175"/>
      <c r="CXC23" s="175"/>
      <c r="CXD23" s="175"/>
      <c r="CXE23" s="175"/>
      <c r="CXF23" s="175"/>
      <c r="CXG23" s="175"/>
      <c r="CXH23" s="175"/>
      <c r="CXI23" s="175"/>
      <c r="CXJ23" s="175"/>
      <c r="CXK23" s="175"/>
      <c r="CXL23" s="175"/>
      <c r="CXM23" s="175"/>
      <c r="CXN23" s="175"/>
      <c r="CXO23" s="175"/>
      <c r="CXP23" s="175"/>
      <c r="CXQ23" s="175"/>
      <c r="CXR23" s="175"/>
      <c r="CXS23" s="175"/>
      <c r="CXT23" s="175"/>
      <c r="CXU23" s="175"/>
      <c r="CXV23" s="175"/>
      <c r="CXW23" s="175"/>
      <c r="CXX23" s="175"/>
      <c r="CXY23" s="175"/>
      <c r="CXZ23" s="175"/>
      <c r="CYA23" s="175"/>
      <c r="CYB23" s="175"/>
      <c r="CYC23" s="175"/>
      <c r="CYD23" s="175"/>
      <c r="CYE23" s="175"/>
      <c r="CYF23" s="175"/>
      <c r="CYG23" s="175"/>
      <c r="CYH23" s="175"/>
      <c r="CYI23" s="175"/>
      <c r="CYJ23" s="175"/>
      <c r="CYK23" s="175"/>
      <c r="CYL23" s="175"/>
      <c r="CYM23" s="175"/>
      <c r="CYN23" s="175"/>
      <c r="CYO23" s="175"/>
      <c r="CYP23" s="175"/>
      <c r="CYQ23" s="175"/>
      <c r="CYR23" s="175"/>
      <c r="CYS23" s="175"/>
      <c r="CYT23" s="175"/>
      <c r="CYU23" s="175"/>
      <c r="CYV23" s="175"/>
      <c r="CYW23" s="175"/>
      <c r="CYX23" s="175"/>
      <c r="CYY23" s="175"/>
      <c r="CYZ23" s="175"/>
      <c r="CZA23" s="175"/>
      <c r="CZB23" s="175"/>
      <c r="CZC23" s="175"/>
      <c r="CZD23" s="175"/>
      <c r="CZE23" s="175"/>
      <c r="CZF23" s="175"/>
      <c r="CZG23" s="175"/>
      <c r="CZH23" s="175"/>
      <c r="CZI23" s="175"/>
      <c r="CZJ23" s="175"/>
      <c r="CZK23" s="175"/>
      <c r="CZL23" s="175"/>
      <c r="CZM23" s="175"/>
      <c r="CZN23" s="175"/>
      <c r="CZO23" s="175"/>
      <c r="CZP23" s="175"/>
      <c r="CZQ23" s="175"/>
      <c r="CZR23" s="175"/>
      <c r="CZS23" s="175"/>
      <c r="CZT23" s="175"/>
      <c r="CZU23" s="175"/>
      <c r="CZV23" s="175"/>
      <c r="CZW23" s="175"/>
      <c r="CZX23" s="175"/>
      <c r="CZY23" s="175"/>
      <c r="CZZ23" s="175"/>
      <c r="DAA23" s="175"/>
      <c r="DAB23" s="175"/>
      <c r="DAC23" s="175"/>
      <c r="DAD23" s="175"/>
      <c r="DAE23" s="175"/>
      <c r="DAF23" s="175"/>
      <c r="DAG23" s="175"/>
      <c r="DAH23" s="175"/>
      <c r="DAI23" s="175"/>
      <c r="DAJ23" s="175"/>
      <c r="DAK23" s="175"/>
      <c r="DAL23" s="175"/>
      <c r="DAM23" s="175"/>
      <c r="DAN23" s="175"/>
      <c r="DAO23" s="175"/>
      <c r="DAP23" s="175"/>
      <c r="DAQ23" s="175"/>
      <c r="DAR23" s="175"/>
      <c r="DAS23" s="175"/>
      <c r="DAT23" s="175"/>
      <c r="DAU23" s="175"/>
      <c r="DAV23" s="175"/>
      <c r="DAW23" s="175"/>
      <c r="DAX23" s="175"/>
      <c r="DAY23" s="175"/>
      <c r="DAZ23" s="175"/>
      <c r="DBA23" s="175"/>
      <c r="DBB23" s="175"/>
      <c r="DBC23" s="175"/>
      <c r="DBD23" s="175"/>
      <c r="DBE23" s="175"/>
      <c r="DBF23" s="175"/>
      <c r="DBG23" s="175"/>
      <c r="DBH23" s="175"/>
      <c r="DBI23" s="175"/>
      <c r="DBJ23" s="175"/>
      <c r="DBK23" s="175"/>
      <c r="DBL23" s="175"/>
      <c r="DBM23" s="175"/>
      <c r="DBN23" s="175"/>
      <c r="DBO23" s="175"/>
      <c r="DBP23" s="175"/>
      <c r="DBQ23" s="175"/>
      <c r="DBR23" s="175"/>
      <c r="DBS23" s="175"/>
      <c r="DBT23" s="175"/>
      <c r="DBU23" s="175"/>
      <c r="DBV23" s="175"/>
      <c r="DBW23" s="175"/>
      <c r="DBX23" s="175"/>
      <c r="DBY23" s="175"/>
      <c r="DBZ23" s="175"/>
      <c r="DCA23" s="175"/>
      <c r="DCB23" s="175"/>
      <c r="DCC23" s="175"/>
      <c r="DCD23" s="175"/>
      <c r="DCE23" s="175"/>
      <c r="DCF23" s="175"/>
      <c r="DCG23" s="175"/>
      <c r="DCH23" s="175"/>
      <c r="DCI23" s="175"/>
      <c r="DCJ23" s="175"/>
      <c r="DCK23" s="175"/>
      <c r="DCL23" s="175"/>
      <c r="DCM23" s="175"/>
      <c r="DCN23" s="175"/>
      <c r="DCO23" s="175"/>
      <c r="DCP23" s="175"/>
      <c r="DCQ23" s="175"/>
      <c r="DCR23" s="175"/>
      <c r="DCS23" s="175"/>
      <c r="DCT23" s="175"/>
      <c r="DCU23" s="175"/>
      <c r="DCV23" s="175"/>
      <c r="DCW23" s="175"/>
      <c r="DCX23" s="175"/>
      <c r="DCY23" s="175"/>
      <c r="DCZ23" s="175"/>
      <c r="DDA23" s="175"/>
      <c r="DDB23" s="175"/>
      <c r="DDC23" s="175"/>
      <c r="DDD23" s="175"/>
      <c r="DDE23" s="175"/>
      <c r="DDF23" s="175"/>
      <c r="DDG23" s="175"/>
      <c r="DDH23" s="175"/>
      <c r="DDI23" s="175"/>
      <c r="DDJ23" s="175"/>
      <c r="DDK23" s="175"/>
      <c r="DDL23" s="175"/>
      <c r="DDM23" s="175"/>
      <c r="DDN23" s="175"/>
      <c r="DDO23" s="175"/>
      <c r="DDP23" s="175"/>
      <c r="DDQ23" s="175"/>
      <c r="DDR23" s="175"/>
      <c r="DDS23" s="175"/>
      <c r="DDT23" s="175"/>
      <c r="DDU23" s="175"/>
      <c r="DDV23" s="175"/>
      <c r="DDW23" s="175"/>
      <c r="DDX23" s="175"/>
      <c r="DDY23" s="175"/>
      <c r="DDZ23" s="175"/>
      <c r="DEA23" s="175"/>
      <c r="DEB23" s="175"/>
      <c r="DEC23" s="175"/>
      <c r="DED23" s="175"/>
      <c r="DEE23" s="175"/>
      <c r="DEF23" s="175"/>
      <c r="DEG23" s="175"/>
      <c r="DEH23" s="175"/>
      <c r="DEI23" s="175"/>
      <c r="DEJ23" s="175"/>
      <c r="DEK23" s="175"/>
      <c r="DEL23" s="175"/>
      <c r="DEM23" s="175"/>
      <c r="DEN23" s="175"/>
      <c r="DEO23" s="175"/>
      <c r="DEP23" s="175"/>
      <c r="DEQ23" s="175"/>
      <c r="DER23" s="175"/>
      <c r="DES23" s="175"/>
      <c r="DET23" s="175"/>
      <c r="DEU23" s="175"/>
      <c r="DEV23" s="175"/>
      <c r="DEW23" s="175"/>
      <c r="DEX23" s="175"/>
      <c r="DEY23" s="175"/>
      <c r="DEZ23" s="175"/>
      <c r="DFA23" s="175"/>
      <c r="DFB23" s="175"/>
      <c r="DFC23" s="175"/>
      <c r="DFD23" s="175"/>
      <c r="DFE23" s="175"/>
      <c r="DFF23" s="175"/>
      <c r="DFG23" s="175"/>
      <c r="DFH23" s="175"/>
      <c r="DFI23" s="175"/>
      <c r="DFJ23" s="175"/>
      <c r="DFK23" s="175"/>
      <c r="DFL23" s="175"/>
      <c r="DFM23" s="175"/>
      <c r="DFN23" s="175"/>
      <c r="DFO23" s="175"/>
      <c r="DFP23" s="175"/>
      <c r="DFQ23" s="175"/>
      <c r="DFR23" s="175"/>
      <c r="DFS23" s="175"/>
      <c r="DFT23" s="175"/>
      <c r="DFU23" s="175"/>
      <c r="DFV23" s="175"/>
      <c r="DFW23" s="175"/>
      <c r="DFX23" s="175"/>
      <c r="DFY23" s="175"/>
      <c r="DFZ23" s="175"/>
      <c r="DGA23" s="175"/>
      <c r="DGB23" s="175"/>
      <c r="DGC23" s="175"/>
      <c r="DGD23" s="175"/>
      <c r="DGE23" s="175"/>
      <c r="DGF23" s="175"/>
      <c r="DGG23" s="175"/>
      <c r="DGH23" s="175"/>
      <c r="DGI23" s="175"/>
      <c r="DGJ23" s="175"/>
      <c r="DGK23" s="175"/>
      <c r="DGL23" s="175"/>
      <c r="DGM23" s="175"/>
      <c r="DGN23" s="175"/>
      <c r="DGO23" s="175"/>
      <c r="DGP23" s="175"/>
      <c r="DGQ23" s="175"/>
      <c r="DGR23" s="175"/>
      <c r="DGS23" s="175"/>
      <c r="DGT23" s="175"/>
      <c r="DGU23" s="175"/>
      <c r="DGV23" s="175"/>
      <c r="DGW23" s="175"/>
      <c r="DGX23" s="175"/>
      <c r="DGY23" s="175"/>
      <c r="DGZ23" s="175"/>
      <c r="DHA23" s="175"/>
      <c r="DHB23" s="175"/>
      <c r="DHC23" s="175"/>
      <c r="DHD23" s="175"/>
      <c r="DHE23" s="175"/>
      <c r="DHF23" s="175"/>
      <c r="DHG23" s="175"/>
      <c r="DHH23" s="175"/>
      <c r="DHI23" s="175"/>
      <c r="DHJ23" s="175"/>
      <c r="DHK23" s="175"/>
      <c r="DHL23" s="175"/>
      <c r="DHM23" s="175"/>
      <c r="DHN23" s="175"/>
      <c r="DHO23" s="175"/>
      <c r="DHP23" s="175"/>
      <c r="DHQ23" s="175"/>
      <c r="DHR23" s="175"/>
      <c r="DHS23" s="175"/>
      <c r="DHT23" s="175"/>
      <c r="DHU23" s="175"/>
      <c r="DHV23" s="175"/>
      <c r="DHW23" s="175"/>
      <c r="DHX23" s="175"/>
      <c r="DHY23" s="175"/>
      <c r="DHZ23" s="175"/>
      <c r="DIA23" s="175"/>
      <c r="DIB23" s="175"/>
      <c r="DIC23" s="175"/>
      <c r="DID23" s="175"/>
      <c r="DIE23" s="175"/>
      <c r="DIF23" s="175"/>
      <c r="DIG23" s="175"/>
      <c r="DIH23" s="175"/>
      <c r="DII23" s="175"/>
      <c r="DIJ23" s="175"/>
      <c r="DIK23" s="175"/>
      <c r="DIL23" s="175"/>
      <c r="DIM23" s="175"/>
      <c r="DIN23" s="175"/>
      <c r="DIO23" s="175"/>
      <c r="DIP23" s="175"/>
      <c r="DIQ23" s="175"/>
      <c r="DIR23" s="175"/>
      <c r="DIS23" s="175"/>
      <c r="DIT23" s="175"/>
      <c r="DIU23" s="175"/>
      <c r="DIV23" s="175"/>
      <c r="DIW23" s="175"/>
      <c r="DIX23" s="175"/>
      <c r="DIY23" s="175"/>
      <c r="DIZ23" s="175"/>
      <c r="DJA23" s="175"/>
      <c r="DJB23" s="175"/>
      <c r="DJC23" s="175"/>
      <c r="DJD23" s="175"/>
      <c r="DJE23" s="175"/>
      <c r="DJF23" s="175"/>
      <c r="DJG23" s="175"/>
      <c r="DJH23" s="175"/>
      <c r="DJI23" s="175"/>
      <c r="DJJ23" s="175"/>
      <c r="DJK23" s="175"/>
      <c r="DJL23" s="175"/>
      <c r="DJM23" s="175"/>
      <c r="DJN23" s="175"/>
      <c r="DJO23" s="175"/>
      <c r="DJP23" s="175"/>
      <c r="DJQ23" s="175"/>
      <c r="DJR23" s="175"/>
      <c r="DJS23" s="175"/>
      <c r="DJT23" s="175"/>
      <c r="DJU23" s="175"/>
      <c r="DJV23" s="175"/>
      <c r="DJW23" s="175"/>
      <c r="DJX23" s="175"/>
      <c r="DJY23" s="175"/>
      <c r="DJZ23" s="175"/>
      <c r="DKA23" s="175"/>
      <c r="DKB23" s="175"/>
      <c r="DKC23" s="175"/>
      <c r="DKD23" s="175"/>
      <c r="DKE23" s="175"/>
      <c r="DKF23" s="175"/>
      <c r="DKG23" s="175"/>
      <c r="DKH23" s="175"/>
      <c r="DKI23" s="175"/>
      <c r="DKJ23" s="175"/>
      <c r="DKK23" s="175"/>
      <c r="DKL23" s="175"/>
      <c r="DKM23" s="175"/>
      <c r="DKN23" s="175"/>
      <c r="DKO23" s="175"/>
      <c r="DKP23" s="175"/>
      <c r="DKQ23" s="175"/>
      <c r="DKR23" s="175"/>
      <c r="DKS23" s="175"/>
      <c r="DKT23" s="175"/>
      <c r="DKU23" s="175"/>
      <c r="DKV23" s="175"/>
      <c r="DKW23" s="175"/>
      <c r="DKX23" s="175"/>
      <c r="DKY23" s="175"/>
      <c r="DKZ23" s="175"/>
      <c r="DLA23" s="175"/>
      <c r="DLB23" s="175"/>
      <c r="DLC23" s="175"/>
      <c r="DLD23" s="175"/>
      <c r="DLE23" s="175"/>
      <c r="DLF23" s="175"/>
      <c r="DLG23" s="175"/>
      <c r="DLH23" s="175"/>
      <c r="DLI23" s="175"/>
      <c r="DLJ23" s="175"/>
      <c r="DLK23" s="175"/>
      <c r="DLL23" s="175"/>
      <c r="DLM23" s="175"/>
      <c r="DLN23" s="175"/>
      <c r="DLO23" s="175"/>
      <c r="DLP23" s="175"/>
      <c r="DLQ23" s="175"/>
      <c r="DLR23" s="175"/>
      <c r="DLS23" s="175"/>
      <c r="DLT23" s="175"/>
      <c r="DLU23" s="175"/>
      <c r="DLV23" s="175"/>
      <c r="DLW23" s="175"/>
      <c r="DLX23" s="175"/>
      <c r="DLY23" s="175"/>
      <c r="DLZ23" s="175"/>
      <c r="DMA23" s="175"/>
      <c r="DMB23" s="175"/>
      <c r="DMC23" s="175"/>
      <c r="DMD23" s="175"/>
      <c r="DME23" s="175"/>
      <c r="DMF23" s="175"/>
      <c r="DMG23" s="175"/>
      <c r="DMH23" s="175"/>
      <c r="DMI23" s="175"/>
      <c r="DMJ23" s="175"/>
      <c r="DMK23" s="175"/>
      <c r="DML23" s="175"/>
      <c r="DMM23" s="175"/>
      <c r="DMN23" s="175"/>
      <c r="DMO23" s="175"/>
      <c r="DMP23" s="175"/>
      <c r="DMQ23" s="175"/>
      <c r="DMR23" s="175"/>
      <c r="DMS23" s="175"/>
      <c r="DMT23" s="175"/>
      <c r="DMU23" s="175"/>
      <c r="DMV23" s="175"/>
      <c r="DMW23" s="175"/>
      <c r="DMX23" s="175"/>
      <c r="DMY23" s="175"/>
      <c r="DMZ23" s="175"/>
      <c r="DNA23" s="175"/>
      <c r="DNB23" s="175"/>
      <c r="DNC23" s="175"/>
      <c r="DND23" s="175"/>
      <c r="DNE23" s="175"/>
      <c r="DNF23" s="175"/>
      <c r="DNG23" s="175"/>
      <c r="DNH23" s="175"/>
      <c r="DNI23" s="175"/>
      <c r="DNJ23" s="175"/>
      <c r="DNK23" s="175"/>
      <c r="DNL23" s="175"/>
      <c r="DNM23" s="175"/>
      <c r="DNN23" s="175"/>
      <c r="DNO23" s="175"/>
      <c r="DNP23" s="175"/>
      <c r="DNQ23" s="175"/>
      <c r="DNR23" s="175"/>
      <c r="DNS23" s="175"/>
      <c r="DNT23" s="175"/>
      <c r="DNU23" s="175"/>
      <c r="DNV23" s="175"/>
      <c r="DNW23" s="175"/>
      <c r="DNX23" s="175"/>
      <c r="DNY23" s="175"/>
      <c r="DNZ23" s="175"/>
      <c r="DOA23" s="175"/>
      <c r="DOB23" s="175"/>
      <c r="DOC23" s="175"/>
      <c r="DOD23" s="175"/>
      <c r="DOE23" s="175"/>
      <c r="DOF23" s="175"/>
      <c r="DOG23" s="175"/>
      <c r="DOH23" s="175"/>
      <c r="DOI23" s="175"/>
      <c r="DOJ23" s="175"/>
      <c r="DOK23" s="175"/>
      <c r="DOL23" s="175"/>
      <c r="DOM23" s="175"/>
      <c r="DON23" s="175"/>
      <c r="DOO23" s="175"/>
      <c r="DOP23" s="175"/>
      <c r="DOQ23" s="175"/>
      <c r="DOR23" s="175"/>
      <c r="DOS23" s="175"/>
      <c r="DOT23" s="175"/>
      <c r="DOU23" s="175"/>
      <c r="DOV23" s="175"/>
      <c r="DOW23" s="175"/>
      <c r="DOX23" s="175"/>
      <c r="DOY23" s="175"/>
      <c r="DOZ23" s="175"/>
      <c r="DPA23" s="175"/>
      <c r="DPB23" s="175"/>
      <c r="DPC23" s="175"/>
      <c r="DPD23" s="175"/>
      <c r="DPE23" s="175"/>
      <c r="DPF23" s="175"/>
      <c r="DPG23" s="175"/>
      <c r="DPH23" s="175"/>
      <c r="DPI23" s="175"/>
      <c r="DPJ23" s="175"/>
      <c r="DPK23" s="175"/>
      <c r="DPL23" s="175"/>
      <c r="DPM23" s="175"/>
      <c r="DPN23" s="175"/>
      <c r="DPO23" s="175"/>
      <c r="DPP23" s="175"/>
      <c r="DPQ23" s="175"/>
      <c r="DPR23" s="175"/>
      <c r="DPS23" s="175"/>
      <c r="DPT23" s="175"/>
      <c r="DPU23" s="175"/>
      <c r="DPV23" s="175"/>
      <c r="DPW23" s="175"/>
      <c r="DPX23" s="175"/>
      <c r="DPY23" s="175"/>
      <c r="DPZ23" s="175"/>
      <c r="DQA23" s="175"/>
      <c r="DQB23" s="175"/>
      <c r="DQC23" s="175"/>
      <c r="DQD23" s="175"/>
      <c r="DQE23" s="175"/>
      <c r="DQF23" s="175"/>
      <c r="DQG23" s="175"/>
      <c r="DQH23" s="175"/>
      <c r="DQI23" s="175"/>
      <c r="DQJ23" s="175"/>
      <c r="DQK23" s="175"/>
      <c r="DQL23" s="175"/>
      <c r="DQM23" s="175"/>
      <c r="DQN23" s="175"/>
      <c r="DQO23" s="175"/>
      <c r="DQP23" s="175"/>
      <c r="DQQ23" s="175"/>
      <c r="DQR23" s="175"/>
      <c r="DQS23" s="175"/>
      <c r="DQT23" s="175"/>
      <c r="DQU23" s="175"/>
      <c r="DQV23" s="175"/>
      <c r="DQW23" s="175"/>
      <c r="DQX23" s="175"/>
      <c r="DQY23" s="175"/>
      <c r="DQZ23" s="175"/>
      <c r="DRA23" s="175"/>
      <c r="DRB23" s="175"/>
      <c r="DRC23" s="175"/>
      <c r="DRD23" s="175"/>
      <c r="DRE23" s="175"/>
      <c r="DRF23" s="175"/>
      <c r="DRG23" s="175"/>
      <c r="DRH23" s="175"/>
      <c r="DRI23" s="175"/>
      <c r="DRJ23" s="175"/>
      <c r="DRK23" s="175"/>
      <c r="DRL23" s="175"/>
      <c r="DRM23" s="175"/>
      <c r="DRN23" s="175"/>
      <c r="DRO23" s="175"/>
      <c r="DRP23" s="175"/>
      <c r="DRQ23" s="175"/>
      <c r="DRR23" s="175"/>
      <c r="DRS23" s="175"/>
      <c r="DRT23" s="175"/>
      <c r="DRU23" s="175"/>
      <c r="DRV23" s="175"/>
      <c r="DRW23" s="175"/>
      <c r="DRX23" s="175"/>
      <c r="DRY23" s="175"/>
      <c r="DRZ23" s="175"/>
      <c r="DSA23" s="175"/>
      <c r="DSB23" s="175"/>
      <c r="DSC23" s="175"/>
      <c r="DSD23" s="175"/>
      <c r="DSE23" s="175"/>
      <c r="DSF23" s="175"/>
      <c r="DSG23" s="175"/>
      <c r="DSH23" s="175"/>
      <c r="DSI23" s="175"/>
      <c r="DSJ23" s="175"/>
      <c r="DSK23" s="175"/>
      <c r="DSL23" s="175"/>
      <c r="DSM23" s="175"/>
      <c r="DSN23" s="175"/>
      <c r="DSO23" s="175"/>
      <c r="DSP23" s="175"/>
      <c r="DSQ23" s="175"/>
      <c r="DSR23" s="175"/>
      <c r="DSS23" s="175"/>
      <c r="DST23" s="175"/>
      <c r="DSU23" s="175"/>
      <c r="DSV23" s="175"/>
      <c r="DSW23" s="175"/>
      <c r="DSX23" s="175"/>
      <c r="DSY23" s="175"/>
      <c r="DSZ23" s="175"/>
      <c r="DTA23" s="175"/>
      <c r="DTB23" s="175"/>
      <c r="DTC23" s="175"/>
      <c r="DTD23" s="175"/>
      <c r="DTE23" s="175"/>
      <c r="DTF23" s="175"/>
      <c r="DTG23" s="175"/>
      <c r="DTH23" s="175"/>
      <c r="DTI23" s="175"/>
      <c r="DTJ23" s="175"/>
      <c r="DTK23" s="175"/>
      <c r="DTL23" s="175"/>
      <c r="DTM23" s="175"/>
      <c r="DTN23" s="175"/>
      <c r="DTO23" s="175"/>
      <c r="DTP23" s="175"/>
      <c r="DTQ23" s="175"/>
      <c r="DTR23" s="175"/>
      <c r="DTS23" s="175"/>
      <c r="DTT23" s="175"/>
      <c r="DTU23" s="175"/>
      <c r="DTV23" s="175"/>
      <c r="DTW23" s="175"/>
      <c r="DTX23" s="175"/>
      <c r="DTY23" s="175"/>
      <c r="DTZ23" s="175"/>
      <c r="DUA23" s="175"/>
      <c r="DUB23" s="175"/>
      <c r="DUC23" s="175"/>
      <c r="DUD23" s="175"/>
      <c r="DUE23" s="175"/>
      <c r="DUF23" s="175"/>
      <c r="DUG23" s="175"/>
      <c r="DUH23" s="175"/>
      <c r="DUI23" s="175"/>
      <c r="DUJ23" s="175"/>
      <c r="DUK23" s="175"/>
      <c r="DUL23" s="175"/>
      <c r="DUM23" s="175"/>
      <c r="DUN23" s="175"/>
      <c r="DUO23" s="175"/>
      <c r="DUP23" s="175"/>
      <c r="DUQ23" s="175"/>
      <c r="DUR23" s="175"/>
      <c r="DUS23" s="175"/>
      <c r="DUT23" s="175"/>
      <c r="DUU23" s="175"/>
      <c r="DUV23" s="175"/>
      <c r="DUW23" s="175"/>
      <c r="DUX23" s="175"/>
      <c r="DUY23" s="175"/>
      <c r="DUZ23" s="175"/>
      <c r="DVA23" s="175"/>
      <c r="DVB23" s="175"/>
      <c r="DVC23" s="175"/>
      <c r="DVD23" s="175"/>
      <c r="DVE23" s="175"/>
      <c r="DVF23" s="175"/>
      <c r="DVG23" s="175"/>
      <c r="DVH23" s="175"/>
      <c r="DVI23" s="175"/>
      <c r="DVJ23" s="175"/>
      <c r="DVK23" s="175"/>
      <c r="DVL23" s="175"/>
      <c r="DVM23" s="175"/>
      <c r="DVN23" s="175"/>
      <c r="DVO23" s="175"/>
      <c r="DVP23" s="175"/>
      <c r="DVQ23" s="175"/>
      <c r="DVR23" s="175"/>
      <c r="DVS23" s="175"/>
      <c r="DVT23" s="175"/>
      <c r="DVU23" s="175"/>
      <c r="DVV23" s="175"/>
      <c r="DVW23" s="175"/>
      <c r="DVX23" s="175"/>
      <c r="DVY23" s="175"/>
      <c r="DVZ23" s="175"/>
      <c r="DWA23" s="175"/>
      <c r="DWB23" s="175"/>
      <c r="DWC23" s="175"/>
      <c r="DWD23" s="175"/>
      <c r="DWE23" s="175"/>
      <c r="DWF23" s="175"/>
      <c r="DWG23" s="175"/>
      <c r="DWH23" s="175"/>
      <c r="DWI23" s="175"/>
      <c r="DWJ23" s="175"/>
      <c r="DWK23" s="175"/>
      <c r="DWL23" s="175"/>
      <c r="DWM23" s="175"/>
      <c r="DWN23" s="175"/>
      <c r="DWO23" s="175"/>
      <c r="DWP23" s="175"/>
      <c r="DWQ23" s="175"/>
      <c r="DWR23" s="175"/>
      <c r="DWS23" s="175"/>
      <c r="DWT23" s="175"/>
      <c r="DWU23" s="175"/>
      <c r="DWV23" s="175"/>
      <c r="DWW23" s="175"/>
      <c r="DWX23" s="175"/>
      <c r="DWY23" s="175"/>
      <c r="DWZ23" s="175"/>
      <c r="DXA23" s="175"/>
      <c r="DXB23" s="175"/>
      <c r="DXC23" s="175"/>
      <c r="DXD23" s="175"/>
      <c r="DXE23" s="175"/>
      <c r="DXF23" s="175"/>
      <c r="DXG23" s="175"/>
      <c r="DXH23" s="175"/>
      <c r="DXI23" s="175"/>
      <c r="DXJ23" s="175"/>
      <c r="DXK23" s="175"/>
      <c r="DXL23" s="175"/>
      <c r="DXM23" s="175"/>
      <c r="DXN23" s="175"/>
      <c r="DXO23" s="175"/>
      <c r="DXP23" s="175"/>
      <c r="DXQ23" s="175"/>
      <c r="DXR23" s="175"/>
      <c r="DXS23" s="175"/>
      <c r="DXT23" s="175"/>
      <c r="DXU23" s="175"/>
      <c r="DXV23" s="175"/>
      <c r="DXW23" s="175"/>
      <c r="DXX23" s="175"/>
      <c r="DXY23" s="175"/>
      <c r="DXZ23" s="175"/>
      <c r="DYA23" s="175"/>
      <c r="DYB23" s="175"/>
      <c r="DYC23" s="175"/>
      <c r="DYD23" s="175"/>
      <c r="DYE23" s="175"/>
      <c r="DYF23" s="175"/>
      <c r="DYG23" s="175"/>
      <c r="DYH23" s="175"/>
      <c r="DYI23" s="175"/>
      <c r="DYJ23" s="175"/>
      <c r="DYK23" s="175"/>
      <c r="DYL23" s="175"/>
      <c r="DYM23" s="175"/>
      <c r="DYN23" s="175"/>
      <c r="DYO23" s="175"/>
      <c r="DYP23" s="175"/>
      <c r="DYQ23" s="175"/>
      <c r="DYR23" s="175"/>
      <c r="DYS23" s="175"/>
      <c r="DYT23" s="175"/>
      <c r="DYU23" s="175"/>
      <c r="DYV23" s="175"/>
      <c r="DYW23" s="175"/>
      <c r="DYX23" s="175"/>
      <c r="DYY23" s="175"/>
      <c r="DYZ23" s="175"/>
      <c r="DZA23" s="175"/>
      <c r="DZB23" s="175"/>
      <c r="DZC23" s="175"/>
      <c r="DZD23" s="175"/>
      <c r="DZE23" s="175"/>
      <c r="DZF23" s="175"/>
      <c r="DZG23" s="175"/>
      <c r="DZH23" s="175"/>
      <c r="DZI23" s="175"/>
      <c r="DZJ23" s="175"/>
      <c r="DZK23" s="175"/>
      <c r="DZL23" s="175"/>
      <c r="DZM23" s="175"/>
      <c r="DZN23" s="175"/>
      <c r="DZO23" s="175"/>
      <c r="DZP23" s="175"/>
      <c r="DZQ23" s="175"/>
      <c r="DZR23" s="175"/>
      <c r="DZS23" s="175"/>
      <c r="DZT23" s="175"/>
      <c r="DZU23" s="175"/>
      <c r="DZV23" s="175"/>
      <c r="DZW23" s="175"/>
      <c r="DZX23" s="175"/>
      <c r="DZY23" s="175"/>
      <c r="DZZ23" s="175"/>
      <c r="EAA23" s="175"/>
      <c r="EAB23" s="175"/>
      <c r="EAC23" s="175"/>
      <c r="EAD23" s="175"/>
      <c r="EAE23" s="175"/>
      <c r="EAF23" s="175"/>
      <c r="EAG23" s="175"/>
      <c r="EAH23" s="175"/>
      <c r="EAI23" s="175"/>
      <c r="EAJ23" s="175"/>
      <c r="EAK23" s="175"/>
      <c r="EAL23" s="175"/>
      <c r="EAM23" s="175"/>
      <c r="EAN23" s="175"/>
      <c r="EAO23" s="175"/>
      <c r="EAP23" s="175"/>
      <c r="EAQ23" s="175"/>
      <c r="EAR23" s="175"/>
      <c r="EAS23" s="175"/>
      <c r="EAT23" s="175"/>
      <c r="EAU23" s="175"/>
      <c r="EAV23" s="175"/>
      <c r="EAW23" s="175"/>
      <c r="EAX23" s="175"/>
      <c r="EAY23" s="175"/>
      <c r="EAZ23" s="175"/>
      <c r="EBA23" s="175"/>
      <c r="EBB23" s="175"/>
      <c r="EBC23" s="175"/>
      <c r="EBD23" s="175"/>
      <c r="EBE23" s="175"/>
      <c r="EBF23" s="175"/>
      <c r="EBG23" s="175"/>
      <c r="EBH23" s="175"/>
      <c r="EBI23" s="175"/>
      <c r="EBJ23" s="175"/>
      <c r="EBK23" s="175"/>
      <c r="EBL23" s="175"/>
      <c r="EBM23" s="175"/>
      <c r="EBN23" s="175"/>
      <c r="EBO23" s="175"/>
      <c r="EBP23" s="175"/>
      <c r="EBQ23" s="175"/>
      <c r="EBR23" s="175"/>
      <c r="EBS23" s="175"/>
      <c r="EBT23" s="175"/>
      <c r="EBU23" s="175"/>
      <c r="EBV23" s="175"/>
      <c r="EBW23" s="175"/>
      <c r="EBX23" s="175"/>
      <c r="EBY23" s="175"/>
      <c r="EBZ23" s="175"/>
      <c r="ECA23" s="175"/>
      <c r="ECB23" s="175"/>
      <c r="ECC23" s="175"/>
      <c r="ECD23" s="175"/>
      <c r="ECE23" s="175"/>
      <c r="ECF23" s="175"/>
      <c r="ECG23" s="175"/>
      <c r="ECH23" s="175"/>
      <c r="ECI23" s="175"/>
      <c r="ECJ23" s="175"/>
      <c r="ECK23" s="175"/>
      <c r="ECL23" s="175"/>
      <c r="ECM23" s="175"/>
      <c r="ECN23" s="175"/>
      <c r="ECO23" s="175"/>
      <c r="ECP23" s="175"/>
      <c r="ECQ23" s="175"/>
      <c r="ECR23" s="175"/>
      <c r="ECS23" s="175"/>
      <c r="ECT23" s="175"/>
      <c r="ECU23" s="175"/>
      <c r="ECV23" s="175"/>
      <c r="ECW23" s="175"/>
      <c r="ECX23" s="175"/>
      <c r="ECY23" s="175"/>
      <c r="ECZ23" s="175"/>
      <c r="EDA23" s="175"/>
      <c r="EDB23" s="175"/>
      <c r="EDC23" s="175"/>
      <c r="EDD23" s="175"/>
      <c r="EDE23" s="175"/>
      <c r="EDF23" s="175"/>
      <c r="EDG23" s="175"/>
      <c r="EDH23" s="175"/>
      <c r="EDI23" s="175"/>
      <c r="EDJ23" s="175"/>
      <c r="EDK23" s="175"/>
      <c r="EDL23" s="175"/>
      <c r="EDM23" s="175"/>
      <c r="EDN23" s="175"/>
      <c r="EDO23" s="175"/>
      <c r="EDP23" s="175"/>
      <c r="EDQ23" s="175"/>
      <c r="EDR23" s="175"/>
      <c r="EDS23" s="175"/>
      <c r="EDT23" s="175"/>
      <c r="EDU23" s="175"/>
      <c r="EDV23" s="175"/>
      <c r="EDW23" s="175"/>
      <c r="EDX23" s="175"/>
      <c r="EDY23" s="175"/>
      <c r="EDZ23" s="175"/>
      <c r="EEA23" s="175"/>
      <c r="EEB23" s="175"/>
      <c r="EEC23" s="175"/>
      <c r="EED23" s="175"/>
      <c r="EEE23" s="175"/>
      <c r="EEF23" s="175"/>
      <c r="EEG23" s="175"/>
      <c r="EEH23" s="175"/>
      <c r="EEI23" s="175"/>
      <c r="EEJ23" s="175"/>
      <c r="EEK23" s="175"/>
      <c r="EEL23" s="175"/>
      <c r="EEM23" s="175"/>
      <c r="EEN23" s="175"/>
      <c r="EEO23" s="175"/>
      <c r="EEP23" s="175"/>
      <c r="EEQ23" s="175"/>
      <c r="EER23" s="175"/>
      <c r="EES23" s="175"/>
      <c r="EET23" s="175"/>
      <c r="EEU23" s="175"/>
      <c r="EEV23" s="175"/>
      <c r="EEW23" s="175"/>
      <c r="EEX23" s="175"/>
      <c r="EEY23" s="175"/>
      <c r="EEZ23" s="175"/>
      <c r="EFA23" s="175"/>
      <c r="EFB23" s="175"/>
      <c r="EFC23" s="175"/>
      <c r="EFD23" s="175"/>
      <c r="EFE23" s="175"/>
      <c r="EFF23" s="175"/>
      <c r="EFG23" s="175"/>
      <c r="EFH23" s="175"/>
      <c r="EFI23" s="175"/>
      <c r="EFJ23" s="175"/>
      <c r="EFK23" s="175"/>
      <c r="EFL23" s="175"/>
      <c r="EFM23" s="175"/>
      <c r="EFN23" s="175"/>
      <c r="EFO23" s="175"/>
      <c r="EFP23" s="175"/>
      <c r="EFQ23" s="175"/>
      <c r="EFR23" s="175"/>
      <c r="EFS23" s="175"/>
      <c r="EFT23" s="175"/>
      <c r="EFU23" s="175"/>
      <c r="EFV23" s="175"/>
      <c r="EFW23" s="175"/>
      <c r="EFX23" s="175"/>
      <c r="EFY23" s="175"/>
      <c r="EFZ23" s="175"/>
      <c r="EGA23" s="175"/>
      <c r="EGB23" s="175"/>
      <c r="EGC23" s="175"/>
      <c r="EGD23" s="175"/>
      <c r="EGE23" s="175"/>
      <c r="EGF23" s="175"/>
      <c r="EGG23" s="175"/>
      <c r="EGH23" s="175"/>
      <c r="EGI23" s="175"/>
      <c r="EGJ23" s="175"/>
      <c r="EGK23" s="175"/>
      <c r="EGL23" s="175"/>
      <c r="EGM23" s="175"/>
      <c r="EGN23" s="175"/>
      <c r="EGO23" s="175"/>
      <c r="EGP23" s="175"/>
      <c r="EGQ23" s="175"/>
      <c r="EGR23" s="175"/>
      <c r="EGS23" s="175"/>
      <c r="EGT23" s="175"/>
      <c r="EGU23" s="175"/>
      <c r="EGV23" s="175"/>
      <c r="EGW23" s="175"/>
      <c r="EGX23" s="175"/>
      <c r="EGY23" s="175"/>
      <c r="EGZ23" s="175"/>
      <c r="EHA23" s="175"/>
      <c r="EHB23" s="175"/>
      <c r="EHC23" s="175"/>
      <c r="EHD23" s="175"/>
      <c r="EHE23" s="175"/>
      <c r="EHF23" s="175"/>
      <c r="EHG23" s="175"/>
      <c r="EHH23" s="175"/>
      <c r="EHI23" s="175"/>
      <c r="EHJ23" s="175"/>
      <c r="EHK23" s="175"/>
      <c r="EHL23" s="175"/>
      <c r="EHM23" s="175"/>
      <c r="EHN23" s="175"/>
      <c r="EHO23" s="175"/>
      <c r="EHP23" s="175"/>
      <c r="EHQ23" s="175"/>
      <c r="EHR23" s="175"/>
      <c r="EHS23" s="175"/>
      <c r="EHT23" s="175"/>
      <c r="EHU23" s="175"/>
      <c r="EHV23" s="175"/>
      <c r="EHW23" s="175"/>
      <c r="EHX23" s="175"/>
      <c r="EHY23" s="175"/>
      <c r="EHZ23" s="175"/>
      <c r="EIA23" s="175"/>
      <c r="EIB23" s="175"/>
      <c r="EIC23" s="175"/>
      <c r="EID23" s="175"/>
      <c r="EIE23" s="175"/>
      <c r="EIF23" s="175"/>
      <c r="EIG23" s="175"/>
      <c r="EIH23" s="175"/>
      <c r="EII23" s="175"/>
      <c r="EIJ23" s="175"/>
      <c r="EIK23" s="175"/>
      <c r="EIL23" s="175"/>
      <c r="EIM23" s="175"/>
      <c r="EIN23" s="175"/>
      <c r="EIO23" s="175"/>
      <c r="EIP23" s="175"/>
      <c r="EIQ23" s="175"/>
      <c r="EIR23" s="175"/>
      <c r="EIS23" s="175"/>
      <c r="EIT23" s="175"/>
      <c r="EIU23" s="175"/>
      <c r="EIV23" s="175"/>
      <c r="EIW23" s="175"/>
      <c r="EIX23" s="175"/>
      <c r="EIY23" s="175"/>
      <c r="EIZ23" s="175"/>
      <c r="EJA23" s="175"/>
      <c r="EJB23" s="175"/>
      <c r="EJC23" s="175"/>
      <c r="EJD23" s="175"/>
      <c r="EJE23" s="175"/>
      <c r="EJF23" s="175"/>
      <c r="EJG23" s="175"/>
      <c r="EJH23" s="175"/>
      <c r="EJI23" s="175"/>
      <c r="EJJ23" s="175"/>
      <c r="EJK23" s="175"/>
      <c r="EJL23" s="175"/>
      <c r="EJM23" s="175"/>
      <c r="EJN23" s="175"/>
      <c r="EJO23" s="175"/>
      <c r="EJP23" s="175"/>
      <c r="EJQ23" s="175"/>
      <c r="EJR23" s="175"/>
      <c r="EJS23" s="175"/>
      <c r="EJT23" s="175"/>
      <c r="EJU23" s="175"/>
      <c r="EJV23" s="175"/>
      <c r="EJW23" s="175"/>
      <c r="EJX23" s="175"/>
      <c r="EJY23" s="175"/>
      <c r="EJZ23" s="175"/>
      <c r="EKA23" s="175"/>
      <c r="EKB23" s="175"/>
      <c r="EKC23" s="175"/>
      <c r="EKD23" s="175"/>
      <c r="EKE23" s="175"/>
      <c r="EKF23" s="175"/>
      <c r="EKG23" s="175"/>
      <c r="EKH23" s="175"/>
      <c r="EKI23" s="175"/>
      <c r="EKJ23" s="175"/>
      <c r="EKK23" s="175"/>
      <c r="EKL23" s="175"/>
      <c r="EKM23" s="175"/>
      <c r="EKN23" s="175"/>
      <c r="EKO23" s="175"/>
      <c r="EKP23" s="175"/>
      <c r="EKQ23" s="175"/>
      <c r="EKR23" s="175"/>
      <c r="EKS23" s="175"/>
      <c r="EKT23" s="175"/>
      <c r="EKU23" s="175"/>
      <c r="EKV23" s="175"/>
      <c r="EKW23" s="175"/>
      <c r="EKX23" s="175"/>
      <c r="EKY23" s="175"/>
      <c r="EKZ23" s="175"/>
      <c r="ELA23" s="175"/>
      <c r="ELB23" s="175"/>
      <c r="ELC23" s="175"/>
      <c r="ELD23" s="175"/>
      <c r="ELE23" s="175"/>
      <c r="ELF23" s="175"/>
      <c r="ELG23" s="175"/>
      <c r="ELH23" s="175"/>
      <c r="ELI23" s="175"/>
      <c r="ELJ23" s="175"/>
      <c r="ELK23" s="175"/>
      <c r="ELL23" s="175"/>
      <c r="ELM23" s="175"/>
      <c r="ELN23" s="175"/>
      <c r="ELO23" s="175"/>
      <c r="ELP23" s="175"/>
      <c r="ELQ23" s="175"/>
      <c r="ELR23" s="175"/>
      <c r="ELS23" s="175"/>
      <c r="ELT23" s="175"/>
      <c r="ELU23" s="175"/>
      <c r="ELV23" s="175"/>
      <c r="ELW23" s="175"/>
      <c r="ELX23" s="175"/>
      <c r="ELY23" s="175"/>
      <c r="ELZ23" s="175"/>
      <c r="EMA23" s="175"/>
      <c r="EMB23" s="175"/>
      <c r="EMC23" s="175"/>
      <c r="EMD23" s="175"/>
      <c r="EME23" s="175"/>
      <c r="EMF23" s="175"/>
      <c r="EMG23" s="175"/>
      <c r="EMH23" s="175"/>
      <c r="EMI23" s="175"/>
      <c r="EMJ23" s="175"/>
      <c r="EMK23" s="175"/>
      <c r="EML23" s="175"/>
      <c r="EMM23" s="175"/>
      <c r="EMN23" s="175"/>
      <c r="EMO23" s="175"/>
      <c r="EMP23" s="175"/>
      <c r="EMQ23" s="175"/>
      <c r="EMR23" s="175"/>
      <c r="EMS23" s="175"/>
      <c r="EMT23" s="175"/>
      <c r="EMU23" s="175"/>
      <c r="EMV23" s="175"/>
      <c r="EMW23" s="175"/>
      <c r="EMX23" s="175"/>
      <c r="EMY23" s="175"/>
      <c r="EMZ23" s="175"/>
      <c r="ENA23" s="175"/>
      <c r="ENB23" s="175"/>
      <c r="ENC23" s="175"/>
      <c r="END23" s="175"/>
      <c r="ENE23" s="175"/>
      <c r="ENF23" s="175"/>
      <c r="ENG23" s="175"/>
      <c r="ENH23" s="175"/>
      <c r="ENI23" s="175"/>
      <c r="ENJ23" s="175"/>
      <c r="ENK23" s="175"/>
      <c r="ENL23" s="175"/>
      <c r="ENM23" s="175"/>
      <c r="ENN23" s="175"/>
      <c r="ENO23" s="175"/>
      <c r="ENP23" s="175"/>
      <c r="ENQ23" s="175"/>
      <c r="ENR23" s="175"/>
      <c r="ENS23" s="175"/>
      <c r="ENT23" s="175"/>
      <c r="ENU23" s="175"/>
      <c r="ENV23" s="175"/>
      <c r="ENW23" s="175"/>
      <c r="ENX23" s="175"/>
      <c r="ENY23" s="175"/>
      <c r="ENZ23" s="175"/>
      <c r="EOA23" s="175"/>
      <c r="EOB23" s="175"/>
      <c r="EOC23" s="175"/>
      <c r="EOD23" s="175"/>
      <c r="EOE23" s="175"/>
      <c r="EOF23" s="175"/>
      <c r="EOG23" s="175"/>
      <c r="EOH23" s="175"/>
      <c r="EOI23" s="175"/>
      <c r="EOJ23" s="175"/>
      <c r="EOK23" s="175"/>
      <c r="EOL23" s="175"/>
      <c r="EOM23" s="175"/>
      <c r="EON23" s="175"/>
      <c r="EOO23" s="175"/>
      <c r="EOP23" s="175"/>
      <c r="EOQ23" s="175"/>
      <c r="EOR23" s="175"/>
      <c r="EOS23" s="175"/>
      <c r="EOT23" s="175"/>
      <c r="EOU23" s="175"/>
      <c r="EOV23" s="175"/>
      <c r="EOW23" s="175"/>
      <c r="EOX23" s="175"/>
      <c r="EOY23" s="175"/>
      <c r="EOZ23" s="175"/>
      <c r="EPA23" s="175"/>
      <c r="EPB23" s="175"/>
      <c r="EPC23" s="175"/>
      <c r="EPD23" s="175"/>
      <c r="EPE23" s="175"/>
      <c r="EPF23" s="175"/>
      <c r="EPG23" s="175"/>
      <c r="EPH23" s="175"/>
      <c r="EPI23" s="175"/>
      <c r="EPJ23" s="175"/>
      <c r="EPK23" s="175"/>
      <c r="EPL23" s="175"/>
      <c r="EPM23" s="175"/>
      <c r="EPN23" s="175"/>
      <c r="EPO23" s="175"/>
      <c r="EPP23" s="175"/>
      <c r="EPQ23" s="175"/>
      <c r="EPR23" s="175"/>
      <c r="EPS23" s="175"/>
      <c r="EPT23" s="175"/>
      <c r="EPU23" s="175"/>
      <c r="EPV23" s="175"/>
      <c r="EPW23" s="175"/>
      <c r="EPX23" s="175"/>
      <c r="EPY23" s="175"/>
      <c r="EPZ23" s="175"/>
      <c r="EQA23" s="175"/>
      <c r="EQB23" s="175"/>
      <c r="EQC23" s="175"/>
      <c r="EQD23" s="175"/>
      <c r="EQE23" s="175"/>
      <c r="EQF23" s="175"/>
      <c r="EQG23" s="175"/>
      <c r="EQH23" s="175"/>
      <c r="EQI23" s="175"/>
      <c r="EQJ23" s="175"/>
      <c r="EQK23" s="175"/>
      <c r="EQL23" s="175"/>
      <c r="EQM23" s="175"/>
      <c r="EQN23" s="175"/>
      <c r="EQO23" s="175"/>
      <c r="EQP23" s="175"/>
      <c r="EQQ23" s="175"/>
      <c r="EQR23" s="175"/>
      <c r="EQS23" s="175"/>
      <c r="EQT23" s="175"/>
      <c r="EQU23" s="175"/>
      <c r="EQV23" s="175"/>
      <c r="EQW23" s="175"/>
      <c r="EQX23" s="175"/>
      <c r="EQY23" s="175"/>
      <c r="EQZ23" s="175"/>
      <c r="ERA23" s="175"/>
      <c r="ERB23" s="175"/>
      <c r="ERC23" s="175"/>
      <c r="ERD23" s="175"/>
      <c r="ERE23" s="175"/>
      <c r="ERF23" s="175"/>
      <c r="ERG23" s="175"/>
      <c r="ERH23" s="175"/>
      <c r="ERI23" s="175"/>
      <c r="ERJ23" s="175"/>
      <c r="ERK23" s="175"/>
      <c r="ERL23" s="175"/>
      <c r="ERM23" s="175"/>
      <c r="ERN23" s="175"/>
      <c r="ERO23" s="175"/>
      <c r="ERP23" s="175"/>
      <c r="ERQ23" s="175"/>
      <c r="ERR23" s="175"/>
      <c r="ERS23" s="175"/>
      <c r="ERT23" s="175"/>
      <c r="ERU23" s="175"/>
      <c r="ERV23" s="175"/>
      <c r="ERW23" s="175"/>
      <c r="ERX23" s="175"/>
      <c r="ERY23" s="175"/>
      <c r="ERZ23" s="175"/>
      <c r="ESA23" s="175"/>
      <c r="ESB23" s="175"/>
      <c r="ESC23" s="175"/>
      <c r="ESD23" s="175"/>
      <c r="ESE23" s="175"/>
      <c r="ESF23" s="175"/>
      <c r="ESG23" s="175"/>
      <c r="ESH23" s="175"/>
      <c r="ESI23" s="175"/>
      <c r="ESJ23" s="175"/>
      <c r="ESK23" s="175"/>
      <c r="ESL23" s="175"/>
      <c r="ESM23" s="175"/>
      <c r="ESN23" s="175"/>
      <c r="ESO23" s="175"/>
      <c r="ESP23" s="175"/>
      <c r="ESQ23" s="175"/>
      <c r="ESR23" s="175"/>
      <c r="ESS23" s="175"/>
      <c r="EST23" s="175"/>
      <c r="ESU23" s="175"/>
      <c r="ESV23" s="175"/>
      <c r="ESW23" s="175"/>
      <c r="ESX23" s="175"/>
      <c r="ESY23" s="175"/>
      <c r="ESZ23" s="175"/>
      <c r="ETA23" s="175"/>
      <c r="ETB23" s="175"/>
      <c r="ETC23" s="175"/>
      <c r="ETD23" s="175"/>
      <c r="ETE23" s="175"/>
      <c r="ETF23" s="175"/>
      <c r="ETG23" s="175"/>
      <c r="ETH23" s="175"/>
      <c r="ETI23" s="175"/>
      <c r="ETJ23" s="175"/>
      <c r="ETK23" s="175"/>
      <c r="ETL23" s="175"/>
      <c r="ETM23" s="175"/>
      <c r="ETN23" s="175"/>
      <c r="ETO23" s="175"/>
      <c r="ETP23" s="175"/>
      <c r="ETQ23" s="175"/>
      <c r="ETR23" s="175"/>
      <c r="ETS23" s="175"/>
      <c r="ETT23" s="175"/>
      <c r="ETU23" s="175"/>
      <c r="ETV23" s="175"/>
      <c r="ETW23" s="175"/>
      <c r="ETX23" s="175"/>
      <c r="ETY23" s="175"/>
      <c r="ETZ23" s="175"/>
      <c r="EUA23" s="175"/>
      <c r="EUB23" s="175"/>
      <c r="EUC23" s="175"/>
      <c r="EUD23" s="175"/>
      <c r="EUE23" s="175"/>
      <c r="EUF23" s="175"/>
      <c r="EUG23" s="175"/>
      <c r="EUH23" s="175"/>
      <c r="EUI23" s="175"/>
      <c r="EUJ23" s="175"/>
      <c r="EUK23" s="175"/>
      <c r="EUL23" s="175"/>
      <c r="EUM23" s="175"/>
      <c r="EUN23" s="175"/>
      <c r="EUO23" s="175"/>
      <c r="EUP23" s="175"/>
      <c r="EUQ23" s="175"/>
      <c r="EUR23" s="175"/>
      <c r="EUS23" s="175"/>
      <c r="EUT23" s="175"/>
      <c r="EUU23" s="175"/>
      <c r="EUV23" s="175"/>
      <c r="EUW23" s="175"/>
      <c r="EUX23" s="175"/>
      <c r="EUY23" s="175"/>
      <c r="EUZ23" s="175"/>
      <c r="EVA23" s="175"/>
      <c r="EVB23" s="175"/>
      <c r="EVC23" s="175"/>
      <c r="EVD23" s="175"/>
      <c r="EVE23" s="175"/>
      <c r="EVF23" s="175"/>
      <c r="EVG23" s="175"/>
      <c r="EVH23" s="175"/>
      <c r="EVI23" s="175"/>
      <c r="EVJ23" s="175"/>
      <c r="EVK23" s="175"/>
      <c r="EVL23" s="175"/>
      <c r="EVM23" s="175"/>
      <c r="EVN23" s="175"/>
      <c r="EVO23" s="175"/>
      <c r="EVP23" s="175"/>
      <c r="EVQ23" s="175"/>
      <c r="EVR23" s="175"/>
      <c r="EVS23" s="175"/>
      <c r="EVT23" s="175"/>
      <c r="EVU23" s="175"/>
      <c r="EVV23" s="175"/>
      <c r="EVW23" s="175"/>
      <c r="EVX23" s="175"/>
      <c r="EVY23" s="175"/>
      <c r="EVZ23" s="175"/>
      <c r="EWA23" s="175"/>
      <c r="EWB23" s="175"/>
      <c r="EWC23" s="175"/>
      <c r="EWD23" s="175"/>
      <c r="EWE23" s="175"/>
      <c r="EWF23" s="175"/>
      <c r="EWG23" s="175"/>
      <c r="EWH23" s="175"/>
      <c r="EWI23" s="175"/>
      <c r="EWJ23" s="175"/>
      <c r="EWK23" s="175"/>
      <c r="EWL23" s="175"/>
      <c r="EWM23" s="175"/>
      <c r="EWN23" s="175"/>
      <c r="EWO23" s="175"/>
      <c r="EWP23" s="175"/>
      <c r="EWQ23" s="175"/>
      <c r="EWR23" s="175"/>
      <c r="EWS23" s="175"/>
      <c r="EWT23" s="175"/>
      <c r="EWU23" s="175"/>
      <c r="EWV23" s="175"/>
      <c r="EWW23" s="175"/>
      <c r="EWX23" s="175"/>
      <c r="EWY23" s="175"/>
      <c r="EWZ23" s="175"/>
      <c r="EXA23" s="175"/>
      <c r="EXB23" s="175"/>
      <c r="EXC23" s="175"/>
      <c r="EXD23" s="175"/>
      <c r="EXE23" s="175"/>
      <c r="EXF23" s="175"/>
      <c r="EXG23" s="175"/>
      <c r="EXH23" s="175"/>
      <c r="EXI23" s="175"/>
      <c r="EXJ23" s="175"/>
      <c r="EXK23" s="175"/>
      <c r="EXL23" s="175"/>
      <c r="EXM23" s="175"/>
      <c r="EXN23" s="175"/>
      <c r="EXO23" s="175"/>
      <c r="EXP23" s="175"/>
      <c r="EXQ23" s="175"/>
      <c r="EXR23" s="175"/>
      <c r="EXS23" s="175"/>
      <c r="EXT23" s="175"/>
      <c r="EXU23" s="175"/>
      <c r="EXV23" s="175"/>
      <c r="EXW23" s="175"/>
      <c r="EXX23" s="175"/>
      <c r="EXY23" s="175"/>
      <c r="EXZ23" s="175"/>
      <c r="EYA23" s="175"/>
      <c r="EYB23" s="175"/>
      <c r="EYC23" s="175"/>
      <c r="EYD23" s="175"/>
      <c r="EYE23" s="175"/>
      <c r="EYF23" s="175"/>
      <c r="EYG23" s="175"/>
      <c r="EYH23" s="175"/>
      <c r="EYI23" s="175"/>
      <c r="EYJ23" s="175"/>
      <c r="EYK23" s="175"/>
      <c r="EYL23" s="175"/>
      <c r="EYM23" s="175"/>
      <c r="EYN23" s="175"/>
      <c r="EYO23" s="175"/>
      <c r="EYP23" s="175"/>
      <c r="EYQ23" s="175"/>
      <c r="EYR23" s="175"/>
      <c r="EYS23" s="175"/>
      <c r="EYT23" s="175"/>
      <c r="EYU23" s="175"/>
      <c r="EYV23" s="175"/>
      <c r="EYW23" s="175"/>
      <c r="EYX23" s="175"/>
      <c r="EYY23" s="175"/>
      <c r="EYZ23" s="175"/>
      <c r="EZA23" s="175"/>
      <c r="EZB23" s="175"/>
      <c r="EZC23" s="175"/>
      <c r="EZD23" s="175"/>
      <c r="EZE23" s="175"/>
      <c r="EZF23" s="175"/>
      <c r="EZG23" s="175"/>
      <c r="EZH23" s="175"/>
      <c r="EZI23" s="175"/>
      <c r="EZJ23" s="175"/>
      <c r="EZK23" s="175"/>
      <c r="EZL23" s="175"/>
      <c r="EZM23" s="175"/>
      <c r="EZN23" s="175"/>
      <c r="EZO23" s="175"/>
      <c r="EZP23" s="175"/>
      <c r="EZQ23" s="175"/>
      <c r="EZR23" s="175"/>
      <c r="EZS23" s="175"/>
      <c r="EZT23" s="175"/>
      <c r="EZU23" s="175"/>
      <c r="EZV23" s="175"/>
      <c r="EZW23" s="175"/>
      <c r="EZX23" s="175"/>
      <c r="EZY23" s="175"/>
      <c r="EZZ23" s="175"/>
      <c r="FAA23" s="175"/>
      <c r="FAB23" s="175"/>
      <c r="FAC23" s="175"/>
      <c r="FAD23" s="175"/>
      <c r="FAE23" s="175"/>
      <c r="FAF23" s="175"/>
      <c r="FAG23" s="175"/>
      <c r="FAH23" s="175"/>
      <c r="FAI23" s="175"/>
      <c r="FAJ23" s="175"/>
      <c r="FAK23" s="175"/>
      <c r="FAL23" s="175"/>
      <c r="FAM23" s="175"/>
      <c r="FAN23" s="175"/>
      <c r="FAO23" s="175"/>
      <c r="FAP23" s="175"/>
      <c r="FAQ23" s="175"/>
      <c r="FAR23" s="175"/>
      <c r="FAS23" s="175"/>
      <c r="FAT23" s="175"/>
      <c r="FAU23" s="175"/>
      <c r="FAV23" s="175"/>
      <c r="FAW23" s="175"/>
      <c r="FAX23" s="175"/>
      <c r="FAY23" s="175"/>
      <c r="FAZ23" s="175"/>
      <c r="FBA23" s="175"/>
      <c r="FBB23" s="175"/>
      <c r="FBC23" s="175"/>
      <c r="FBD23" s="175"/>
      <c r="FBE23" s="175"/>
      <c r="FBF23" s="175"/>
      <c r="FBG23" s="175"/>
      <c r="FBH23" s="175"/>
      <c r="FBI23" s="175"/>
      <c r="FBJ23" s="175"/>
      <c r="FBK23" s="175"/>
      <c r="FBL23" s="175"/>
      <c r="FBM23" s="175"/>
      <c r="FBN23" s="175"/>
      <c r="FBO23" s="175"/>
      <c r="FBP23" s="175"/>
      <c r="FBQ23" s="175"/>
      <c r="FBR23" s="175"/>
      <c r="FBS23" s="175"/>
      <c r="FBT23" s="175"/>
      <c r="FBU23" s="175"/>
      <c r="FBV23" s="175"/>
      <c r="FBW23" s="175"/>
      <c r="FBX23" s="175"/>
      <c r="FBY23" s="175"/>
      <c r="FBZ23" s="175"/>
      <c r="FCA23" s="175"/>
      <c r="FCB23" s="175"/>
      <c r="FCC23" s="175"/>
      <c r="FCD23" s="175"/>
      <c r="FCE23" s="175"/>
      <c r="FCF23" s="175"/>
      <c r="FCG23" s="175"/>
      <c r="FCH23" s="175"/>
      <c r="FCI23" s="175"/>
      <c r="FCJ23" s="175"/>
      <c r="FCK23" s="175"/>
      <c r="FCL23" s="175"/>
      <c r="FCM23" s="175"/>
      <c r="FCN23" s="175"/>
      <c r="FCO23" s="175"/>
      <c r="FCP23" s="175"/>
      <c r="FCQ23" s="175"/>
      <c r="FCR23" s="175"/>
      <c r="FCS23" s="175"/>
      <c r="FCT23" s="175"/>
      <c r="FCU23" s="175"/>
      <c r="FCV23" s="175"/>
      <c r="FCW23" s="175"/>
      <c r="FCX23" s="175"/>
      <c r="FCY23" s="175"/>
      <c r="FCZ23" s="175"/>
      <c r="FDA23" s="175"/>
      <c r="FDB23" s="175"/>
      <c r="FDC23" s="175"/>
      <c r="FDD23" s="175"/>
      <c r="FDE23" s="175"/>
      <c r="FDF23" s="175"/>
      <c r="FDG23" s="175"/>
      <c r="FDH23" s="175"/>
      <c r="FDI23" s="175"/>
      <c r="FDJ23" s="175"/>
      <c r="FDK23" s="175"/>
      <c r="FDL23" s="175"/>
      <c r="FDM23" s="175"/>
      <c r="FDN23" s="175"/>
      <c r="FDO23" s="175"/>
      <c r="FDP23" s="175"/>
      <c r="FDQ23" s="175"/>
      <c r="FDR23" s="175"/>
      <c r="FDS23" s="175"/>
      <c r="FDT23" s="175"/>
      <c r="FDU23" s="175"/>
      <c r="FDV23" s="175"/>
      <c r="FDW23" s="175"/>
      <c r="FDX23" s="175"/>
      <c r="FDY23" s="175"/>
      <c r="FDZ23" s="175"/>
      <c r="FEA23" s="175"/>
      <c r="FEB23" s="175"/>
      <c r="FEC23" s="175"/>
      <c r="FED23" s="175"/>
      <c r="FEE23" s="175"/>
      <c r="FEF23" s="175"/>
      <c r="FEG23" s="175"/>
      <c r="FEH23" s="175"/>
      <c r="FEI23" s="175"/>
      <c r="FEJ23" s="175"/>
      <c r="FEK23" s="175"/>
      <c r="FEL23" s="175"/>
      <c r="FEM23" s="175"/>
      <c r="FEN23" s="175"/>
      <c r="FEO23" s="175"/>
      <c r="FEP23" s="175"/>
      <c r="FEQ23" s="175"/>
      <c r="FER23" s="175"/>
      <c r="FES23" s="175"/>
      <c r="FET23" s="175"/>
      <c r="FEU23" s="175"/>
      <c r="FEV23" s="175"/>
      <c r="FEW23" s="175"/>
      <c r="FEX23" s="175"/>
      <c r="FEY23" s="175"/>
      <c r="FEZ23" s="175"/>
      <c r="FFA23" s="175"/>
      <c r="FFB23" s="175"/>
      <c r="FFC23" s="175"/>
      <c r="FFD23" s="175"/>
      <c r="FFE23" s="175"/>
      <c r="FFF23" s="175"/>
      <c r="FFG23" s="175"/>
      <c r="FFH23" s="175"/>
      <c r="FFI23" s="175"/>
      <c r="FFJ23" s="175"/>
      <c r="FFK23" s="175"/>
      <c r="FFL23" s="175"/>
      <c r="FFM23" s="175"/>
      <c r="FFN23" s="175"/>
      <c r="FFO23" s="175"/>
      <c r="FFP23" s="175"/>
      <c r="FFQ23" s="175"/>
      <c r="FFR23" s="175"/>
      <c r="FFS23" s="175"/>
      <c r="FFT23" s="175"/>
      <c r="FFU23" s="175"/>
      <c r="FFV23" s="175"/>
      <c r="FFW23" s="175"/>
      <c r="FFX23" s="175"/>
      <c r="FFY23" s="175"/>
      <c r="FFZ23" s="175"/>
      <c r="FGA23" s="175"/>
      <c r="FGB23" s="175"/>
      <c r="FGC23" s="175"/>
      <c r="FGD23" s="175"/>
      <c r="FGE23" s="175"/>
      <c r="FGF23" s="175"/>
      <c r="FGG23" s="175"/>
      <c r="FGH23" s="175"/>
      <c r="FGI23" s="175"/>
      <c r="FGJ23" s="175"/>
      <c r="FGK23" s="175"/>
      <c r="FGL23" s="175"/>
      <c r="FGM23" s="175"/>
      <c r="FGN23" s="175"/>
      <c r="FGO23" s="175"/>
      <c r="FGP23" s="175"/>
      <c r="FGQ23" s="175"/>
      <c r="FGR23" s="175"/>
      <c r="FGS23" s="175"/>
      <c r="FGT23" s="175"/>
      <c r="FGU23" s="175"/>
      <c r="FGV23" s="175"/>
      <c r="FGW23" s="175"/>
      <c r="FGX23" s="175"/>
      <c r="FGY23" s="175"/>
      <c r="FGZ23" s="175"/>
      <c r="FHA23" s="175"/>
      <c r="FHB23" s="175"/>
      <c r="FHC23" s="175"/>
      <c r="FHD23" s="175"/>
      <c r="FHE23" s="175"/>
      <c r="FHF23" s="175"/>
      <c r="FHG23" s="175"/>
      <c r="FHH23" s="175"/>
      <c r="FHI23" s="175"/>
      <c r="FHJ23" s="175"/>
      <c r="FHK23" s="175"/>
      <c r="FHL23" s="175"/>
      <c r="FHM23" s="175"/>
      <c r="FHN23" s="175"/>
      <c r="FHO23" s="175"/>
      <c r="FHP23" s="175"/>
      <c r="FHQ23" s="175"/>
      <c r="FHR23" s="175"/>
      <c r="FHS23" s="175"/>
      <c r="FHT23" s="175"/>
      <c r="FHU23" s="175"/>
      <c r="FHV23" s="175"/>
      <c r="FHW23" s="175"/>
      <c r="FHX23" s="175"/>
      <c r="FHY23" s="175"/>
      <c r="FHZ23" s="175"/>
      <c r="FIA23" s="175"/>
      <c r="FIB23" s="175"/>
      <c r="FIC23" s="175"/>
      <c r="FID23" s="175"/>
      <c r="FIE23" s="175"/>
      <c r="FIF23" s="175"/>
      <c r="FIG23" s="175"/>
      <c r="FIH23" s="175"/>
      <c r="FII23" s="175"/>
      <c r="FIJ23" s="175"/>
      <c r="FIK23" s="175"/>
      <c r="FIL23" s="175"/>
      <c r="FIM23" s="175"/>
      <c r="FIN23" s="175"/>
      <c r="FIO23" s="175"/>
      <c r="FIP23" s="175"/>
      <c r="FIQ23" s="175"/>
      <c r="FIR23" s="175"/>
      <c r="FIS23" s="175"/>
      <c r="FIT23" s="175"/>
      <c r="FIU23" s="175"/>
      <c r="FIV23" s="175"/>
      <c r="FIW23" s="175"/>
      <c r="FIX23" s="175"/>
      <c r="FIY23" s="175"/>
      <c r="FIZ23" s="175"/>
      <c r="FJA23" s="175"/>
      <c r="FJB23" s="175"/>
      <c r="FJC23" s="175"/>
      <c r="FJD23" s="175"/>
      <c r="FJE23" s="175"/>
      <c r="FJF23" s="175"/>
      <c r="FJG23" s="175"/>
      <c r="FJH23" s="175"/>
      <c r="FJI23" s="175"/>
      <c r="FJJ23" s="175"/>
      <c r="FJK23" s="175"/>
      <c r="FJL23" s="175"/>
      <c r="FJM23" s="175"/>
      <c r="FJN23" s="175"/>
      <c r="FJO23" s="175"/>
      <c r="FJP23" s="175"/>
      <c r="FJQ23" s="175"/>
      <c r="FJR23" s="175"/>
      <c r="FJS23" s="175"/>
      <c r="FJT23" s="175"/>
      <c r="FJU23" s="175"/>
      <c r="FJV23" s="175"/>
      <c r="FJW23" s="175"/>
      <c r="FJX23" s="175"/>
      <c r="FJY23" s="175"/>
      <c r="FJZ23" s="175"/>
      <c r="FKA23" s="175"/>
      <c r="FKB23" s="175"/>
      <c r="FKC23" s="175"/>
      <c r="FKD23" s="175"/>
      <c r="FKE23" s="175"/>
      <c r="FKF23" s="175"/>
      <c r="FKG23" s="175"/>
      <c r="FKH23" s="175"/>
      <c r="FKI23" s="175"/>
      <c r="FKJ23" s="175"/>
      <c r="FKK23" s="175"/>
      <c r="FKL23" s="175"/>
      <c r="FKM23" s="175"/>
      <c r="FKN23" s="175"/>
      <c r="FKO23" s="175"/>
      <c r="FKP23" s="175"/>
      <c r="FKQ23" s="175"/>
      <c r="FKR23" s="175"/>
      <c r="FKS23" s="175"/>
      <c r="FKT23" s="175"/>
      <c r="FKU23" s="175"/>
      <c r="FKV23" s="175"/>
      <c r="FKW23" s="175"/>
      <c r="FKX23" s="175"/>
      <c r="FKY23" s="175"/>
      <c r="FKZ23" s="175"/>
      <c r="FLA23" s="175"/>
      <c r="FLB23" s="175"/>
      <c r="FLC23" s="175"/>
      <c r="FLD23" s="175"/>
      <c r="FLE23" s="175"/>
      <c r="FLF23" s="175"/>
      <c r="FLG23" s="175"/>
      <c r="FLH23" s="175"/>
      <c r="FLI23" s="175"/>
      <c r="FLJ23" s="175"/>
      <c r="FLK23" s="175"/>
      <c r="FLL23" s="175"/>
      <c r="FLM23" s="175"/>
      <c r="FLN23" s="175"/>
      <c r="FLO23" s="175"/>
      <c r="FLP23" s="175"/>
      <c r="FLQ23" s="175"/>
      <c r="FLR23" s="175"/>
      <c r="FLS23" s="175"/>
      <c r="FLT23" s="175"/>
      <c r="FLU23" s="175"/>
      <c r="FLV23" s="175"/>
      <c r="FLW23" s="175"/>
      <c r="FLX23" s="175"/>
      <c r="FLY23" s="175"/>
      <c r="FLZ23" s="175"/>
      <c r="FMA23" s="175"/>
      <c r="FMB23" s="175"/>
      <c r="FMC23" s="175"/>
      <c r="FMD23" s="175"/>
      <c r="FME23" s="175"/>
      <c r="FMF23" s="175"/>
      <c r="FMG23" s="175"/>
      <c r="FMH23" s="175"/>
      <c r="FMI23" s="175"/>
      <c r="FMJ23" s="175"/>
      <c r="FMK23" s="175"/>
      <c r="FML23" s="175"/>
      <c r="FMM23" s="175"/>
      <c r="FMN23" s="175"/>
      <c r="FMO23" s="175"/>
      <c r="FMP23" s="175"/>
      <c r="FMQ23" s="175"/>
      <c r="FMR23" s="175"/>
      <c r="FMS23" s="175"/>
      <c r="FMT23" s="175"/>
      <c r="FMU23" s="175"/>
      <c r="FMV23" s="175"/>
      <c r="FMW23" s="175"/>
      <c r="FMX23" s="175"/>
      <c r="FMY23" s="175"/>
      <c r="FMZ23" s="175"/>
      <c r="FNA23" s="175"/>
      <c r="FNB23" s="175"/>
      <c r="FNC23" s="175"/>
      <c r="FND23" s="175"/>
      <c r="FNE23" s="175"/>
      <c r="FNF23" s="175"/>
      <c r="FNG23" s="175"/>
      <c r="FNH23" s="175"/>
      <c r="FNI23" s="175"/>
      <c r="FNJ23" s="175"/>
      <c r="FNK23" s="175"/>
      <c r="FNL23" s="175"/>
      <c r="FNM23" s="175"/>
      <c r="FNN23" s="175"/>
      <c r="FNO23" s="175"/>
      <c r="FNP23" s="175"/>
      <c r="FNQ23" s="175"/>
      <c r="FNR23" s="175"/>
      <c r="FNS23" s="175"/>
      <c r="FNT23" s="175"/>
      <c r="FNU23" s="175"/>
      <c r="FNV23" s="175"/>
      <c r="FNW23" s="175"/>
      <c r="FNX23" s="175"/>
      <c r="FNY23" s="175"/>
      <c r="FNZ23" s="175"/>
      <c r="FOA23" s="175"/>
      <c r="FOB23" s="175"/>
      <c r="FOC23" s="175"/>
      <c r="FOD23" s="175"/>
      <c r="FOE23" s="175"/>
      <c r="FOF23" s="175"/>
      <c r="FOG23" s="175"/>
      <c r="FOH23" s="175"/>
      <c r="FOI23" s="175"/>
      <c r="FOJ23" s="175"/>
      <c r="FOK23" s="175"/>
      <c r="FOL23" s="175"/>
      <c r="FOM23" s="175"/>
      <c r="FON23" s="175"/>
      <c r="FOO23" s="175"/>
      <c r="FOP23" s="175"/>
      <c r="FOQ23" s="175"/>
      <c r="FOR23" s="175"/>
      <c r="FOS23" s="175"/>
      <c r="FOT23" s="175"/>
      <c r="FOU23" s="175"/>
      <c r="FOV23" s="175"/>
      <c r="FOW23" s="175"/>
      <c r="FOX23" s="175"/>
      <c r="FOY23" s="175"/>
      <c r="FOZ23" s="175"/>
      <c r="FPA23" s="175"/>
      <c r="FPB23" s="175"/>
      <c r="FPC23" s="175"/>
      <c r="FPD23" s="175"/>
      <c r="FPE23" s="175"/>
      <c r="FPF23" s="175"/>
      <c r="FPG23" s="175"/>
      <c r="FPH23" s="175"/>
      <c r="FPI23" s="175"/>
      <c r="FPJ23" s="175"/>
      <c r="FPK23" s="175"/>
      <c r="FPL23" s="175"/>
      <c r="FPM23" s="175"/>
      <c r="FPN23" s="175"/>
      <c r="FPO23" s="175"/>
      <c r="FPP23" s="175"/>
      <c r="FPQ23" s="175"/>
      <c r="FPR23" s="175"/>
      <c r="FPS23" s="175"/>
      <c r="FPT23" s="175"/>
      <c r="FPU23" s="175"/>
      <c r="FPV23" s="175"/>
      <c r="FPW23" s="175"/>
      <c r="FPX23" s="175"/>
      <c r="FPY23" s="175"/>
      <c r="FPZ23" s="175"/>
      <c r="FQA23" s="175"/>
      <c r="FQB23" s="175"/>
      <c r="FQC23" s="175"/>
      <c r="FQD23" s="175"/>
      <c r="FQE23" s="175"/>
      <c r="FQF23" s="175"/>
      <c r="FQG23" s="175"/>
      <c r="FQH23" s="175"/>
      <c r="FQI23" s="175"/>
      <c r="FQJ23" s="175"/>
      <c r="FQK23" s="175"/>
      <c r="FQL23" s="175"/>
      <c r="FQM23" s="175"/>
      <c r="FQN23" s="175"/>
      <c r="FQO23" s="175"/>
      <c r="FQP23" s="175"/>
      <c r="FQQ23" s="175"/>
      <c r="FQR23" s="175"/>
      <c r="FQS23" s="175"/>
      <c r="FQT23" s="175"/>
      <c r="FQU23" s="175"/>
      <c r="FQV23" s="175"/>
      <c r="FQW23" s="175"/>
      <c r="FQX23" s="175"/>
      <c r="FQY23" s="175"/>
      <c r="FQZ23" s="175"/>
      <c r="FRA23" s="175"/>
      <c r="FRB23" s="175"/>
      <c r="FRC23" s="175"/>
      <c r="FRD23" s="175"/>
      <c r="FRE23" s="175"/>
      <c r="FRF23" s="175"/>
      <c r="FRG23" s="175"/>
      <c r="FRH23" s="175"/>
      <c r="FRI23" s="175"/>
      <c r="FRJ23" s="175"/>
      <c r="FRK23" s="175"/>
      <c r="FRL23" s="175"/>
      <c r="FRM23" s="175"/>
      <c r="FRN23" s="175"/>
      <c r="FRO23" s="175"/>
      <c r="FRP23" s="175"/>
      <c r="FRQ23" s="175"/>
      <c r="FRR23" s="175"/>
      <c r="FRS23" s="175"/>
      <c r="FRT23" s="175"/>
      <c r="FRU23" s="175"/>
      <c r="FRV23" s="175"/>
      <c r="FRW23" s="175"/>
      <c r="FRX23" s="175"/>
      <c r="FRY23" s="175"/>
      <c r="FRZ23" s="175"/>
      <c r="FSA23" s="175"/>
      <c r="FSB23" s="175"/>
      <c r="FSC23" s="175"/>
      <c r="FSD23" s="175"/>
      <c r="FSE23" s="175"/>
      <c r="FSF23" s="175"/>
      <c r="FSG23" s="175"/>
      <c r="FSH23" s="175"/>
      <c r="FSI23" s="175"/>
      <c r="FSJ23" s="175"/>
      <c r="FSK23" s="175"/>
      <c r="FSL23" s="175"/>
      <c r="FSM23" s="175"/>
      <c r="FSN23" s="175"/>
      <c r="FSO23" s="175"/>
      <c r="FSP23" s="175"/>
      <c r="FSQ23" s="175"/>
      <c r="FSR23" s="175"/>
      <c r="FSS23" s="175"/>
      <c r="FST23" s="175"/>
      <c r="FSU23" s="175"/>
      <c r="FSV23" s="175"/>
      <c r="FSW23" s="175"/>
      <c r="FSX23" s="175"/>
      <c r="FSY23" s="175"/>
      <c r="FSZ23" s="175"/>
      <c r="FTA23" s="175"/>
      <c r="FTB23" s="175"/>
      <c r="FTC23" s="175"/>
      <c r="FTD23" s="175"/>
      <c r="FTE23" s="175"/>
      <c r="FTF23" s="175"/>
      <c r="FTG23" s="175"/>
      <c r="FTH23" s="175"/>
      <c r="FTI23" s="175"/>
      <c r="FTJ23" s="175"/>
      <c r="FTK23" s="175"/>
      <c r="FTL23" s="175"/>
      <c r="FTM23" s="175"/>
      <c r="FTN23" s="175"/>
      <c r="FTO23" s="175"/>
      <c r="FTP23" s="175"/>
      <c r="FTQ23" s="175"/>
      <c r="FTR23" s="175"/>
      <c r="FTS23" s="175"/>
      <c r="FTT23" s="175"/>
      <c r="FTU23" s="175"/>
      <c r="FTV23" s="175"/>
      <c r="FTW23" s="175"/>
      <c r="FTX23" s="175"/>
      <c r="FTY23" s="175"/>
      <c r="FTZ23" s="175"/>
      <c r="FUA23" s="175"/>
      <c r="FUB23" s="175"/>
      <c r="FUC23" s="175"/>
      <c r="FUD23" s="175"/>
      <c r="FUE23" s="175"/>
      <c r="FUF23" s="175"/>
      <c r="FUG23" s="175"/>
      <c r="FUH23" s="175"/>
      <c r="FUI23" s="175"/>
      <c r="FUJ23" s="175"/>
      <c r="FUK23" s="175"/>
      <c r="FUL23" s="175"/>
      <c r="FUM23" s="175"/>
      <c r="FUN23" s="175"/>
      <c r="FUO23" s="175"/>
      <c r="FUP23" s="175"/>
      <c r="FUQ23" s="175"/>
      <c r="FUR23" s="175"/>
      <c r="FUS23" s="175"/>
      <c r="FUT23" s="175"/>
      <c r="FUU23" s="175"/>
      <c r="FUV23" s="175"/>
      <c r="FUW23" s="175"/>
      <c r="FUX23" s="175"/>
      <c r="FUY23" s="175"/>
      <c r="FUZ23" s="175"/>
      <c r="FVA23" s="175"/>
      <c r="FVB23" s="175"/>
      <c r="FVC23" s="175"/>
      <c r="FVD23" s="175"/>
      <c r="FVE23" s="175"/>
      <c r="FVF23" s="175"/>
      <c r="FVG23" s="175"/>
      <c r="FVH23" s="175"/>
      <c r="FVI23" s="175"/>
      <c r="FVJ23" s="175"/>
      <c r="FVK23" s="175"/>
      <c r="FVL23" s="175"/>
      <c r="FVM23" s="175"/>
      <c r="FVN23" s="175"/>
      <c r="FVO23" s="175"/>
      <c r="FVP23" s="175"/>
      <c r="FVQ23" s="175"/>
      <c r="FVR23" s="175"/>
      <c r="FVS23" s="175"/>
      <c r="FVT23" s="175"/>
      <c r="FVU23" s="175"/>
      <c r="FVV23" s="175"/>
      <c r="FVW23" s="175"/>
      <c r="FVX23" s="175"/>
      <c r="FVY23" s="175"/>
      <c r="FVZ23" s="175"/>
      <c r="FWA23" s="175"/>
      <c r="FWB23" s="175"/>
      <c r="FWC23" s="175"/>
      <c r="FWD23" s="175"/>
      <c r="FWE23" s="175"/>
      <c r="FWF23" s="175"/>
      <c r="FWG23" s="175"/>
      <c r="FWH23" s="175"/>
      <c r="FWI23" s="175"/>
      <c r="FWJ23" s="175"/>
      <c r="FWK23" s="175"/>
      <c r="FWL23" s="175"/>
      <c r="FWM23" s="175"/>
      <c r="FWN23" s="175"/>
      <c r="FWO23" s="175"/>
      <c r="FWP23" s="175"/>
      <c r="FWQ23" s="175"/>
      <c r="FWR23" s="175"/>
      <c r="FWS23" s="175"/>
      <c r="FWT23" s="175"/>
      <c r="FWU23" s="175"/>
      <c r="FWV23" s="175"/>
      <c r="FWW23" s="175"/>
      <c r="FWX23" s="175"/>
      <c r="FWY23" s="175"/>
      <c r="FWZ23" s="175"/>
      <c r="FXA23" s="175"/>
      <c r="FXB23" s="175"/>
      <c r="FXC23" s="175"/>
      <c r="FXD23" s="175"/>
      <c r="FXE23" s="175"/>
      <c r="FXF23" s="175"/>
      <c r="FXG23" s="175"/>
      <c r="FXH23" s="175"/>
      <c r="FXI23" s="175"/>
      <c r="FXJ23" s="175"/>
      <c r="FXK23" s="175"/>
      <c r="FXL23" s="175"/>
      <c r="FXM23" s="175"/>
      <c r="FXN23" s="175"/>
      <c r="FXO23" s="175"/>
      <c r="FXP23" s="175"/>
      <c r="FXQ23" s="175"/>
      <c r="FXR23" s="175"/>
      <c r="FXS23" s="175"/>
      <c r="FXT23" s="175"/>
      <c r="FXU23" s="175"/>
      <c r="FXV23" s="175"/>
      <c r="FXW23" s="175"/>
      <c r="FXX23" s="175"/>
      <c r="FXY23" s="175"/>
      <c r="FXZ23" s="175"/>
      <c r="FYA23" s="175"/>
      <c r="FYB23" s="175"/>
      <c r="FYC23" s="175"/>
      <c r="FYD23" s="175"/>
      <c r="FYE23" s="175"/>
      <c r="FYF23" s="175"/>
      <c r="FYG23" s="175"/>
      <c r="FYH23" s="175"/>
      <c r="FYI23" s="175"/>
      <c r="FYJ23" s="175"/>
      <c r="FYK23" s="175"/>
      <c r="FYL23" s="175"/>
      <c r="FYM23" s="175"/>
      <c r="FYN23" s="175"/>
      <c r="FYO23" s="175"/>
      <c r="FYP23" s="175"/>
      <c r="FYQ23" s="175"/>
      <c r="FYR23" s="175"/>
      <c r="FYS23" s="175"/>
      <c r="FYT23" s="175"/>
      <c r="FYU23" s="175"/>
      <c r="FYV23" s="175"/>
      <c r="FYW23" s="175"/>
      <c r="FYX23" s="175"/>
      <c r="FYY23" s="175"/>
      <c r="FYZ23" s="175"/>
      <c r="FZA23" s="175"/>
      <c r="FZB23" s="175"/>
      <c r="FZC23" s="175"/>
      <c r="FZD23" s="175"/>
      <c r="FZE23" s="175"/>
      <c r="FZF23" s="175"/>
      <c r="FZG23" s="175"/>
      <c r="FZH23" s="175"/>
      <c r="FZI23" s="175"/>
      <c r="FZJ23" s="175"/>
      <c r="FZK23" s="175"/>
      <c r="FZL23" s="175"/>
      <c r="FZM23" s="175"/>
      <c r="FZN23" s="175"/>
      <c r="FZO23" s="175"/>
      <c r="FZP23" s="175"/>
      <c r="FZQ23" s="175"/>
      <c r="FZR23" s="175"/>
      <c r="FZS23" s="175"/>
      <c r="FZT23" s="175"/>
      <c r="FZU23" s="175"/>
      <c r="FZV23" s="175"/>
      <c r="FZW23" s="175"/>
      <c r="FZX23" s="175"/>
      <c r="FZY23" s="175"/>
      <c r="FZZ23" s="175"/>
      <c r="GAA23" s="175"/>
      <c r="GAB23" s="175"/>
      <c r="GAC23" s="175"/>
      <c r="GAD23" s="175"/>
      <c r="GAE23" s="175"/>
      <c r="GAF23" s="175"/>
      <c r="GAG23" s="175"/>
      <c r="GAH23" s="175"/>
      <c r="GAI23" s="175"/>
      <c r="GAJ23" s="175"/>
      <c r="GAK23" s="175"/>
      <c r="GAL23" s="175"/>
      <c r="GAM23" s="175"/>
      <c r="GAN23" s="175"/>
      <c r="GAO23" s="175"/>
      <c r="GAP23" s="175"/>
      <c r="GAQ23" s="175"/>
      <c r="GAR23" s="175"/>
      <c r="GAS23" s="175"/>
      <c r="GAT23" s="175"/>
      <c r="GAU23" s="175"/>
      <c r="GAV23" s="175"/>
      <c r="GAW23" s="175"/>
      <c r="GAX23" s="175"/>
      <c r="GAY23" s="175"/>
      <c r="GAZ23" s="175"/>
      <c r="GBA23" s="175"/>
      <c r="GBB23" s="175"/>
      <c r="GBC23" s="175"/>
      <c r="GBD23" s="175"/>
      <c r="GBE23" s="175"/>
      <c r="GBF23" s="175"/>
      <c r="GBG23" s="175"/>
      <c r="GBH23" s="175"/>
      <c r="GBI23" s="175"/>
      <c r="GBJ23" s="175"/>
      <c r="GBK23" s="175"/>
      <c r="GBL23" s="175"/>
      <c r="GBM23" s="175"/>
      <c r="GBN23" s="175"/>
      <c r="GBO23" s="175"/>
      <c r="GBP23" s="175"/>
      <c r="GBQ23" s="175"/>
      <c r="GBR23" s="175"/>
      <c r="GBS23" s="175"/>
      <c r="GBT23" s="175"/>
      <c r="GBU23" s="175"/>
      <c r="GBV23" s="175"/>
      <c r="GBW23" s="175"/>
      <c r="GBX23" s="175"/>
      <c r="GBY23" s="175"/>
      <c r="GBZ23" s="175"/>
      <c r="GCA23" s="175"/>
      <c r="GCB23" s="175"/>
      <c r="GCC23" s="175"/>
      <c r="GCD23" s="175"/>
      <c r="GCE23" s="175"/>
      <c r="GCF23" s="175"/>
      <c r="GCG23" s="175"/>
      <c r="GCH23" s="175"/>
      <c r="GCI23" s="175"/>
      <c r="GCJ23" s="175"/>
      <c r="GCK23" s="175"/>
      <c r="GCL23" s="175"/>
      <c r="GCM23" s="175"/>
      <c r="GCN23" s="175"/>
      <c r="GCO23" s="175"/>
      <c r="GCP23" s="175"/>
      <c r="GCQ23" s="175"/>
      <c r="GCR23" s="175"/>
      <c r="GCS23" s="175"/>
      <c r="GCT23" s="175"/>
      <c r="GCU23" s="175"/>
      <c r="GCV23" s="175"/>
      <c r="GCW23" s="175"/>
      <c r="GCX23" s="175"/>
      <c r="GCY23" s="175"/>
      <c r="GCZ23" s="175"/>
      <c r="GDA23" s="175"/>
      <c r="GDB23" s="175"/>
      <c r="GDC23" s="175"/>
      <c r="GDD23" s="175"/>
      <c r="GDE23" s="175"/>
      <c r="GDF23" s="175"/>
      <c r="GDG23" s="175"/>
      <c r="GDH23" s="175"/>
      <c r="GDI23" s="175"/>
      <c r="GDJ23" s="175"/>
      <c r="GDK23" s="175"/>
      <c r="GDL23" s="175"/>
      <c r="GDM23" s="175"/>
      <c r="GDN23" s="175"/>
      <c r="GDO23" s="175"/>
      <c r="GDP23" s="175"/>
      <c r="GDQ23" s="175"/>
      <c r="GDR23" s="175"/>
      <c r="GDS23" s="175"/>
      <c r="GDT23" s="175"/>
      <c r="GDU23" s="175"/>
      <c r="GDV23" s="175"/>
      <c r="GDW23" s="175"/>
      <c r="GDX23" s="175"/>
      <c r="GDY23" s="175"/>
      <c r="GDZ23" s="175"/>
      <c r="GEA23" s="175"/>
      <c r="GEB23" s="175"/>
      <c r="GEC23" s="175"/>
      <c r="GED23" s="175"/>
      <c r="GEE23" s="175"/>
      <c r="GEF23" s="175"/>
      <c r="GEG23" s="175"/>
      <c r="GEH23" s="175"/>
      <c r="GEI23" s="175"/>
      <c r="GEJ23" s="175"/>
      <c r="GEK23" s="175"/>
      <c r="GEL23" s="175"/>
      <c r="GEM23" s="175"/>
      <c r="GEN23" s="175"/>
      <c r="GEO23" s="175"/>
      <c r="GEP23" s="175"/>
      <c r="GEQ23" s="175"/>
      <c r="GER23" s="175"/>
      <c r="GES23" s="175"/>
      <c r="GET23" s="175"/>
      <c r="GEU23" s="175"/>
      <c r="GEV23" s="175"/>
      <c r="GEW23" s="175"/>
      <c r="GEX23" s="175"/>
      <c r="GEY23" s="175"/>
      <c r="GEZ23" s="175"/>
      <c r="GFA23" s="175"/>
      <c r="GFB23" s="175"/>
      <c r="GFC23" s="175"/>
      <c r="GFD23" s="175"/>
      <c r="GFE23" s="175"/>
      <c r="GFF23" s="175"/>
      <c r="GFG23" s="175"/>
      <c r="GFH23" s="175"/>
      <c r="GFI23" s="175"/>
      <c r="GFJ23" s="175"/>
      <c r="GFK23" s="175"/>
      <c r="GFL23" s="175"/>
      <c r="GFM23" s="175"/>
      <c r="GFN23" s="175"/>
      <c r="GFO23" s="175"/>
      <c r="GFP23" s="175"/>
      <c r="GFQ23" s="175"/>
      <c r="GFR23" s="175"/>
      <c r="GFS23" s="175"/>
      <c r="GFT23" s="175"/>
      <c r="GFU23" s="175"/>
      <c r="GFV23" s="175"/>
      <c r="GFW23" s="175"/>
      <c r="GFX23" s="175"/>
      <c r="GFY23" s="175"/>
      <c r="GFZ23" s="175"/>
      <c r="GGA23" s="175"/>
      <c r="GGB23" s="175"/>
      <c r="GGC23" s="175"/>
      <c r="GGD23" s="175"/>
      <c r="GGE23" s="175"/>
      <c r="GGF23" s="175"/>
      <c r="GGG23" s="175"/>
      <c r="GGH23" s="175"/>
      <c r="GGI23" s="175"/>
      <c r="GGJ23" s="175"/>
      <c r="GGK23" s="175"/>
      <c r="GGL23" s="175"/>
      <c r="GGM23" s="175"/>
      <c r="GGN23" s="175"/>
      <c r="GGO23" s="175"/>
      <c r="GGP23" s="175"/>
      <c r="GGQ23" s="175"/>
      <c r="GGR23" s="175"/>
      <c r="GGS23" s="175"/>
      <c r="GGT23" s="175"/>
      <c r="GGU23" s="175"/>
      <c r="GGV23" s="175"/>
      <c r="GGW23" s="175"/>
      <c r="GGX23" s="175"/>
      <c r="GGY23" s="175"/>
      <c r="GGZ23" s="175"/>
      <c r="GHA23" s="175"/>
      <c r="GHB23" s="175"/>
      <c r="GHC23" s="175"/>
      <c r="GHD23" s="175"/>
      <c r="GHE23" s="175"/>
      <c r="GHF23" s="175"/>
      <c r="GHG23" s="175"/>
      <c r="GHH23" s="175"/>
      <c r="GHI23" s="175"/>
      <c r="GHJ23" s="175"/>
      <c r="GHK23" s="175"/>
      <c r="GHL23" s="175"/>
      <c r="GHM23" s="175"/>
      <c r="GHN23" s="175"/>
      <c r="GHO23" s="175"/>
      <c r="GHP23" s="175"/>
      <c r="GHQ23" s="175"/>
      <c r="GHR23" s="175"/>
      <c r="GHS23" s="175"/>
      <c r="GHT23" s="175"/>
      <c r="GHU23" s="175"/>
      <c r="GHV23" s="175"/>
      <c r="GHW23" s="175"/>
      <c r="GHX23" s="175"/>
      <c r="GHY23" s="175"/>
      <c r="GHZ23" s="175"/>
      <c r="GIA23" s="175"/>
      <c r="GIB23" s="175"/>
      <c r="GIC23" s="175"/>
      <c r="GID23" s="175"/>
      <c r="GIE23" s="175"/>
      <c r="GIF23" s="175"/>
      <c r="GIG23" s="175"/>
      <c r="GIH23" s="175"/>
      <c r="GII23" s="175"/>
      <c r="GIJ23" s="175"/>
      <c r="GIK23" s="175"/>
      <c r="GIL23" s="175"/>
      <c r="GIM23" s="175"/>
      <c r="GIN23" s="175"/>
      <c r="GIO23" s="175"/>
      <c r="GIP23" s="175"/>
      <c r="GIQ23" s="175"/>
      <c r="GIR23" s="175"/>
      <c r="GIS23" s="175"/>
      <c r="GIT23" s="175"/>
      <c r="GIU23" s="175"/>
      <c r="GIV23" s="175"/>
      <c r="GIW23" s="175"/>
      <c r="GIX23" s="175"/>
      <c r="GIY23" s="175"/>
      <c r="GIZ23" s="175"/>
      <c r="GJA23" s="175"/>
      <c r="GJB23" s="175"/>
      <c r="GJC23" s="175"/>
      <c r="GJD23" s="175"/>
      <c r="GJE23" s="175"/>
      <c r="GJF23" s="175"/>
      <c r="GJG23" s="175"/>
      <c r="GJH23" s="175"/>
      <c r="GJI23" s="175"/>
      <c r="GJJ23" s="175"/>
      <c r="GJK23" s="175"/>
      <c r="GJL23" s="175"/>
      <c r="GJM23" s="175"/>
      <c r="GJN23" s="175"/>
      <c r="GJO23" s="175"/>
      <c r="GJP23" s="175"/>
      <c r="GJQ23" s="175"/>
      <c r="GJR23" s="175"/>
      <c r="GJS23" s="175"/>
      <c r="GJT23" s="175"/>
      <c r="GJU23" s="175"/>
      <c r="GJV23" s="175"/>
      <c r="GJW23" s="175"/>
      <c r="GJX23" s="175"/>
      <c r="GJY23" s="175"/>
      <c r="GJZ23" s="175"/>
      <c r="GKA23" s="175"/>
      <c r="GKB23" s="175"/>
      <c r="GKC23" s="175"/>
      <c r="GKD23" s="175"/>
      <c r="GKE23" s="175"/>
      <c r="GKF23" s="175"/>
      <c r="GKG23" s="175"/>
      <c r="GKH23" s="175"/>
      <c r="GKI23" s="175"/>
      <c r="GKJ23" s="175"/>
      <c r="GKK23" s="175"/>
      <c r="GKL23" s="175"/>
      <c r="GKM23" s="175"/>
      <c r="GKN23" s="175"/>
      <c r="GKO23" s="175"/>
      <c r="GKP23" s="175"/>
      <c r="GKQ23" s="175"/>
      <c r="GKR23" s="175"/>
      <c r="GKS23" s="175"/>
      <c r="GKT23" s="175"/>
      <c r="GKU23" s="175"/>
      <c r="GKV23" s="175"/>
      <c r="GKW23" s="175"/>
      <c r="GKX23" s="175"/>
      <c r="GKY23" s="175"/>
      <c r="GKZ23" s="175"/>
      <c r="GLA23" s="175"/>
      <c r="GLB23" s="175"/>
      <c r="GLC23" s="175"/>
      <c r="GLD23" s="175"/>
      <c r="GLE23" s="175"/>
      <c r="GLF23" s="175"/>
      <c r="GLG23" s="175"/>
      <c r="GLH23" s="175"/>
      <c r="GLI23" s="175"/>
      <c r="GLJ23" s="175"/>
      <c r="GLK23" s="175"/>
      <c r="GLL23" s="175"/>
      <c r="GLM23" s="175"/>
      <c r="GLN23" s="175"/>
      <c r="GLO23" s="175"/>
      <c r="GLP23" s="175"/>
      <c r="GLQ23" s="175"/>
      <c r="GLR23" s="175"/>
      <c r="GLS23" s="175"/>
      <c r="GLT23" s="175"/>
      <c r="GLU23" s="175"/>
      <c r="GLV23" s="175"/>
      <c r="GLW23" s="175"/>
      <c r="GLX23" s="175"/>
      <c r="GLY23" s="175"/>
      <c r="GLZ23" s="175"/>
      <c r="GMA23" s="175"/>
      <c r="GMB23" s="175"/>
      <c r="GMC23" s="175"/>
      <c r="GMD23" s="175"/>
      <c r="GME23" s="175"/>
      <c r="GMF23" s="175"/>
      <c r="GMG23" s="175"/>
      <c r="GMH23" s="175"/>
      <c r="GMI23" s="175"/>
      <c r="GMJ23" s="175"/>
      <c r="GMK23" s="175"/>
      <c r="GML23" s="175"/>
      <c r="GMM23" s="175"/>
      <c r="GMN23" s="175"/>
      <c r="GMO23" s="175"/>
      <c r="GMP23" s="175"/>
      <c r="GMQ23" s="175"/>
      <c r="GMR23" s="175"/>
      <c r="GMS23" s="175"/>
      <c r="GMT23" s="175"/>
      <c r="GMU23" s="175"/>
      <c r="GMV23" s="175"/>
      <c r="GMW23" s="175"/>
      <c r="GMX23" s="175"/>
      <c r="GMY23" s="175"/>
      <c r="GMZ23" s="175"/>
      <c r="GNA23" s="175"/>
      <c r="GNB23" s="175"/>
      <c r="GNC23" s="175"/>
      <c r="GND23" s="175"/>
      <c r="GNE23" s="175"/>
      <c r="GNF23" s="175"/>
      <c r="GNG23" s="175"/>
      <c r="GNH23" s="175"/>
      <c r="GNI23" s="175"/>
      <c r="GNJ23" s="175"/>
      <c r="GNK23" s="175"/>
      <c r="GNL23" s="175"/>
      <c r="GNM23" s="175"/>
      <c r="GNN23" s="175"/>
      <c r="GNO23" s="175"/>
      <c r="GNP23" s="175"/>
      <c r="GNQ23" s="175"/>
      <c r="GNR23" s="175"/>
      <c r="GNS23" s="175"/>
      <c r="GNT23" s="175"/>
      <c r="GNU23" s="175"/>
      <c r="GNV23" s="175"/>
      <c r="GNW23" s="175"/>
      <c r="GNX23" s="175"/>
      <c r="GNY23" s="175"/>
      <c r="GNZ23" s="175"/>
      <c r="GOA23" s="175"/>
      <c r="GOB23" s="175"/>
      <c r="GOC23" s="175"/>
      <c r="GOD23" s="175"/>
      <c r="GOE23" s="175"/>
      <c r="GOF23" s="175"/>
      <c r="GOG23" s="175"/>
      <c r="GOH23" s="175"/>
      <c r="GOI23" s="175"/>
      <c r="GOJ23" s="175"/>
      <c r="GOK23" s="175"/>
      <c r="GOL23" s="175"/>
      <c r="GOM23" s="175"/>
      <c r="GON23" s="175"/>
      <c r="GOO23" s="175"/>
      <c r="GOP23" s="175"/>
      <c r="GOQ23" s="175"/>
      <c r="GOR23" s="175"/>
      <c r="GOS23" s="175"/>
      <c r="GOT23" s="175"/>
      <c r="GOU23" s="175"/>
      <c r="GOV23" s="175"/>
      <c r="GOW23" s="175"/>
      <c r="GOX23" s="175"/>
      <c r="GOY23" s="175"/>
      <c r="GOZ23" s="175"/>
      <c r="GPA23" s="175"/>
      <c r="GPB23" s="175"/>
      <c r="GPC23" s="175"/>
      <c r="GPD23" s="175"/>
      <c r="GPE23" s="175"/>
      <c r="GPF23" s="175"/>
      <c r="GPG23" s="175"/>
      <c r="GPH23" s="175"/>
      <c r="GPI23" s="175"/>
      <c r="GPJ23" s="175"/>
      <c r="GPK23" s="175"/>
      <c r="GPL23" s="175"/>
      <c r="GPM23" s="175"/>
      <c r="GPN23" s="175"/>
      <c r="GPO23" s="175"/>
      <c r="GPP23" s="175"/>
      <c r="GPQ23" s="175"/>
      <c r="GPR23" s="175"/>
      <c r="GPS23" s="175"/>
      <c r="GPT23" s="175"/>
      <c r="GPU23" s="175"/>
      <c r="GPV23" s="175"/>
      <c r="GPW23" s="175"/>
      <c r="GPX23" s="175"/>
      <c r="GPY23" s="175"/>
      <c r="GPZ23" s="175"/>
      <c r="GQA23" s="175"/>
      <c r="GQB23" s="175"/>
      <c r="GQC23" s="175"/>
      <c r="GQD23" s="175"/>
      <c r="GQE23" s="175"/>
      <c r="GQF23" s="175"/>
      <c r="GQG23" s="175"/>
      <c r="GQH23" s="175"/>
      <c r="GQI23" s="175"/>
      <c r="GQJ23" s="175"/>
      <c r="GQK23" s="175"/>
      <c r="GQL23" s="175"/>
      <c r="GQM23" s="175"/>
      <c r="GQN23" s="175"/>
      <c r="GQO23" s="175"/>
      <c r="GQP23" s="175"/>
      <c r="GQQ23" s="175"/>
      <c r="GQR23" s="175"/>
      <c r="GQS23" s="175"/>
      <c r="GQT23" s="175"/>
      <c r="GQU23" s="175"/>
      <c r="GQV23" s="175"/>
      <c r="GQW23" s="175"/>
      <c r="GQX23" s="175"/>
      <c r="GQY23" s="175"/>
      <c r="GQZ23" s="175"/>
      <c r="GRA23" s="175"/>
      <c r="GRB23" s="175"/>
      <c r="GRC23" s="175"/>
      <c r="GRD23" s="175"/>
      <c r="GRE23" s="175"/>
      <c r="GRF23" s="175"/>
      <c r="GRG23" s="175"/>
      <c r="GRH23" s="175"/>
      <c r="GRI23" s="175"/>
      <c r="GRJ23" s="175"/>
      <c r="GRK23" s="175"/>
      <c r="GRL23" s="175"/>
      <c r="GRM23" s="175"/>
      <c r="GRN23" s="175"/>
      <c r="GRO23" s="175"/>
      <c r="GRP23" s="175"/>
      <c r="GRQ23" s="175"/>
      <c r="GRR23" s="175"/>
      <c r="GRS23" s="175"/>
      <c r="GRT23" s="175"/>
      <c r="GRU23" s="175"/>
      <c r="GRV23" s="175"/>
      <c r="GRW23" s="175"/>
      <c r="GRX23" s="175"/>
      <c r="GRY23" s="175"/>
      <c r="GRZ23" s="175"/>
      <c r="GSA23" s="175"/>
      <c r="GSB23" s="175"/>
      <c r="GSC23" s="175"/>
      <c r="GSD23" s="175"/>
      <c r="GSE23" s="175"/>
      <c r="GSF23" s="175"/>
      <c r="GSG23" s="175"/>
      <c r="GSH23" s="175"/>
      <c r="GSI23" s="175"/>
      <c r="GSJ23" s="175"/>
      <c r="GSK23" s="175"/>
      <c r="GSL23" s="175"/>
      <c r="GSM23" s="175"/>
      <c r="GSN23" s="175"/>
      <c r="GSO23" s="175"/>
      <c r="GSP23" s="175"/>
      <c r="GSQ23" s="175"/>
      <c r="GSR23" s="175"/>
      <c r="GSS23" s="175"/>
      <c r="GST23" s="175"/>
      <c r="GSU23" s="175"/>
      <c r="GSV23" s="175"/>
      <c r="GSW23" s="175"/>
      <c r="GSX23" s="175"/>
      <c r="GSY23" s="175"/>
      <c r="GSZ23" s="175"/>
      <c r="GTA23" s="175"/>
      <c r="GTB23" s="175"/>
      <c r="GTC23" s="175"/>
      <c r="GTD23" s="175"/>
      <c r="GTE23" s="175"/>
      <c r="GTF23" s="175"/>
      <c r="GTG23" s="175"/>
      <c r="GTH23" s="175"/>
      <c r="GTI23" s="175"/>
      <c r="GTJ23" s="175"/>
      <c r="GTK23" s="175"/>
      <c r="GTL23" s="175"/>
      <c r="GTM23" s="175"/>
      <c r="GTN23" s="175"/>
      <c r="GTO23" s="175"/>
      <c r="GTP23" s="175"/>
      <c r="GTQ23" s="175"/>
      <c r="GTR23" s="175"/>
      <c r="GTS23" s="175"/>
      <c r="GTT23" s="175"/>
      <c r="GTU23" s="175"/>
      <c r="GTV23" s="175"/>
      <c r="GTW23" s="175"/>
      <c r="GTX23" s="175"/>
      <c r="GTY23" s="175"/>
      <c r="GTZ23" s="175"/>
      <c r="GUA23" s="175"/>
      <c r="GUB23" s="175"/>
      <c r="GUC23" s="175"/>
      <c r="GUD23" s="175"/>
      <c r="GUE23" s="175"/>
      <c r="GUF23" s="175"/>
      <c r="GUG23" s="175"/>
      <c r="GUH23" s="175"/>
      <c r="GUI23" s="175"/>
      <c r="GUJ23" s="175"/>
      <c r="GUK23" s="175"/>
      <c r="GUL23" s="175"/>
      <c r="GUM23" s="175"/>
      <c r="GUN23" s="175"/>
      <c r="GUO23" s="175"/>
      <c r="GUP23" s="175"/>
      <c r="GUQ23" s="175"/>
      <c r="GUR23" s="175"/>
      <c r="GUS23" s="175"/>
      <c r="GUT23" s="175"/>
      <c r="GUU23" s="175"/>
      <c r="GUV23" s="175"/>
      <c r="GUW23" s="175"/>
      <c r="GUX23" s="175"/>
      <c r="GUY23" s="175"/>
      <c r="GUZ23" s="175"/>
      <c r="GVA23" s="175"/>
      <c r="GVB23" s="175"/>
      <c r="GVC23" s="175"/>
      <c r="GVD23" s="175"/>
      <c r="GVE23" s="175"/>
      <c r="GVF23" s="175"/>
      <c r="GVG23" s="175"/>
      <c r="GVH23" s="175"/>
      <c r="GVI23" s="175"/>
      <c r="GVJ23" s="175"/>
      <c r="GVK23" s="175"/>
      <c r="GVL23" s="175"/>
      <c r="GVM23" s="175"/>
      <c r="GVN23" s="175"/>
      <c r="GVO23" s="175"/>
      <c r="GVP23" s="175"/>
      <c r="GVQ23" s="175"/>
      <c r="GVR23" s="175"/>
      <c r="GVS23" s="175"/>
      <c r="GVT23" s="175"/>
      <c r="GVU23" s="175"/>
      <c r="GVV23" s="175"/>
      <c r="GVW23" s="175"/>
      <c r="GVX23" s="175"/>
      <c r="GVY23" s="175"/>
      <c r="GVZ23" s="175"/>
      <c r="GWA23" s="175"/>
      <c r="GWB23" s="175"/>
      <c r="GWC23" s="175"/>
      <c r="GWD23" s="175"/>
      <c r="GWE23" s="175"/>
      <c r="GWF23" s="175"/>
      <c r="GWG23" s="175"/>
      <c r="GWH23" s="175"/>
      <c r="GWI23" s="175"/>
      <c r="GWJ23" s="175"/>
      <c r="GWK23" s="175"/>
      <c r="GWL23" s="175"/>
      <c r="GWM23" s="175"/>
      <c r="GWN23" s="175"/>
      <c r="GWO23" s="175"/>
      <c r="GWP23" s="175"/>
      <c r="GWQ23" s="175"/>
      <c r="GWR23" s="175"/>
      <c r="GWS23" s="175"/>
      <c r="GWT23" s="175"/>
      <c r="GWU23" s="175"/>
      <c r="GWV23" s="175"/>
      <c r="GWW23" s="175"/>
      <c r="GWX23" s="175"/>
      <c r="GWY23" s="175"/>
      <c r="GWZ23" s="175"/>
      <c r="GXA23" s="175"/>
      <c r="GXB23" s="175"/>
      <c r="GXC23" s="175"/>
      <c r="GXD23" s="175"/>
      <c r="GXE23" s="175"/>
      <c r="GXF23" s="175"/>
      <c r="GXG23" s="175"/>
      <c r="GXH23" s="175"/>
      <c r="GXI23" s="175"/>
      <c r="GXJ23" s="175"/>
      <c r="GXK23" s="175"/>
      <c r="GXL23" s="175"/>
      <c r="GXM23" s="175"/>
      <c r="GXN23" s="175"/>
      <c r="GXO23" s="175"/>
      <c r="GXP23" s="175"/>
      <c r="GXQ23" s="175"/>
      <c r="GXR23" s="175"/>
      <c r="GXS23" s="175"/>
      <c r="GXT23" s="175"/>
      <c r="GXU23" s="175"/>
      <c r="GXV23" s="175"/>
      <c r="GXW23" s="175"/>
      <c r="GXX23" s="175"/>
      <c r="GXY23" s="175"/>
      <c r="GXZ23" s="175"/>
      <c r="GYA23" s="175"/>
      <c r="GYB23" s="175"/>
      <c r="GYC23" s="175"/>
      <c r="GYD23" s="175"/>
      <c r="GYE23" s="175"/>
      <c r="GYF23" s="175"/>
      <c r="GYG23" s="175"/>
      <c r="GYH23" s="175"/>
      <c r="GYI23" s="175"/>
      <c r="GYJ23" s="175"/>
      <c r="GYK23" s="175"/>
      <c r="GYL23" s="175"/>
      <c r="GYM23" s="175"/>
      <c r="GYN23" s="175"/>
      <c r="GYO23" s="175"/>
      <c r="GYP23" s="175"/>
      <c r="GYQ23" s="175"/>
      <c r="GYR23" s="175"/>
      <c r="GYS23" s="175"/>
      <c r="GYT23" s="175"/>
      <c r="GYU23" s="175"/>
      <c r="GYV23" s="175"/>
      <c r="GYW23" s="175"/>
      <c r="GYX23" s="175"/>
      <c r="GYY23" s="175"/>
      <c r="GYZ23" s="175"/>
      <c r="GZA23" s="175"/>
      <c r="GZB23" s="175"/>
      <c r="GZC23" s="175"/>
      <c r="GZD23" s="175"/>
      <c r="GZE23" s="175"/>
      <c r="GZF23" s="175"/>
      <c r="GZG23" s="175"/>
      <c r="GZH23" s="175"/>
      <c r="GZI23" s="175"/>
      <c r="GZJ23" s="175"/>
      <c r="GZK23" s="175"/>
      <c r="GZL23" s="175"/>
      <c r="GZM23" s="175"/>
      <c r="GZN23" s="175"/>
      <c r="GZO23" s="175"/>
      <c r="GZP23" s="175"/>
      <c r="GZQ23" s="175"/>
      <c r="GZR23" s="175"/>
      <c r="GZS23" s="175"/>
      <c r="GZT23" s="175"/>
      <c r="GZU23" s="175"/>
      <c r="GZV23" s="175"/>
      <c r="GZW23" s="175"/>
      <c r="GZX23" s="175"/>
      <c r="GZY23" s="175"/>
      <c r="GZZ23" s="175"/>
      <c r="HAA23" s="175"/>
      <c r="HAB23" s="175"/>
      <c r="HAC23" s="175"/>
      <c r="HAD23" s="175"/>
      <c r="HAE23" s="175"/>
      <c r="HAF23" s="175"/>
      <c r="HAG23" s="175"/>
      <c r="HAH23" s="175"/>
      <c r="HAI23" s="175"/>
      <c r="HAJ23" s="175"/>
      <c r="HAK23" s="175"/>
      <c r="HAL23" s="175"/>
      <c r="HAM23" s="175"/>
      <c r="HAN23" s="175"/>
      <c r="HAO23" s="175"/>
      <c r="HAP23" s="175"/>
      <c r="HAQ23" s="175"/>
      <c r="HAR23" s="175"/>
      <c r="HAS23" s="175"/>
      <c r="HAT23" s="175"/>
      <c r="HAU23" s="175"/>
      <c r="HAV23" s="175"/>
      <c r="HAW23" s="175"/>
      <c r="HAX23" s="175"/>
      <c r="HAY23" s="175"/>
      <c r="HAZ23" s="175"/>
      <c r="HBA23" s="175"/>
      <c r="HBB23" s="175"/>
      <c r="HBC23" s="175"/>
      <c r="HBD23" s="175"/>
      <c r="HBE23" s="175"/>
      <c r="HBF23" s="175"/>
      <c r="HBG23" s="175"/>
      <c r="HBH23" s="175"/>
      <c r="HBI23" s="175"/>
      <c r="HBJ23" s="175"/>
      <c r="HBK23" s="175"/>
      <c r="HBL23" s="175"/>
      <c r="HBM23" s="175"/>
      <c r="HBN23" s="175"/>
      <c r="HBO23" s="175"/>
      <c r="HBP23" s="175"/>
      <c r="HBQ23" s="175"/>
      <c r="HBR23" s="175"/>
      <c r="HBS23" s="175"/>
      <c r="HBT23" s="175"/>
      <c r="HBU23" s="175"/>
      <c r="HBV23" s="175"/>
      <c r="HBW23" s="175"/>
      <c r="HBX23" s="175"/>
      <c r="HBY23" s="175"/>
      <c r="HBZ23" s="175"/>
      <c r="HCA23" s="175"/>
      <c r="HCB23" s="175"/>
      <c r="HCC23" s="175"/>
      <c r="HCD23" s="175"/>
      <c r="HCE23" s="175"/>
      <c r="HCF23" s="175"/>
      <c r="HCG23" s="175"/>
      <c r="HCH23" s="175"/>
      <c r="HCI23" s="175"/>
      <c r="HCJ23" s="175"/>
      <c r="HCK23" s="175"/>
      <c r="HCL23" s="175"/>
      <c r="HCM23" s="175"/>
      <c r="HCN23" s="175"/>
      <c r="HCO23" s="175"/>
      <c r="HCP23" s="175"/>
      <c r="HCQ23" s="175"/>
      <c r="HCR23" s="175"/>
      <c r="HCS23" s="175"/>
      <c r="HCT23" s="175"/>
      <c r="HCU23" s="175"/>
      <c r="HCV23" s="175"/>
      <c r="HCW23" s="175"/>
      <c r="HCX23" s="175"/>
      <c r="HCY23" s="175"/>
      <c r="HCZ23" s="175"/>
      <c r="HDA23" s="175"/>
      <c r="HDB23" s="175"/>
      <c r="HDC23" s="175"/>
      <c r="HDD23" s="175"/>
      <c r="HDE23" s="175"/>
      <c r="HDF23" s="175"/>
      <c r="HDG23" s="175"/>
      <c r="HDH23" s="175"/>
      <c r="HDI23" s="175"/>
      <c r="HDJ23" s="175"/>
      <c r="HDK23" s="175"/>
      <c r="HDL23" s="175"/>
      <c r="HDM23" s="175"/>
      <c r="HDN23" s="175"/>
      <c r="HDO23" s="175"/>
      <c r="HDP23" s="175"/>
      <c r="HDQ23" s="175"/>
      <c r="HDR23" s="175"/>
      <c r="HDS23" s="175"/>
      <c r="HDT23" s="175"/>
      <c r="HDU23" s="175"/>
      <c r="HDV23" s="175"/>
      <c r="HDW23" s="175"/>
      <c r="HDX23" s="175"/>
      <c r="HDY23" s="175"/>
      <c r="HDZ23" s="175"/>
      <c r="HEA23" s="175"/>
      <c r="HEB23" s="175"/>
      <c r="HEC23" s="175"/>
      <c r="HED23" s="175"/>
      <c r="HEE23" s="175"/>
      <c r="HEF23" s="175"/>
      <c r="HEG23" s="175"/>
      <c r="HEH23" s="175"/>
      <c r="HEI23" s="175"/>
      <c r="HEJ23" s="175"/>
      <c r="HEK23" s="175"/>
      <c r="HEL23" s="175"/>
      <c r="HEM23" s="175"/>
      <c r="HEN23" s="175"/>
      <c r="HEO23" s="175"/>
      <c r="HEP23" s="175"/>
      <c r="HEQ23" s="175"/>
      <c r="HER23" s="175"/>
      <c r="HES23" s="175"/>
      <c r="HET23" s="175"/>
      <c r="HEU23" s="175"/>
      <c r="HEV23" s="175"/>
      <c r="HEW23" s="175"/>
      <c r="HEX23" s="175"/>
      <c r="HEY23" s="175"/>
      <c r="HEZ23" s="175"/>
      <c r="HFA23" s="175"/>
      <c r="HFB23" s="175"/>
      <c r="HFC23" s="175"/>
      <c r="HFD23" s="175"/>
      <c r="HFE23" s="175"/>
      <c r="HFF23" s="175"/>
      <c r="HFG23" s="175"/>
      <c r="HFH23" s="175"/>
      <c r="HFI23" s="175"/>
      <c r="HFJ23" s="175"/>
      <c r="HFK23" s="175"/>
      <c r="HFL23" s="175"/>
      <c r="HFM23" s="175"/>
      <c r="HFN23" s="175"/>
      <c r="HFO23" s="175"/>
      <c r="HFP23" s="175"/>
      <c r="HFQ23" s="175"/>
      <c r="HFR23" s="175"/>
      <c r="HFS23" s="175"/>
      <c r="HFT23" s="175"/>
      <c r="HFU23" s="175"/>
      <c r="HFV23" s="175"/>
      <c r="HFW23" s="175"/>
      <c r="HFX23" s="175"/>
      <c r="HFY23" s="175"/>
      <c r="HFZ23" s="175"/>
      <c r="HGA23" s="175"/>
      <c r="HGB23" s="175"/>
      <c r="HGC23" s="175"/>
      <c r="HGD23" s="175"/>
      <c r="HGE23" s="175"/>
      <c r="HGF23" s="175"/>
      <c r="HGG23" s="175"/>
      <c r="HGH23" s="175"/>
      <c r="HGI23" s="175"/>
      <c r="HGJ23" s="175"/>
      <c r="HGK23" s="175"/>
      <c r="HGL23" s="175"/>
      <c r="HGM23" s="175"/>
      <c r="HGN23" s="175"/>
      <c r="HGO23" s="175"/>
      <c r="HGP23" s="175"/>
      <c r="HGQ23" s="175"/>
      <c r="HGR23" s="175"/>
      <c r="HGS23" s="175"/>
      <c r="HGT23" s="175"/>
      <c r="HGU23" s="175"/>
      <c r="HGV23" s="175"/>
      <c r="HGW23" s="175"/>
      <c r="HGX23" s="175"/>
      <c r="HGY23" s="175"/>
      <c r="HGZ23" s="175"/>
      <c r="HHA23" s="175"/>
      <c r="HHB23" s="175"/>
      <c r="HHC23" s="175"/>
      <c r="HHD23" s="175"/>
      <c r="HHE23" s="175"/>
      <c r="HHF23" s="175"/>
      <c r="HHG23" s="175"/>
      <c r="HHH23" s="175"/>
      <c r="HHI23" s="175"/>
      <c r="HHJ23" s="175"/>
      <c r="HHK23" s="175"/>
      <c r="HHL23" s="175"/>
      <c r="HHM23" s="175"/>
      <c r="HHN23" s="175"/>
      <c r="HHO23" s="175"/>
      <c r="HHP23" s="175"/>
      <c r="HHQ23" s="175"/>
      <c r="HHR23" s="175"/>
      <c r="HHS23" s="175"/>
      <c r="HHT23" s="175"/>
      <c r="HHU23" s="175"/>
      <c r="HHV23" s="175"/>
      <c r="HHW23" s="175"/>
      <c r="HHX23" s="175"/>
      <c r="HHY23" s="175"/>
      <c r="HHZ23" s="175"/>
      <c r="HIA23" s="175"/>
      <c r="HIB23" s="175"/>
      <c r="HIC23" s="175"/>
      <c r="HID23" s="175"/>
      <c r="HIE23" s="175"/>
      <c r="HIF23" s="175"/>
      <c r="HIG23" s="175"/>
      <c r="HIH23" s="175"/>
      <c r="HII23" s="175"/>
      <c r="HIJ23" s="175"/>
      <c r="HIK23" s="175"/>
      <c r="HIL23" s="175"/>
      <c r="HIM23" s="175"/>
      <c r="HIN23" s="175"/>
      <c r="HIO23" s="175"/>
      <c r="HIP23" s="175"/>
      <c r="HIQ23" s="175"/>
      <c r="HIR23" s="175"/>
      <c r="HIS23" s="175"/>
      <c r="HIT23" s="175"/>
      <c r="HIU23" s="175"/>
      <c r="HIV23" s="175"/>
      <c r="HIW23" s="175"/>
      <c r="HIX23" s="175"/>
      <c r="HIY23" s="175"/>
      <c r="HIZ23" s="175"/>
      <c r="HJA23" s="175"/>
      <c r="HJB23" s="175"/>
      <c r="HJC23" s="175"/>
      <c r="HJD23" s="175"/>
      <c r="HJE23" s="175"/>
      <c r="HJF23" s="175"/>
      <c r="HJG23" s="175"/>
      <c r="HJH23" s="175"/>
      <c r="HJI23" s="175"/>
      <c r="HJJ23" s="175"/>
      <c r="HJK23" s="175"/>
      <c r="HJL23" s="175"/>
      <c r="HJM23" s="175"/>
      <c r="HJN23" s="175"/>
      <c r="HJO23" s="175"/>
      <c r="HJP23" s="175"/>
      <c r="HJQ23" s="175"/>
      <c r="HJR23" s="175"/>
      <c r="HJS23" s="175"/>
      <c r="HJT23" s="175"/>
      <c r="HJU23" s="175"/>
      <c r="HJV23" s="175"/>
      <c r="HJW23" s="175"/>
      <c r="HJX23" s="175"/>
      <c r="HJY23" s="175"/>
      <c r="HJZ23" s="175"/>
      <c r="HKA23" s="175"/>
      <c r="HKB23" s="175"/>
      <c r="HKC23" s="175"/>
      <c r="HKD23" s="175"/>
      <c r="HKE23" s="175"/>
      <c r="HKF23" s="175"/>
      <c r="HKG23" s="175"/>
      <c r="HKH23" s="175"/>
      <c r="HKI23" s="175"/>
      <c r="HKJ23" s="175"/>
      <c r="HKK23" s="175"/>
      <c r="HKL23" s="175"/>
      <c r="HKM23" s="175"/>
      <c r="HKN23" s="175"/>
      <c r="HKO23" s="175"/>
      <c r="HKP23" s="175"/>
      <c r="HKQ23" s="175"/>
      <c r="HKR23" s="175"/>
      <c r="HKS23" s="175"/>
      <c r="HKT23" s="175"/>
      <c r="HKU23" s="175"/>
      <c r="HKV23" s="175"/>
      <c r="HKW23" s="175"/>
      <c r="HKX23" s="175"/>
      <c r="HKY23" s="175"/>
      <c r="HKZ23" s="175"/>
      <c r="HLA23" s="175"/>
      <c r="HLB23" s="175"/>
      <c r="HLC23" s="175"/>
      <c r="HLD23" s="175"/>
      <c r="HLE23" s="175"/>
      <c r="HLF23" s="175"/>
      <c r="HLG23" s="175"/>
      <c r="HLH23" s="175"/>
      <c r="HLI23" s="175"/>
      <c r="HLJ23" s="175"/>
      <c r="HLK23" s="175"/>
      <c r="HLL23" s="175"/>
      <c r="HLM23" s="175"/>
      <c r="HLN23" s="175"/>
      <c r="HLO23" s="175"/>
      <c r="HLP23" s="175"/>
      <c r="HLQ23" s="175"/>
      <c r="HLR23" s="175"/>
      <c r="HLS23" s="175"/>
      <c r="HLT23" s="175"/>
      <c r="HLU23" s="175"/>
      <c r="HLV23" s="175"/>
      <c r="HLW23" s="175"/>
      <c r="HLX23" s="175"/>
      <c r="HLY23" s="175"/>
      <c r="HLZ23" s="175"/>
      <c r="HMA23" s="175"/>
      <c r="HMB23" s="175"/>
      <c r="HMC23" s="175"/>
      <c r="HMD23" s="175"/>
      <c r="HME23" s="175"/>
      <c r="HMF23" s="175"/>
      <c r="HMG23" s="175"/>
      <c r="HMH23" s="175"/>
      <c r="HMI23" s="175"/>
      <c r="HMJ23" s="175"/>
      <c r="HMK23" s="175"/>
      <c r="HML23" s="175"/>
      <c r="HMM23" s="175"/>
      <c r="HMN23" s="175"/>
      <c r="HMO23" s="175"/>
      <c r="HMP23" s="175"/>
      <c r="HMQ23" s="175"/>
      <c r="HMR23" s="175"/>
      <c r="HMS23" s="175"/>
      <c r="HMT23" s="175"/>
      <c r="HMU23" s="175"/>
      <c r="HMV23" s="175"/>
      <c r="HMW23" s="175"/>
      <c r="HMX23" s="175"/>
      <c r="HMY23" s="175"/>
      <c r="HMZ23" s="175"/>
      <c r="HNA23" s="175"/>
      <c r="HNB23" s="175"/>
      <c r="HNC23" s="175"/>
      <c r="HND23" s="175"/>
      <c r="HNE23" s="175"/>
      <c r="HNF23" s="175"/>
      <c r="HNG23" s="175"/>
      <c r="HNH23" s="175"/>
      <c r="HNI23" s="175"/>
      <c r="HNJ23" s="175"/>
      <c r="HNK23" s="175"/>
      <c r="HNL23" s="175"/>
      <c r="HNM23" s="175"/>
      <c r="HNN23" s="175"/>
      <c r="HNO23" s="175"/>
      <c r="HNP23" s="175"/>
      <c r="HNQ23" s="175"/>
      <c r="HNR23" s="175"/>
      <c r="HNS23" s="175"/>
      <c r="HNT23" s="175"/>
      <c r="HNU23" s="175"/>
      <c r="HNV23" s="175"/>
      <c r="HNW23" s="175"/>
      <c r="HNX23" s="175"/>
      <c r="HNY23" s="175"/>
      <c r="HNZ23" s="175"/>
      <c r="HOA23" s="175"/>
      <c r="HOB23" s="175"/>
      <c r="HOC23" s="175"/>
      <c r="HOD23" s="175"/>
      <c r="HOE23" s="175"/>
      <c r="HOF23" s="175"/>
      <c r="HOG23" s="175"/>
      <c r="HOH23" s="175"/>
      <c r="HOI23" s="175"/>
      <c r="HOJ23" s="175"/>
      <c r="HOK23" s="175"/>
      <c r="HOL23" s="175"/>
      <c r="HOM23" s="175"/>
      <c r="HON23" s="175"/>
      <c r="HOO23" s="175"/>
      <c r="HOP23" s="175"/>
      <c r="HOQ23" s="175"/>
      <c r="HOR23" s="175"/>
      <c r="HOS23" s="175"/>
      <c r="HOT23" s="175"/>
      <c r="HOU23" s="175"/>
      <c r="HOV23" s="175"/>
      <c r="HOW23" s="175"/>
      <c r="HOX23" s="175"/>
      <c r="HOY23" s="175"/>
      <c r="HOZ23" s="175"/>
      <c r="HPA23" s="175"/>
      <c r="HPB23" s="175"/>
      <c r="HPC23" s="175"/>
      <c r="HPD23" s="175"/>
      <c r="HPE23" s="175"/>
      <c r="HPF23" s="175"/>
      <c r="HPG23" s="175"/>
      <c r="HPH23" s="175"/>
      <c r="HPI23" s="175"/>
      <c r="HPJ23" s="175"/>
      <c r="HPK23" s="175"/>
      <c r="HPL23" s="175"/>
      <c r="HPM23" s="175"/>
      <c r="HPN23" s="175"/>
      <c r="HPO23" s="175"/>
      <c r="HPP23" s="175"/>
      <c r="HPQ23" s="175"/>
      <c r="HPR23" s="175"/>
      <c r="HPS23" s="175"/>
      <c r="HPT23" s="175"/>
      <c r="HPU23" s="175"/>
      <c r="HPV23" s="175"/>
      <c r="HPW23" s="175"/>
      <c r="HPX23" s="175"/>
      <c r="HPY23" s="175"/>
      <c r="HPZ23" s="175"/>
      <c r="HQA23" s="175"/>
      <c r="HQB23" s="175"/>
      <c r="HQC23" s="175"/>
      <c r="HQD23" s="175"/>
      <c r="HQE23" s="175"/>
      <c r="HQF23" s="175"/>
      <c r="HQG23" s="175"/>
      <c r="HQH23" s="175"/>
      <c r="HQI23" s="175"/>
      <c r="HQJ23" s="175"/>
      <c r="HQK23" s="175"/>
      <c r="HQL23" s="175"/>
      <c r="HQM23" s="175"/>
      <c r="HQN23" s="175"/>
      <c r="HQO23" s="175"/>
      <c r="HQP23" s="175"/>
      <c r="HQQ23" s="175"/>
      <c r="HQR23" s="175"/>
      <c r="HQS23" s="175"/>
      <c r="HQT23" s="175"/>
      <c r="HQU23" s="175"/>
      <c r="HQV23" s="175"/>
      <c r="HQW23" s="175"/>
      <c r="HQX23" s="175"/>
      <c r="HQY23" s="175"/>
      <c r="HQZ23" s="175"/>
      <c r="HRA23" s="175"/>
      <c r="HRB23" s="175"/>
      <c r="HRC23" s="175"/>
      <c r="HRD23" s="175"/>
      <c r="HRE23" s="175"/>
      <c r="HRF23" s="175"/>
      <c r="HRG23" s="175"/>
      <c r="HRH23" s="175"/>
      <c r="HRI23" s="175"/>
      <c r="HRJ23" s="175"/>
      <c r="HRK23" s="175"/>
      <c r="HRL23" s="175"/>
      <c r="HRM23" s="175"/>
      <c r="HRN23" s="175"/>
      <c r="HRO23" s="175"/>
      <c r="HRP23" s="175"/>
      <c r="HRQ23" s="175"/>
      <c r="HRR23" s="175"/>
      <c r="HRS23" s="175"/>
      <c r="HRT23" s="175"/>
      <c r="HRU23" s="175"/>
      <c r="HRV23" s="175"/>
      <c r="HRW23" s="175"/>
      <c r="HRX23" s="175"/>
      <c r="HRY23" s="175"/>
      <c r="HRZ23" s="175"/>
      <c r="HSA23" s="175"/>
      <c r="HSB23" s="175"/>
      <c r="HSC23" s="175"/>
      <c r="HSD23" s="175"/>
      <c r="HSE23" s="175"/>
      <c r="HSF23" s="175"/>
      <c r="HSG23" s="175"/>
      <c r="HSH23" s="175"/>
      <c r="HSI23" s="175"/>
      <c r="HSJ23" s="175"/>
      <c r="HSK23" s="175"/>
      <c r="HSL23" s="175"/>
      <c r="HSM23" s="175"/>
      <c r="HSN23" s="175"/>
      <c r="HSO23" s="175"/>
      <c r="HSP23" s="175"/>
      <c r="HSQ23" s="175"/>
      <c r="HSR23" s="175"/>
      <c r="HSS23" s="175"/>
      <c r="HST23" s="175"/>
      <c r="HSU23" s="175"/>
      <c r="HSV23" s="175"/>
      <c r="HSW23" s="175"/>
      <c r="HSX23" s="175"/>
      <c r="HSY23" s="175"/>
      <c r="HSZ23" s="175"/>
      <c r="HTA23" s="175"/>
      <c r="HTB23" s="175"/>
      <c r="HTC23" s="175"/>
      <c r="HTD23" s="175"/>
      <c r="HTE23" s="175"/>
      <c r="HTF23" s="175"/>
      <c r="HTG23" s="175"/>
      <c r="HTH23" s="175"/>
      <c r="HTI23" s="175"/>
      <c r="HTJ23" s="175"/>
      <c r="HTK23" s="175"/>
      <c r="HTL23" s="175"/>
      <c r="HTM23" s="175"/>
      <c r="HTN23" s="175"/>
      <c r="HTO23" s="175"/>
      <c r="HTP23" s="175"/>
      <c r="HTQ23" s="175"/>
      <c r="HTR23" s="175"/>
      <c r="HTS23" s="175"/>
      <c r="HTT23" s="175"/>
      <c r="HTU23" s="175"/>
      <c r="HTV23" s="175"/>
      <c r="HTW23" s="175"/>
      <c r="HTX23" s="175"/>
      <c r="HTY23" s="175"/>
      <c r="HTZ23" s="175"/>
      <c r="HUA23" s="175"/>
      <c r="HUB23" s="175"/>
      <c r="HUC23" s="175"/>
      <c r="HUD23" s="175"/>
      <c r="HUE23" s="175"/>
      <c r="HUF23" s="175"/>
      <c r="HUG23" s="175"/>
      <c r="HUH23" s="175"/>
      <c r="HUI23" s="175"/>
      <c r="HUJ23" s="175"/>
      <c r="HUK23" s="175"/>
      <c r="HUL23" s="175"/>
      <c r="HUM23" s="175"/>
      <c r="HUN23" s="175"/>
      <c r="HUO23" s="175"/>
      <c r="HUP23" s="175"/>
      <c r="HUQ23" s="175"/>
      <c r="HUR23" s="175"/>
      <c r="HUS23" s="175"/>
      <c r="HUT23" s="175"/>
      <c r="HUU23" s="175"/>
      <c r="HUV23" s="175"/>
      <c r="HUW23" s="175"/>
      <c r="HUX23" s="175"/>
      <c r="HUY23" s="175"/>
      <c r="HUZ23" s="175"/>
      <c r="HVA23" s="175"/>
      <c r="HVB23" s="175"/>
      <c r="HVC23" s="175"/>
      <c r="HVD23" s="175"/>
      <c r="HVE23" s="175"/>
      <c r="HVF23" s="175"/>
      <c r="HVG23" s="175"/>
      <c r="HVH23" s="175"/>
      <c r="HVI23" s="175"/>
      <c r="HVJ23" s="175"/>
      <c r="HVK23" s="175"/>
      <c r="HVL23" s="175"/>
      <c r="HVM23" s="175"/>
      <c r="HVN23" s="175"/>
      <c r="HVO23" s="175"/>
      <c r="HVP23" s="175"/>
      <c r="HVQ23" s="175"/>
      <c r="HVR23" s="175"/>
      <c r="HVS23" s="175"/>
      <c r="HVT23" s="175"/>
      <c r="HVU23" s="175"/>
      <c r="HVV23" s="175"/>
      <c r="HVW23" s="175"/>
      <c r="HVX23" s="175"/>
      <c r="HVY23" s="175"/>
      <c r="HVZ23" s="175"/>
      <c r="HWA23" s="175"/>
      <c r="HWB23" s="175"/>
      <c r="HWC23" s="175"/>
      <c r="HWD23" s="175"/>
      <c r="HWE23" s="175"/>
      <c r="HWF23" s="175"/>
      <c r="HWG23" s="175"/>
      <c r="HWH23" s="175"/>
      <c r="HWI23" s="175"/>
      <c r="HWJ23" s="175"/>
      <c r="HWK23" s="175"/>
      <c r="HWL23" s="175"/>
      <c r="HWM23" s="175"/>
      <c r="HWN23" s="175"/>
      <c r="HWO23" s="175"/>
      <c r="HWP23" s="175"/>
      <c r="HWQ23" s="175"/>
      <c r="HWR23" s="175"/>
      <c r="HWS23" s="175"/>
      <c r="HWT23" s="175"/>
      <c r="HWU23" s="175"/>
      <c r="HWV23" s="175"/>
      <c r="HWW23" s="175"/>
      <c r="HWX23" s="175"/>
      <c r="HWY23" s="175"/>
      <c r="HWZ23" s="175"/>
      <c r="HXA23" s="175"/>
      <c r="HXB23" s="175"/>
      <c r="HXC23" s="175"/>
      <c r="HXD23" s="175"/>
      <c r="HXE23" s="175"/>
      <c r="HXF23" s="175"/>
      <c r="HXG23" s="175"/>
      <c r="HXH23" s="175"/>
      <c r="HXI23" s="175"/>
      <c r="HXJ23" s="175"/>
      <c r="HXK23" s="175"/>
      <c r="HXL23" s="175"/>
      <c r="HXM23" s="175"/>
      <c r="HXN23" s="175"/>
      <c r="HXO23" s="175"/>
      <c r="HXP23" s="175"/>
      <c r="HXQ23" s="175"/>
      <c r="HXR23" s="175"/>
      <c r="HXS23" s="175"/>
      <c r="HXT23" s="175"/>
      <c r="HXU23" s="175"/>
      <c r="HXV23" s="175"/>
      <c r="HXW23" s="175"/>
      <c r="HXX23" s="175"/>
      <c r="HXY23" s="175"/>
      <c r="HXZ23" s="175"/>
      <c r="HYA23" s="175"/>
      <c r="HYB23" s="175"/>
      <c r="HYC23" s="175"/>
      <c r="HYD23" s="175"/>
      <c r="HYE23" s="175"/>
      <c r="HYF23" s="175"/>
      <c r="HYG23" s="175"/>
      <c r="HYH23" s="175"/>
      <c r="HYI23" s="175"/>
      <c r="HYJ23" s="175"/>
      <c r="HYK23" s="175"/>
      <c r="HYL23" s="175"/>
      <c r="HYM23" s="175"/>
      <c r="HYN23" s="175"/>
      <c r="HYO23" s="175"/>
      <c r="HYP23" s="175"/>
      <c r="HYQ23" s="175"/>
      <c r="HYR23" s="175"/>
      <c r="HYS23" s="175"/>
      <c r="HYT23" s="175"/>
      <c r="HYU23" s="175"/>
      <c r="HYV23" s="175"/>
      <c r="HYW23" s="175"/>
      <c r="HYX23" s="175"/>
      <c r="HYY23" s="175"/>
      <c r="HYZ23" s="175"/>
      <c r="HZA23" s="175"/>
      <c r="HZB23" s="175"/>
      <c r="HZC23" s="175"/>
      <c r="HZD23" s="175"/>
      <c r="HZE23" s="175"/>
      <c r="HZF23" s="175"/>
      <c r="HZG23" s="175"/>
      <c r="HZH23" s="175"/>
      <c r="HZI23" s="175"/>
      <c r="HZJ23" s="175"/>
      <c r="HZK23" s="175"/>
      <c r="HZL23" s="175"/>
      <c r="HZM23" s="175"/>
      <c r="HZN23" s="175"/>
      <c r="HZO23" s="175"/>
      <c r="HZP23" s="175"/>
      <c r="HZQ23" s="175"/>
      <c r="HZR23" s="175"/>
      <c r="HZS23" s="175"/>
      <c r="HZT23" s="175"/>
      <c r="HZU23" s="175"/>
      <c r="HZV23" s="175"/>
      <c r="HZW23" s="175"/>
      <c r="HZX23" s="175"/>
      <c r="HZY23" s="175"/>
      <c r="HZZ23" s="175"/>
      <c r="IAA23" s="175"/>
      <c r="IAB23" s="175"/>
      <c r="IAC23" s="175"/>
      <c r="IAD23" s="175"/>
      <c r="IAE23" s="175"/>
      <c r="IAF23" s="175"/>
      <c r="IAG23" s="175"/>
      <c r="IAH23" s="175"/>
      <c r="IAI23" s="175"/>
      <c r="IAJ23" s="175"/>
      <c r="IAK23" s="175"/>
      <c r="IAL23" s="175"/>
      <c r="IAM23" s="175"/>
      <c r="IAN23" s="175"/>
      <c r="IAO23" s="175"/>
      <c r="IAP23" s="175"/>
      <c r="IAQ23" s="175"/>
      <c r="IAR23" s="175"/>
      <c r="IAS23" s="175"/>
      <c r="IAT23" s="175"/>
      <c r="IAU23" s="175"/>
      <c r="IAV23" s="175"/>
      <c r="IAW23" s="175"/>
      <c r="IAX23" s="175"/>
      <c r="IAY23" s="175"/>
      <c r="IAZ23" s="175"/>
      <c r="IBA23" s="175"/>
      <c r="IBB23" s="175"/>
      <c r="IBC23" s="175"/>
      <c r="IBD23" s="175"/>
      <c r="IBE23" s="175"/>
      <c r="IBF23" s="175"/>
      <c r="IBG23" s="175"/>
      <c r="IBH23" s="175"/>
      <c r="IBI23" s="175"/>
      <c r="IBJ23" s="175"/>
      <c r="IBK23" s="175"/>
      <c r="IBL23" s="175"/>
      <c r="IBM23" s="175"/>
      <c r="IBN23" s="175"/>
      <c r="IBO23" s="175"/>
      <c r="IBP23" s="175"/>
      <c r="IBQ23" s="175"/>
      <c r="IBR23" s="175"/>
      <c r="IBS23" s="175"/>
      <c r="IBT23" s="175"/>
      <c r="IBU23" s="175"/>
      <c r="IBV23" s="175"/>
      <c r="IBW23" s="175"/>
      <c r="IBX23" s="175"/>
      <c r="IBY23" s="175"/>
      <c r="IBZ23" s="175"/>
      <c r="ICA23" s="175"/>
      <c r="ICB23" s="175"/>
      <c r="ICC23" s="175"/>
      <c r="ICD23" s="175"/>
      <c r="ICE23" s="175"/>
      <c r="ICF23" s="175"/>
      <c r="ICG23" s="175"/>
      <c r="ICH23" s="175"/>
      <c r="ICI23" s="175"/>
      <c r="ICJ23" s="175"/>
      <c r="ICK23" s="175"/>
      <c r="ICL23" s="175"/>
      <c r="ICM23" s="175"/>
      <c r="ICN23" s="175"/>
      <c r="ICO23" s="175"/>
      <c r="ICP23" s="175"/>
      <c r="ICQ23" s="175"/>
      <c r="ICR23" s="175"/>
      <c r="ICS23" s="175"/>
      <c r="ICT23" s="175"/>
      <c r="ICU23" s="175"/>
      <c r="ICV23" s="175"/>
      <c r="ICW23" s="175"/>
      <c r="ICX23" s="175"/>
      <c r="ICY23" s="175"/>
      <c r="ICZ23" s="175"/>
      <c r="IDA23" s="175"/>
      <c r="IDB23" s="175"/>
      <c r="IDC23" s="175"/>
      <c r="IDD23" s="175"/>
      <c r="IDE23" s="175"/>
      <c r="IDF23" s="175"/>
      <c r="IDG23" s="175"/>
      <c r="IDH23" s="175"/>
      <c r="IDI23" s="175"/>
      <c r="IDJ23" s="175"/>
      <c r="IDK23" s="175"/>
      <c r="IDL23" s="175"/>
      <c r="IDM23" s="175"/>
      <c r="IDN23" s="175"/>
      <c r="IDO23" s="175"/>
      <c r="IDP23" s="175"/>
      <c r="IDQ23" s="175"/>
      <c r="IDR23" s="175"/>
      <c r="IDS23" s="175"/>
      <c r="IDT23" s="175"/>
      <c r="IDU23" s="175"/>
      <c r="IDV23" s="175"/>
      <c r="IDW23" s="175"/>
      <c r="IDX23" s="175"/>
      <c r="IDY23" s="175"/>
      <c r="IDZ23" s="175"/>
      <c r="IEA23" s="175"/>
      <c r="IEB23" s="175"/>
      <c r="IEC23" s="175"/>
      <c r="IED23" s="175"/>
      <c r="IEE23" s="175"/>
      <c r="IEF23" s="175"/>
      <c r="IEG23" s="175"/>
      <c r="IEH23" s="175"/>
      <c r="IEI23" s="175"/>
      <c r="IEJ23" s="175"/>
      <c r="IEK23" s="175"/>
      <c r="IEL23" s="175"/>
      <c r="IEM23" s="175"/>
      <c r="IEN23" s="175"/>
      <c r="IEO23" s="175"/>
      <c r="IEP23" s="175"/>
      <c r="IEQ23" s="175"/>
      <c r="IER23" s="175"/>
      <c r="IES23" s="175"/>
      <c r="IET23" s="175"/>
      <c r="IEU23" s="175"/>
      <c r="IEV23" s="175"/>
      <c r="IEW23" s="175"/>
      <c r="IEX23" s="175"/>
      <c r="IEY23" s="175"/>
      <c r="IEZ23" s="175"/>
      <c r="IFA23" s="175"/>
      <c r="IFB23" s="175"/>
      <c r="IFC23" s="175"/>
      <c r="IFD23" s="175"/>
      <c r="IFE23" s="175"/>
      <c r="IFF23" s="175"/>
      <c r="IFG23" s="175"/>
      <c r="IFH23" s="175"/>
      <c r="IFI23" s="175"/>
      <c r="IFJ23" s="175"/>
      <c r="IFK23" s="175"/>
      <c r="IFL23" s="175"/>
      <c r="IFM23" s="175"/>
      <c r="IFN23" s="175"/>
      <c r="IFO23" s="175"/>
      <c r="IFP23" s="175"/>
      <c r="IFQ23" s="175"/>
      <c r="IFR23" s="175"/>
      <c r="IFS23" s="175"/>
      <c r="IFT23" s="175"/>
      <c r="IFU23" s="175"/>
      <c r="IFV23" s="175"/>
      <c r="IFW23" s="175"/>
      <c r="IFX23" s="175"/>
      <c r="IFY23" s="175"/>
      <c r="IFZ23" s="175"/>
      <c r="IGA23" s="175"/>
      <c r="IGB23" s="175"/>
      <c r="IGC23" s="175"/>
      <c r="IGD23" s="175"/>
      <c r="IGE23" s="175"/>
      <c r="IGF23" s="175"/>
      <c r="IGG23" s="175"/>
      <c r="IGH23" s="175"/>
      <c r="IGI23" s="175"/>
      <c r="IGJ23" s="175"/>
      <c r="IGK23" s="175"/>
      <c r="IGL23" s="175"/>
      <c r="IGM23" s="175"/>
      <c r="IGN23" s="175"/>
      <c r="IGO23" s="175"/>
      <c r="IGP23" s="175"/>
      <c r="IGQ23" s="175"/>
      <c r="IGR23" s="175"/>
      <c r="IGS23" s="175"/>
      <c r="IGT23" s="175"/>
      <c r="IGU23" s="175"/>
      <c r="IGV23" s="175"/>
      <c r="IGW23" s="175"/>
      <c r="IGX23" s="175"/>
      <c r="IGY23" s="175"/>
      <c r="IGZ23" s="175"/>
      <c r="IHA23" s="175"/>
      <c r="IHB23" s="175"/>
      <c r="IHC23" s="175"/>
      <c r="IHD23" s="175"/>
      <c r="IHE23" s="175"/>
      <c r="IHF23" s="175"/>
      <c r="IHG23" s="175"/>
      <c r="IHH23" s="175"/>
      <c r="IHI23" s="175"/>
      <c r="IHJ23" s="175"/>
      <c r="IHK23" s="175"/>
      <c r="IHL23" s="175"/>
      <c r="IHM23" s="175"/>
      <c r="IHN23" s="175"/>
      <c r="IHO23" s="175"/>
      <c r="IHP23" s="175"/>
      <c r="IHQ23" s="175"/>
      <c r="IHR23" s="175"/>
      <c r="IHS23" s="175"/>
      <c r="IHT23" s="175"/>
      <c r="IHU23" s="175"/>
      <c r="IHV23" s="175"/>
      <c r="IHW23" s="175"/>
      <c r="IHX23" s="175"/>
      <c r="IHY23" s="175"/>
      <c r="IHZ23" s="175"/>
      <c r="IIA23" s="175"/>
      <c r="IIB23" s="175"/>
      <c r="IIC23" s="175"/>
      <c r="IID23" s="175"/>
      <c r="IIE23" s="175"/>
      <c r="IIF23" s="175"/>
      <c r="IIG23" s="175"/>
      <c r="IIH23" s="175"/>
      <c r="III23" s="175"/>
      <c r="IIJ23" s="175"/>
      <c r="IIK23" s="175"/>
      <c r="IIL23" s="175"/>
      <c r="IIM23" s="175"/>
      <c r="IIN23" s="175"/>
      <c r="IIO23" s="175"/>
      <c r="IIP23" s="175"/>
      <c r="IIQ23" s="175"/>
      <c r="IIR23" s="175"/>
      <c r="IIS23" s="175"/>
      <c r="IIT23" s="175"/>
      <c r="IIU23" s="175"/>
      <c r="IIV23" s="175"/>
      <c r="IIW23" s="175"/>
      <c r="IIX23" s="175"/>
      <c r="IIY23" s="175"/>
      <c r="IIZ23" s="175"/>
      <c r="IJA23" s="175"/>
      <c r="IJB23" s="175"/>
      <c r="IJC23" s="175"/>
      <c r="IJD23" s="175"/>
      <c r="IJE23" s="175"/>
      <c r="IJF23" s="175"/>
      <c r="IJG23" s="175"/>
      <c r="IJH23" s="175"/>
      <c r="IJI23" s="175"/>
      <c r="IJJ23" s="175"/>
      <c r="IJK23" s="175"/>
      <c r="IJL23" s="175"/>
      <c r="IJM23" s="175"/>
      <c r="IJN23" s="175"/>
      <c r="IJO23" s="175"/>
      <c r="IJP23" s="175"/>
      <c r="IJQ23" s="175"/>
      <c r="IJR23" s="175"/>
      <c r="IJS23" s="175"/>
      <c r="IJT23" s="175"/>
      <c r="IJU23" s="175"/>
      <c r="IJV23" s="175"/>
      <c r="IJW23" s="175"/>
      <c r="IJX23" s="175"/>
      <c r="IJY23" s="175"/>
      <c r="IJZ23" s="175"/>
      <c r="IKA23" s="175"/>
      <c r="IKB23" s="175"/>
      <c r="IKC23" s="175"/>
      <c r="IKD23" s="175"/>
      <c r="IKE23" s="175"/>
      <c r="IKF23" s="175"/>
      <c r="IKG23" s="175"/>
      <c r="IKH23" s="175"/>
      <c r="IKI23" s="175"/>
      <c r="IKJ23" s="175"/>
      <c r="IKK23" s="175"/>
      <c r="IKL23" s="175"/>
      <c r="IKM23" s="175"/>
      <c r="IKN23" s="175"/>
      <c r="IKO23" s="175"/>
      <c r="IKP23" s="175"/>
      <c r="IKQ23" s="175"/>
      <c r="IKR23" s="175"/>
      <c r="IKS23" s="175"/>
      <c r="IKT23" s="175"/>
      <c r="IKU23" s="175"/>
      <c r="IKV23" s="175"/>
      <c r="IKW23" s="175"/>
      <c r="IKX23" s="175"/>
      <c r="IKY23" s="175"/>
      <c r="IKZ23" s="175"/>
      <c r="ILA23" s="175"/>
      <c r="ILB23" s="175"/>
      <c r="ILC23" s="175"/>
      <c r="ILD23" s="175"/>
      <c r="ILE23" s="175"/>
      <c r="ILF23" s="175"/>
      <c r="ILG23" s="175"/>
      <c r="ILH23" s="175"/>
      <c r="ILI23" s="175"/>
      <c r="ILJ23" s="175"/>
      <c r="ILK23" s="175"/>
      <c r="ILL23" s="175"/>
      <c r="ILM23" s="175"/>
      <c r="ILN23" s="175"/>
      <c r="ILO23" s="175"/>
      <c r="ILP23" s="175"/>
      <c r="ILQ23" s="175"/>
      <c r="ILR23" s="175"/>
      <c r="ILS23" s="175"/>
      <c r="ILT23" s="175"/>
      <c r="ILU23" s="175"/>
      <c r="ILV23" s="175"/>
      <c r="ILW23" s="175"/>
      <c r="ILX23" s="175"/>
      <c r="ILY23" s="175"/>
      <c r="ILZ23" s="175"/>
      <c r="IMA23" s="175"/>
      <c r="IMB23" s="175"/>
      <c r="IMC23" s="175"/>
      <c r="IMD23" s="175"/>
      <c r="IME23" s="175"/>
      <c r="IMF23" s="175"/>
      <c r="IMG23" s="175"/>
      <c r="IMH23" s="175"/>
      <c r="IMI23" s="175"/>
      <c r="IMJ23" s="175"/>
      <c r="IMK23" s="175"/>
      <c r="IML23" s="175"/>
      <c r="IMM23" s="175"/>
      <c r="IMN23" s="175"/>
      <c r="IMO23" s="175"/>
      <c r="IMP23" s="175"/>
      <c r="IMQ23" s="175"/>
      <c r="IMR23" s="175"/>
      <c r="IMS23" s="175"/>
      <c r="IMT23" s="175"/>
      <c r="IMU23" s="175"/>
      <c r="IMV23" s="175"/>
      <c r="IMW23" s="175"/>
      <c r="IMX23" s="175"/>
      <c r="IMY23" s="175"/>
      <c r="IMZ23" s="175"/>
      <c r="INA23" s="175"/>
      <c r="INB23" s="175"/>
      <c r="INC23" s="175"/>
      <c r="IND23" s="175"/>
      <c r="INE23" s="175"/>
      <c r="INF23" s="175"/>
      <c r="ING23" s="175"/>
      <c r="INH23" s="175"/>
      <c r="INI23" s="175"/>
      <c r="INJ23" s="175"/>
      <c r="INK23" s="175"/>
      <c r="INL23" s="175"/>
      <c r="INM23" s="175"/>
      <c r="INN23" s="175"/>
      <c r="INO23" s="175"/>
      <c r="INP23" s="175"/>
      <c r="INQ23" s="175"/>
      <c r="INR23" s="175"/>
      <c r="INS23" s="175"/>
      <c r="INT23" s="175"/>
      <c r="INU23" s="175"/>
      <c r="INV23" s="175"/>
      <c r="INW23" s="175"/>
      <c r="INX23" s="175"/>
      <c r="INY23" s="175"/>
      <c r="INZ23" s="175"/>
      <c r="IOA23" s="175"/>
      <c r="IOB23" s="175"/>
      <c r="IOC23" s="175"/>
      <c r="IOD23" s="175"/>
      <c r="IOE23" s="175"/>
      <c r="IOF23" s="175"/>
      <c r="IOG23" s="175"/>
      <c r="IOH23" s="175"/>
      <c r="IOI23" s="175"/>
      <c r="IOJ23" s="175"/>
      <c r="IOK23" s="175"/>
      <c r="IOL23" s="175"/>
      <c r="IOM23" s="175"/>
      <c r="ION23" s="175"/>
      <c r="IOO23" s="175"/>
      <c r="IOP23" s="175"/>
      <c r="IOQ23" s="175"/>
      <c r="IOR23" s="175"/>
      <c r="IOS23" s="175"/>
      <c r="IOT23" s="175"/>
      <c r="IOU23" s="175"/>
      <c r="IOV23" s="175"/>
      <c r="IOW23" s="175"/>
      <c r="IOX23" s="175"/>
      <c r="IOY23" s="175"/>
      <c r="IOZ23" s="175"/>
      <c r="IPA23" s="175"/>
      <c r="IPB23" s="175"/>
      <c r="IPC23" s="175"/>
      <c r="IPD23" s="175"/>
      <c r="IPE23" s="175"/>
      <c r="IPF23" s="175"/>
      <c r="IPG23" s="175"/>
      <c r="IPH23" s="175"/>
      <c r="IPI23" s="175"/>
      <c r="IPJ23" s="175"/>
      <c r="IPK23" s="175"/>
      <c r="IPL23" s="175"/>
      <c r="IPM23" s="175"/>
      <c r="IPN23" s="175"/>
      <c r="IPO23" s="175"/>
      <c r="IPP23" s="175"/>
      <c r="IPQ23" s="175"/>
      <c r="IPR23" s="175"/>
      <c r="IPS23" s="175"/>
      <c r="IPT23" s="175"/>
      <c r="IPU23" s="175"/>
      <c r="IPV23" s="175"/>
      <c r="IPW23" s="175"/>
      <c r="IPX23" s="175"/>
      <c r="IPY23" s="175"/>
      <c r="IPZ23" s="175"/>
      <c r="IQA23" s="175"/>
      <c r="IQB23" s="175"/>
      <c r="IQC23" s="175"/>
      <c r="IQD23" s="175"/>
      <c r="IQE23" s="175"/>
      <c r="IQF23" s="175"/>
      <c r="IQG23" s="175"/>
      <c r="IQH23" s="175"/>
      <c r="IQI23" s="175"/>
      <c r="IQJ23" s="175"/>
      <c r="IQK23" s="175"/>
      <c r="IQL23" s="175"/>
      <c r="IQM23" s="175"/>
      <c r="IQN23" s="175"/>
      <c r="IQO23" s="175"/>
      <c r="IQP23" s="175"/>
      <c r="IQQ23" s="175"/>
      <c r="IQR23" s="175"/>
      <c r="IQS23" s="175"/>
      <c r="IQT23" s="175"/>
      <c r="IQU23" s="175"/>
      <c r="IQV23" s="175"/>
      <c r="IQW23" s="175"/>
      <c r="IQX23" s="175"/>
      <c r="IQY23" s="175"/>
      <c r="IQZ23" s="175"/>
      <c r="IRA23" s="175"/>
      <c r="IRB23" s="175"/>
      <c r="IRC23" s="175"/>
      <c r="IRD23" s="175"/>
      <c r="IRE23" s="175"/>
      <c r="IRF23" s="175"/>
      <c r="IRG23" s="175"/>
      <c r="IRH23" s="175"/>
      <c r="IRI23" s="175"/>
      <c r="IRJ23" s="175"/>
      <c r="IRK23" s="175"/>
      <c r="IRL23" s="175"/>
      <c r="IRM23" s="175"/>
      <c r="IRN23" s="175"/>
      <c r="IRO23" s="175"/>
      <c r="IRP23" s="175"/>
      <c r="IRQ23" s="175"/>
      <c r="IRR23" s="175"/>
      <c r="IRS23" s="175"/>
      <c r="IRT23" s="175"/>
      <c r="IRU23" s="175"/>
      <c r="IRV23" s="175"/>
      <c r="IRW23" s="175"/>
      <c r="IRX23" s="175"/>
      <c r="IRY23" s="175"/>
      <c r="IRZ23" s="175"/>
      <c r="ISA23" s="175"/>
      <c r="ISB23" s="175"/>
      <c r="ISC23" s="175"/>
      <c r="ISD23" s="175"/>
      <c r="ISE23" s="175"/>
      <c r="ISF23" s="175"/>
      <c r="ISG23" s="175"/>
      <c r="ISH23" s="175"/>
      <c r="ISI23" s="175"/>
      <c r="ISJ23" s="175"/>
      <c r="ISK23" s="175"/>
      <c r="ISL23" s="175"/>
      <c r="ISM23" s="175"/>
      <c r="ISN23" s="175"/>
      <c r="ISO23" s="175"/>
      <c r="ISP23" s="175"/>
      <c r="ISQ23" s="175"/>
      <c r="ISR23" s="175"/>
      <c r="ISS23" s="175"/>
      <c r="IST23" s="175"/>
      <c r="ISU23" s="175"/>
      <c r="ISV23" s="175"/>
      <c r="ISW23" s="175"/>
      <c r="ISX23" s="175"/>
      <c r="ISY23" s="175"/>
      <c r="ISZ23" s="175"/>
      <c r="ITA23" s="175"/>
      <c r="ITB23" s="175"/>
      <c r="ITC23" s="175"/>
      <c r="ITD23" s="175"/>
      <c r="ITE23" s="175"/>
      <c r="ITF23" s="175"/>
      <c r="ITG23" s="175"/>
      <c r="ITH23" s="175"/>
      <c r="ITI23" s="175"/>
      <c r="ITJ23" s="175"/>
      <c r="ITK23" s="175"/>
      <c r="ITL23" s="175"/>
      <c r="ITM23" s="175"/>
      <c r="ITN23" s="175"/>
      <c r="ITO23" s="175"/>
      <c r="ITP23" s="175"/>
      <c r="ITQ23" s="175"/>
      <c r="ITR23" s="175"/>
      <c r="ITS23" s="175"/>
      <c r="ITT23" s="175"/>
      <c r="ITU23" s="175"/>
      <c r="ITV23" s="175"/>
      <c r="ITW23" s="175"/>
      <c r="ITX23" s="175"/>
      <c r="ITY23" s="175"/>
      <c r="ITZ23" s="175"/>
      <c r="IUA23" s="175"/>
      <c r="IUB23" s="175"/>
      <c r="IUC23" s="175"/>
      <c r="IUD23" s="175"/>
      <c r="IUE23" s="175"/>
      <c r="IUF23" s="175"/>
      <c r="IUG23" s="175"/>
      <c r="IUH23" s="175"/>
      <c r="IUI23" s="175"/>
      <c r="IUJ23" s="175"/>
      <c r="IUK23" s="175"/>
      <c r="IUL23" s="175"/>
      <c r="IUM23" s="175"/>
      <c r="IUN23" s="175"/>
      <c r="IUO23" s="175"/>
      <c r="IUP23" s="175"/>
      <c r="IUQ23" s="175"/>
      <c r="IUR23" s="175"/>
      <c r="IUS23" s="175"/>
      <c r="IUT23" s="175"/>
      <c r="IUU23" s="175"/>
      <c r="IUV23" s="175"/>
      <c r="IUW23" s="175"/>
      <c r="IUX23" s="175"/>
      <c r="IUY23" s="175"/>
      <c r="IUZ23" s="175"/>
      <c r="IVA23" s="175"/>
      <c r="IVB23" s="175"/>
      <c r="IVC23" s="175"/>
      <c r="IVD23" s="175"/>
      <c r="IVE23" s="175"/>
      <c r="IVF23" s="175"/>
      <c r="IVG23" s="175"/>
      <c r="IVH23" s="175"/>
      <c r="IVI23" s="175"/>
      <c r="IVJ23" s="175"/>
      <c r="IVK23" s="175"/>
      <c r="IVL23" s="175"/>
      <c r="IVM23" s="175"/>
      <c r="IVN23" s="175"/>
      <c r="IVO23" s="175"/>
      <c r="IVP23" s="175"/>
      <c r="IVQ23" s="175"/>
      <c r="IVR23" s="175"/>
      <c r="IVS23" s="175"/>
      <c r="IVT23" s="175"/>
      <c r="IVU23" s="175"/>
      <c r="IVV23" s="175"/>
      <c r="IVW23" s="175"/>
      <c r="IVX23" s="175"/>
      <c r="IVY23" s="175"/>
      <c r="IVZ23" s="175"/>
      <c r="IWA23" s="175"/>
      <c r="IWB23" s="175"/>
      <c r="IWC23" s="175"/>
      <c r="IWD23" s="175"/>
      <c r="IWE23" s="175"/>
      <c r="IWF23" s="175"/>
      <c r="IWG23" s="175"/>
      <c r="IWH23" s="175"/>
      <c r="IWI23" s="175"/>
      <c r="IWJ23" s="175"/>
      <c r="IWK23" s="175"/>
      <c r="IWL23" s="175"/>
      <c r="IWM23" s="175"/>
      <c r="IWN23" s="175"/>
      <c r="IWO23" s="175"/>
      <c r="IWP23" s="175"/>
      <c r="IWQ23" s="175"/>
      <c r="IWR23" s="175"/>
      <c r="IWS23" s="175"/>
      <c r="IWT23" s="175"/>
      <c r="IWU23" s="175"/>
      <c r="IWV23" s="175"/>
      <c r="IWW23" s="175"/>
      <c r="IWX23" s="175"/>
      <c r="IWY23" s="175"/>
      <c r="IWZ23" s="175"/>
      <c r="IXA23" s="175"/>
      <c r="IXB23" s="175"/>
      <c r="IXC23" s="175"/>
      <c r="IXD23" s="175"/>
      <c r="IXE23" s="175"/>
      <c r="IXF23" s="175"/>
      <c r="IXG23" s="175"/>
      <c r="IXH23" s="175"/>
      <c r="IXI23" s="175"/>
      <c r="IXJ23" s="175"/>
      <c r="IXK23" s="175"/>
      <c r="IXL23" s="175"/>
      <c r="IXM23" s="175"/>
      <c r="IXN23" s="175"/>
      <c r="IXO23" s="175"/>
      <c r="IXP23" s="175"/>
      <c r="IXQ23" s="175"/>
      <c r="IXR23" s="175"/>
      <c r="IXS23" s="175"/>
      <c r="IXT23" s="175"/>
      <c r="IXU23" s="175"/>
      <c r="IXV23" s="175"/>
      <c r="IXW23" s="175"/>
      <c r="IXX23" s="175"/>
      <c r="IXY23" s="175"/>
      <c r="IXZ23" s="175"/>
      <c r="IYA23" s="175"/>
      <c r="IYB23" s="175"/>
      <c r="IYC23" s="175"/>
      <c r="IYD23" s="175"/>
      <c r="IYE23" s="175"/>
      <c r="IYF23" s="175"/>
      <c r="IYG23" s="175"/>
      <c r="IYH23" s="175"/>
      <c r="IYI23" s="175"/>
      <c r="IYJ23" s="175"/>
      <c r="IYK23" s="175"/>
      <c r="IYL23" s="175"/>
      <c r="IYM23" s="175"/>
      <c r="IYN23" s="175"/>
      <c r="IYO23" s="175"/>
      <c r="IYP23" s="175"/>
      <c r="IYQ23" s="175"/>
      <c r="IYR23" s="175"/>
      <c r="IYS23" s="175"/>
      <c r="IYT23" s="175"/>
      <c r="IYU23" s="175"/>
      <c r="IYV23" s="175"/>
      <c r="IYW23" s="175"/>
      <c r="IYX23" s="175"/>
      <c r="IYY23" s="175"/>
      <c r="IYZ23" s="175"/>
      <c r="IZA23" s="175"/>
      <c r="IZB23" s="175"/>
      <c r="IZC23" s="175"/>
      <c r="IZD23" s="175"/>
      <c r="IZE23" s="175"/>
      <c r="IZF23" s="175"/>
      <c r="IZG23" s="175"/>
      <c r="IZH23" s="175"/>
      <c r="IZI23" s="175"/>
      <c r="IZJ23" s="175"/>
      <c r="IZK23" s="175"/>
      <c r="IZL23" s="175"/>
      <c r="IZM23" s="175"/>
      <c r="IZN23" s="175"/>
      <c r="IZO23" s="175"/>
      <c r="IZP23" s="175"/>
      <c r="IZQ23" s="175"/>
      <c r="IZR23" s="175"/>
      <c r="IZS23" s="175"/>
      <c r="IZT23" s="175"/>
      <c r="IZU23" s="175"/>
      <c r="IZV23" s="175"/>
      <c r="IZW23" s="175"/>
      <c r="IZX23" s="175"/>
      <c r="IZY23" s="175"/>
      <c r="IZZ23" s="175"/>
      <c r="JAA23" s="175"/>
      <c r="JAB23" s="175"/>
      <c r="JAC23" s="175"/>
      <c r="JAD23" s="175"/>
      <c r="JAE23" s="175"/>
      <c r="JAF23" s="175"/>
      <c r="JAG23" s="175"/>
      <c r="JAH23" s="175"/>
      <c r="JAI23" s="175"/>
      <c r="JAJ23" s="175"/>
      <c r="JAK23" s="175"/>
      <c r="JAL23" s="175"/>
      <c r="JAM23" s="175"/>
      <c r="JAN23" s="175"/>
      <c r="JAO23" s="175"/>
      <c r="JAP23" s="175"/>
      <c r="JAQ23" s="175"/>
      <c r="JAR23" s="175"/>
      <c r="JAS23" s="175"/>
      <c r="JAT23" s="175"/>
      <c r="JAU23" s="175"/>
      <c r="JAV23" s="175"/>
      <c r="JAW23" s="175"/>
      <c r="JAX23" s="175"/>
      <c r="JAY23" s="175"/>
      <c r="JAZ23" s="175"/>
      <c r="JBA23" s="175"/>
      <c r="JBB23" s="175"/>
      <c r="JBC23" s="175"/>
      <c r="JBD23" s="175"/>
      <c r="JBE23" s="175"/>
      <c r="JBF23" s="175"/>
      <c r="JBG23" s="175"/>
      <c r="JBH23" s="175"/>
      <c r="JBI23" s="175"/>
      <c r="JBJ23" s="175"/>
      <c r="JBK23" s="175"/>
      <c r="JBL23" s="175"/>
      <c r="JBM23" s="175"/>
      <c r="JBN23" s="175"/>
      <c r="JBO23" s="175"/>
      <c r="JBP23" s="175"/>
      <c r="JBQ23" s="175"/>
      <c r="JBR23" s="175"/>
      <c r="JBS23" s="175"/>
      <c r="JBT23" s="175"/>
      <c r="JBU23" s="175"/>
      <c r="JBV23" s="175"/>
      <c r="JBW23" s="175"/>
      <c r="JBX23" s="175"/>
      <c r="JBY23" s="175"/>
      <c r="JBZ23" s="175"/>
      <c r="JCA23" s="175"/>
      <c r="JCB23" s="175"/>
      <c r="JCC23" s="175"/>
      <c r="JCD23" s="175"/>
      <c r="JCE23" s="175"/>
      <c r="JCF23" s="175"/>
      <c r="JCG23" s="175"/>
      <c r="JCH23" s="175"/>
      <c r="JCI23" s="175"/>
      <c r="JCJ23" s="175"/>
      <c r="JCK23" s="175"/>
      <c r="JCL23" s="175"/>
      <c r="JCM23" s="175"/>
      <c r="JCN23" s="175"/>
      <c r="JCO23" s="175"/>
      <c r="JCP23" s="175"/>
      <c r="JCQ23" s="175"/>
      <c r="JCR23" s="175"/>
      <c r="JCS23" s="175"/>
      <c r="JCT23" s="175"/>
      <c r="JCU23" s="175"/>
      <c r="JCV23" s="175"/>
      <c r="JCW23" s="175"/>
      <c r="JCX23" s="175"/>
      <c r="JCY23" s="175"/>
      <c r="JCZ23" s="175"/>
      <c r="JDA23" s="175"/>
      <c r="JDB23" s="175"/>
      <c r="JDC23" s="175"/>
      <c r="JDD23" s="175"/>
      <c r="JDE23" s="175"/>
      <c r="JDF23" s="175"/>
      <c r="JDG23" s="175"/>
      <c r="JDH23" s="175"/>
      <c r="JDI23" s="175"/>
      <c r="JDJ23" s="175"/>
      <c r="JDK23" s="175"/>
      <c r="JDL23" s="175"/>
      <c r="JDM23" s="175"/>
      <c r="JDN23" s="175"/>
      <c r="JDO23" s="175"/>
      <c r="JDP23" s="175"/>
      <c r="JDQ23" s="175"/>
      <c r="JDR23" s="175"/>
      <c r="JDS23" s="175"/>
      <c r="JDT23" s="175"/>
      <c r="JDU23" s="175"/>
      <c r="JDV23" s="175"/>
      <c r="JDW23" s="175"/>
      <c r="JDX23" s="175"/>
      <c r="JDY23" s="175"/>
      <c r="JDZ23" s="175"/>
      <c r="JEA23" s="175"/>
      <c r="JEB23" s="175"/>
      <c r="JEC23" s="175"/>
      <c r="JED23" s="175"/>
      <c r="JEE23" s="175"/>
      <c r="JEF23" s="175"/>
      <c r="JEG23" s="175"/>
      <c r="JEH23" s="175"/>
      <c r="JEI23" s="175"/>
      <c r="JEJ23" s="175"/>
      <c r="JEK23" s="175"/>
      <c r="JEL23" s="175"/>
      <c r="JEM23" s="175"/>
      <c r="JEN23" s="175"/>
      <c r="JEO23" s="175"/>
      <c r="JEP23" s="175"/>
      <c r="JEQ23" s="175"/>
      <c r="JER23" s="175"/>
      <c r="JES23" s="175"/>
      <c r="JET23" s="175"/>
      <c r="JEU23" s="175"/>
      <c r="JEV23" s="175"/>
      <c r="JEW23" s="175"/>
      <c r="JEX23" s="175"/>
      <c r="JEY23" s="175"/>
      <c r="JEZ23" s="175"/>
      <c r="JFA23" s="175"/>
      <c r="JFB23" s="175"/>
      <c r="JFC23" s="175"/>
      <c r="JFD23" s="175"/>
      <c r="JFE23" s="175"/>
      <c r="JFF23" s="175"/>
      <c r="JFG23" s="175"/>
      <c r="JFH23" s="175"/>
      <c r="JFI23" s="175"/>
      <c r="JFJ23" s="175"/>
      <c r="JFK23" s="175"/>
      <c r="JFL23" s="175"/>
      <c r="JFM23" s="175"/>
      <c r="JFN23" s="175"/>
      <c r="JFO23" s="175"/>
      <c r="JFP23" s="175"/>
      <c r="JFQ23" s="175"/>
      <c r="JFR23" s="175"/>
      <c r="JFS23" s="175"/>
      <c r="JFT23" s="175"/>
      <c r="JFU23" s="175"/>
      <c r="JFV23" s="175"/>
      <c r="JFW23" s="175"/>
      <c r="JFX23" s="175"/>
      <c r="JFY23" s="175"/>
      <c r="JFZ23" s="175"/>
      <c r="JGA23" s="175"/>
      <c r="JGB23" s="175"/>
      <c r="JGC23" s="175"/>
      <c r="JGD23" s="175"/>
      <c r="JGE23" s="175"/>
      <c r="JGF23" s="175"/>
      <c r="JGG23" s="175"/>
      <c r="JGH23" s="175"/>
      <c r="JGI23" s="175"/>
      <c r="JGJ23" s="175"/>
      <c r="JGK23" s="175"/>
      <c r="JGL23" s="175"/>
      <c r="JGM23" s="175"/>
      <c r="JGN23" s="175"/>
      <c r="JGO23" s="175"/>
      <c r="JGP23" s="175"/>
      <c r="JGQ23" s="175"/>
      <c r="JGR23" s="175"/>
      <c r="JGS23" s="175"/>
      <c r="JGT23" s="175"/>
      <c r="JGU23" s="175"/>
      <c r="JGV23" s="175"/>
      <c r="JGW23" s="175"/>
      <c r="JGX23" s="175"/>
      <c r="JGY23" s="175"/>
      <c r="JGZ23" s="175"/>
      <c r="JHA23" s="175"/>
      <c r="JHB23" s="175"/>
      <c r="JHC23" s="175"/>
      <c r="JHD23" s="175"/>
      <c r="JHE23" s="175"/>
      <c r="JHF23" s="175"/>
      <c r="JHG23" s="175"/>
      <c r="JHH23" s="175"/>
      <c r="JHI23" s="175"/>
      <c r="JHJ23" s="175"/>
      <c r="JHK23" s="175"/>
      <c r="JHL23" s="175"/>
      <c r="JHM23" s="175"/>
      <c r="JHN23" s="175"/>
      <c r="JHO23" s="175"/>
      <c r="JHP23" s="175"/>
      <c r="JHQ23" s="175"/>
      <c r="JHR23" s="175"/>
      <c r="JHS23" s="175"/>
      <c r="JHT23" s="175"/>
      <c r="JHU23" s="175"/>
      <c r="JHV23" s="175"/>
      <c r="JHW23" s="175"/>
      <c r="JHX23" s="175"/>
      <c r="JHY23" s="175"/>
      <c r="JHZ23" s="175"/>
      <c r="JIA23" s="175"/>
      <c r="JIB23" s="175"/>
      <c r="JIC23" s="175"/>
      <c r="JID23" s="175"/>
      <c r="JIE23" s="175"/>
      <c r="JIF23" s="175"/>
      <c r="JIG23" s="175"/>
      <c r="JIH23" s="175"/>
      <c r="JII23" s="175"/>
      <c r="JIJ23" s="175"/>
      <c r="JIK23" s="175"/>
      <c r="JIL23" s="175"/>
      <c r="JIM23" s="175"/>
      <c r="JIN23" s="175"/>
      <c r="JIO23" s="175"/>
      <c r="JIP23" s="175"/>
      <c r="JIQ23" s="175"/>
      <c r="JIR23" s="175"/>
      <c r="JIS23" s="175"/>
      <c r="JIT23" s="175"/>
      <c r="JIU23" s="175"/>
      <c r="JIV23" s="175"/>
      <c r="JIW23" s="175"/>
      <c r="JIX23" s="175"/>
      <c r="JIY23" s="175"/>
      <c r="JIZ23" s="175"/>
      <c r="JJA23" s="175"/>
      <c r="JJB23" s="175"/>
      <c r="JJC23" s="175"/>
      <c r="JJD23" s="175"/>
      <c r="JJE23" s="175"/>
      <c r="JJF23" s="175"/>
      <c r="JJG23" s="175"/>
      <c r="JJH23" s="175"/>
      <c r="JJI23" s="175"/>
      <c r="JJJ23" s="175"/>
      <c r="JJK23" s="175"/>
      <c r="JJL23" s="175"/>
      <c r="JJM23" s="175"/>
      <c r="JJN23" s="175"/>
      <c r="JJO23" s="175"/>
      <c r="JJP23" s="175"/>
      <c r="JJQ23" s="175"/>
      <c r="JJR23" s="175"/>
      <c r="JJS23" s="175"/>
      <c r="JJT23" s="175"/>
      <c r="JJU23" s="175"/>
      <c r="JJV23" s="175"/>
      <c r="JJW23" s="175"/>
      <c r="JJX23" s="175"/>
      <c r="JJY23" s="175"/>
      <c r="JJZ23" s="175"/>
      <c r="JKA23" s="175"/>
      <c r="JKB23" s="175"/>
      <c r="JKC23" s="175"/>
      <c r="JKD23" s="175"/>
      <c r="JKE23" s="175"/>
      <c r="JKF23" s="175"/>
      <c r="JKG23" s="175"/>
      <c r="JKH23" s="175"/>
      <c r="JKI23" s="175"/>
      <c r="JKJ23" s="175"/>
      <c r="JKK23" s="175"/>
      <c r="JKL23" s="175"/>
      <c r="JKM23" s="175"/>
      <c r="JKN23" s="175"/>
      <c r="JKO23" s="175"/>
      <c r="JKP23" s="175"/>
      <c r="JKQ23" s="175"/>
      <c r="JKR23" s="175"/>
      <c r="JKS23" s="175"/>
      <c r="JKT23" s="175"/>
      <c r="JKU23" s="175"/>
      <c r="JKV23" s="175"/>
      <c r="JKW23" s="175"/>
      <c r="JKX23" s="175"/>
      <c r="JKY23" s="175"/>
      <c r="JKZ23" s="175"/>
      <c r="JLA23" s="175"/>
      <c r="JLB23" s="175"/>
      <c r="JLC23" s="175"/>
      <c r="JLD23" s="175"/>
      <c r="JLE23" s="175"/>
      <c r="JLF23" s="175"/>
      <c r="JLG23" s="175"/>
      <c r="JLH23" s="175"/>
      <c r="JLI23" s="175"/>
      <c r="JLJ23" s="175"/>
      <c r="JLK23" s="175"/>
      <c r="JLL23" s="175"/>
      <c r="JLM23" s="175"/>
      <c r="JLN23" s="175"/>
      <c r="JLO23" s="175"/>
      <c r="JLP23" s="175"/>
      <c r="JLQ23" s="175"/>
      <c r="JLR23" s="175"/>
      <c r="JLS23" s="175"/>
      <c r="JLT23" s="175"/>
      <c r="JLU23" s="175"/>
      <c r="JLV23" s="175"/>
      <c r="JLW23" s="175"/>
      <c r="JLX23" s="175"/>
      <c r="JLY23" s="175"/>
      <c r="JLZ23" s="175"/>
      <c r="JMA23" s="175"/>
      <c r="JMB23" s="175"/>
      <c r="JMC23" s="175"/>
      <c r="JMD23" s="175"/>
      <c r="JME23" s="175"/>
      <c r="JMF23" s="175"/>
      <c r="JMG23" s="175"/>
      <c r="JMH23" s="175"/>
      <c r="JMI23" s="175"/>
      <c r="JMJ23" s="175"/>
      <c r="JMK23" s="175"/>
      <c r="JML23" s="175"/>
      <c r="JMM23" s="175"/>
      <c r="JMN23" s="175"/>
      <c r="JMO23" s="175"/>
      <c r="JMP23" s="175"/>
      <c r="JMQ23" s="175"/>
      <c r="JMR23" s="175"/>
      <c r="JMS23" s="175"/>
      <c r="JMT23" s="175"/>
      <c r="JMU23" s="175"/>
      <c r="JMV23" s="175"/>
      <c r="JMW23" s="175"/>
      <c r="JMX23" s="175"/>
      <c r="JMY23" s="175"/>
      <c r="JMZ23" s="175"/>
      <c r="JNA23" s="175"/>
      <c r="JNB23" s="175"/>
      <c r="JNC23" s="175"/>
      <c r="JND23" s="175"/>
      <c r="JNE23" s="175"/>
      <c r="JNF23" s="175"/>
      <c r="JNG23" s="175"/>
      <c r="JNH23" s="175"/>
      <c r="JNI23" s="175"/>
      <c r="JNJ23" s="175"/>
      <c r="JNK23" s="175"/>
      <c r="JNL23" s="175"/>
      <c r="JNM23" s="175"/>
      <c r="JNN23" s="175"/>
      <c r="JNO23" s="175"/>
      <c r="JNP23" s="175"/>
      <c r="JNQ23" s="175"/>
      <c r="JNR23" s="175"/>
      <c r="JNS23" s="175"/>
      <c r="JNT23" s="175"/>
      <c r="JNU23" s="175"/>
      <c r="JNV23" s="175"/>
      <c r="JNW23" s="175"/>
      <c r="JNX23" s="175"/>
      <c r="JNY23" s="175"/>
      <c r="JNZ23" s="175"/>
      <c r="JOA23" s="175"/>
      <c r="JOB23" s="175"/>
      <c r="JOC23" s="175"/>
      <c r="JOD23" s="175"/>
      <c r="JOE23" s="175"/>
      <c r="JOF23" s="175"/>
      <c r="JOG23" s="175"/>
      <c r="JOH23" s="175"/>
      <c r="JOI23" s="175"/>
      <c r="JOJ23" s="175"/>
      <c r="JOK23" s="175"/>
      <c r="JOL23" s="175"/>
      <c r="JOM23" s="175"/>
      <c r="JON23" s="175"/>
      <c r="JOO23" s="175"/>
      <c r="JOP23" s="175"/>
      <c r="JOQ23" s="175"/>
      <c r="JOR23" s="175"/>
      <c r="JOS23" s="175"/>
      <c r="JOT23" s="175"/>
      <c r="JOU23" s="175"/>
      <c r="JOV23" s="175"/>
      <c r="JOW23" s="175"/>
      <c r="JOX23" s="175"/>
      <c r="JOY23" s="175"/>
      <c r="JOZ23" s="175"/>
      <c r="JPA23" s="175"/>
      <c r="JPB23" s="175"/>
      <c r="JPC23" s="175"/>
      <c r="JPD23" s="175"/>
      <c r="JPE23" s="175"/>
      <c r="JPF23" s="175"/>
      <c r="JPG23" s="175"/>
      <c r="JPH23" s="175"/>
      <c r="JPI23" s="175"/>
      <c r="JPJ23" s="175"/>
      <c r="JPK23" s="175"/>
      <c r="JPL23" s="175"/>
      <c r="JPM23" s="175"/>
      <c r="JPN23" s="175"/>
      <c r="JPO23" s="175"/>
      <c r="JPP23" s="175"/>
      <c r="JPQ23" s="175"/>
      <c r="JPR23" s="175"/>
      <c r="JPS23" s="175"/>
      <c r="JPT23" s="175"/>
      <c r="JPU23" s="175"/>
      <c r="JPV23" s="175"/>
      <c r="JPW23" s="175"/>
      <c r="JPX23" s="175"/>
      <c r="JPY23" s="175"/>
      <c r="JPZ23" s="175"/>
      <c r="JQA23" s="175"/>
      <c r="JQB23" s="175"/>
      <c r="JQC23" s="175"/>
      <c r="JQD23" s="175"/>
      <c r="JQE23" s="175"/>
      <c r="JQF23" s="175"/>
      <c r="JQG23" s="175"/>
      <c r="JQH23" s="175"/>
      <c r="JQI23" s="175"/>
      <c r="JQJ23" s="175"/>
      <c r="JQK23" s="175"/>
      <c r="JQL23" s="175"/>
      <c r="JQM23" s="175"/>
      <c r="JQN23" s="175"/>
      <c r="JQO23" s="175"/>
      <c r="JQP23" s="175"/>
      <c r="JQQ23" s="175"/>
      <c r="JQR23" s="175"/>
      <c r="JQS23" s="175"/>
      <c r="JQT23" s="175"/>
      <c r="JQU23" s="175"/>
      <c r="JQV23" s="175"/>
      <c r="JQW23" s="175"/>
      <c r="JQX23" s="175"/>
      <c r="JQY23" s="175"/>
      <c r="JQZ23" s="175"/>
      <c r="JRA23" s="175"/>
      <c r="JRB23" s="175"/>
      <c r="JRC23" s="175"/>
      <c r="JRD23" s="175"/>
      <c r="JRE23" s="175"/>
      <c r="JRF23" s="175"/>
      <c r="JRG23" s="175"/>
      <c r="JRH23" s="175"/>
      <c r="JRI23" s="175"/>
      <c r="JRJ23" s="175"/>
      <c r="JRK23" s="175"/>
      <c r="JRL23" s="175"/>
      <c r="JRM23" s="175"/>
      <c r="JRN23" s="175"/>
      <c r="JRO23" s="175"/>
      <c r="JRP23" s="175"/>
      <c r="JRQ23" s="175"/>
      <c r="JRR23" s="175"/>
      <c r="JRS23" s="175"/>
      <c r="JRT23" s="175"/>
      <c r="JRU23" s="175"/>
      <c r="JRV23" s="175"/>
      <c r="JRW23" s="175"/>
      <c r="JRX23" s="175"/>
      <c r="JRY23" s="175"/>
      <c r="JRZ23" s="175"/>
      <c r="JSA23" s="175"/>
      <c r="JSB23" s="175"/>
      <c r="JSC23" s="175"/>
      <c r="JSD23" s="175"/>
      <c r="JSE23" s="175"/>
      <c r="JSF23" s="175"/>
      <c r="JSG23" s="175"/>
      <c r="JSH23" s="175"/>
      <c r="JSI23" s="175"/>
      <c r="JSJ23" s="175"/>
      <c r="JSK23" s="175"/>
      <c r="JSL23" s="175"/>
      <c r="JSM23" s="175"/>
      <c r="JSN23" s="175"/>
      <c r="JSO23" s="175"/>
      <c r="JSP23" s="175"/>
      <c r="JSQ23" s="175"/>
      <c r="JSR23" s="175"/>
      <c r="JSS23" s="175"/>
      <c r="JST23" s="175"/>
      <c r="JSU23" s="175"/>
      <c r="JSV23" s="175"/>
      <c r="JSW23" s="175"/>
      <c r="JSX23" s="175"/>
      <c r="JSY23" s="175"/>
      <c r="JSZ23" s="175"/>
      <c r="JTA23" s="175"/>
      <c r="JTB23" s="175"/>
      <c r="JTC23" s="175"/>
      <c r="JTD23" s="175"/>
      <c r="JTE23" s="175"/>
      <c r="JTF23" s="175"/>
      <c r="JTG23" s="175"/>
      <c r="JTH23" s="175"/>
      <c r="JTI23" s="175"/>
      <c r="JTJ23" s="175"/>
      <c r="JTK23" s="175"/>
      <c r="JTL23" s="175"/>
      <c r="JTM23" s="175"/>
      <c r="JTN23" s="175"/>
      <c r="JTO23" s="175"/>
      <c r="JTP23" s="175"/>
      <c r="JTQ23" s="175"/>
      <c r="JTR23" s="175"/>
      <c r="JTS23" s="175"/>
      <c r="JTT23" s="175"/>
      <c r="JTU23" s="175"/>
      <c r="JTV23" s="175"/>
      <c r="JTW23" s="175"/>
      <c r="JTX23" s="175"/>
      <c r="JTY23" s="175"/>
      <c r="JTZ23" s="175"/>
      <c r="JUA23" s="175"/>
      <c r="JUB23" s="175"/>
      <c r="JUC23" s="175"/>
      <c r="JUD23" s="175"/>
      <c r="JUE23" s="175"/>
      <c r="JUF23" s="175"/>
      <c r="JUG23" s="175"/>
      <c r="JUH23" s="175"/>
      <c r="JUI23" s="175"/>
      <c r="JUJ23" s="175"/>
      <c r="JUK23" s="175"/>
      <c r="JUL23" s="175"/>
      <c r="JUM23" s="175"/>
      <c r="JUN23" s="175"/>
      <c r="JUO23" s="175"/>
      <c r="JUP23" s="175"/>
      <c r="JUQ23" s="175"/>
      <c r="JUR23" s="175"/>
      <c r="JUS23" s="175"/>
      <c r="JUT23" s="175"/>
      <c r="JUU23" s="175"/>
      <c r="JUV23" s="175"/>
      <c r="JUW23" s="175"/>
      <c r="JUX23" s="175"/>
      <c r="JUY23" s="175"/>
      <c r="JUZ23" s="175"/>
      <c r="JVA23" s="175"/>
      <c r="JVB23" s="175"/>
      <c r="JVC23" s="175"/>
      <c r="JVD23" s="175"/>
      <c r="JVE23" s="175"/>
      <c r="JVF23" s="175"/>
      <c r="JVG23" s="175"/>
      <c r="JVH23" s="175"/>
      <c r="JVI23" s="175"/>
      <c r="JVJ23" s="175"/>
      <c r="JVK23" s="175"/>
      <c r="JVL23" s="175"/>
      <c r="JVM23" s="175"/>
      <c r="JVN23" s="175"/>
      <c r="JVO23" s="175"/>
      <c r="JVP23" s="175"/>
      <c r="JVQ23" s="175"/>
      <c r="JVR23" s="175"/>
      <c r="JVS23" s="175"/>
      <c r="JVT23" s="175"/>
      <c r="JVU23" s="175"/>
      <c r="JVV23" s="175"/>
      <c r="JVW23" s="175"/>
      <c r="JVX23" s="175"/>
      <c r="JVY23" s="175"/>
      <c r="JVZ23" s="175"/>
      <c r="JWA23" s="175"/>
      <c r="JWB23" s="175"/>
      <c r="JWC23" s="175"/>
      <c r="JWD23" s="175"/>
      <c r="JWE23" s="175"/>
      <c r="JWF23" s="175"/>
      <c r="JWG23" s="175"/>
      <c r="JWH23" s="175"/>
      <c r="JWI23" s="175"/>
      <c r="JWJ23" s="175"/>
      <c r="JWK23" s="175"/>
      <c r="JWL23" s="175"/>
      <c r="JWM23" s="175"/>
      <c r="JWN23" s="175"/>
      <c r="JWO23" s="175"/>
      <c r="JWP23" s="175"/>
      <c r="JWQ23" s="175"/>
      <c r="JWR23" s="175"/>
      <c r="JWS23" s="175"/>
      <c r="JWT23" s="175"/>
      <c r="JWU23" s="175"/>
      <c r="JWV23" s="175"/>
      <c r="JWW23" s="175"/>
      <c r="JWX23" s="175"/>
      <c r="JWY23" s="175"/>
      <c r="JWZ23" s="175"/>
      <c r="JXA23" s="175"/>
      <c r="JXB23" s="175"/>
      <c r="JXC23" s="175"/>
      <c r="JXD23" s="175"/>
      <c r="JXE23" s="175"/>
      <c r="JXF23" s="175"/>
      <c r="JXG23" s="175"/>
      <c r="JXH23" s="175"/>
      <c r="JXI23" s="175"/>
      <c r="JXJ23" s="175"/>
      <c r="JXK23" s="175"/>
      <c r="JXL23" s="175"/>
      <c r="JXM23" s="175"/>
      <c r="JXN23" s="175"/>
      <c r="JXO23" s="175"/>
      <c r="JXP23" s="175"/>
      <c r="JXQ23" s="175"/>
      <c r="JXR23" s="175"/>
      <c r="JXS23" s="175"/>
      <c r="JXT23" s="175"/>
      <c r="JXU23" s="175"/>
      <c r="JXV23" s="175"/>
      <c r="JXW23" s="175"/>
      <c r="JXX23" s="175"/>
      <c r="JXY23" s="175"/>
      <c r="JXZ23" s="175"/>
      <c r="JYA23" s="175"/>
      <c r="JYB23" s="175"/>
      <c r="JYC23" s="175"/>
      <c r="JYD23" s="175"/>
      <c r="JYE23" s="175"/>
      <c r="JYF23" s="175"/>
      <c r="JYG23" s="175"/>
      <c r="JYH23" s="175"/>
      <c r="JYI23" s="175"/>
      <c r="JYJ23" s="175"/>
      <c r="JYK23" s="175"/>
      <c r="JYL23" s="175"/>
      <c r="JYM23" s="175"/>
      <c r="JYN23" s="175"/>
      <c r="JYO23" s="175"/>
      <c r="JYP23" s="175"/>
      <c r="JYQ23" s="175"/>
      <c r="JYR23" s="175"/>
      <c r="JYS23" s="175"/>
      <c r="JYT23" s="175"/>
      <c r="JYU23" s="175"/>
      <c r="JYV23" s="175"/>
      <c r="JYW23" s="175"/>
      <c r="JYX23" s="175"/>
      <c r="JYY23" s="175"/>
      <c r="JYZ23" s="175"/>
      <c r="JZA23" s="175"/>
      <c r="JZB23" s="175"/>
      <c r="JZC23" s="175"/>
      <c r="JZD23" s="175"/>
      <c r="JZE23" s="175"/>
      <c r="JZF23" s="175"/>
      <c r="JZG23" s="175"/>
      <c r="JZH23" s="175"/>
      <c r="JZI23" s="175"/>
      <c r="JZJ23" s="175"/>
      <c r="JZK23" s="175"/>
      <c r="JZL23" s="175"/>
      <c r="JZM23" s="175"/>
      <c r="JZN23" s="175"/>
      <c r="JZO23" s="175"/>
      <c r="JZP23" s="175"/>
      <c r="JZQ23" s="175"/>
      <c r="JZR23" s="175"/>
      <c r="JZS23" s="175"/>
      <c r="JZT23" s="175"/>
      <c r="JZU23" s="175"/>
      <c r="JZV23" s="175"/>
      <c r="JZW23" s="175"/>
      <c r="JZX23" s="175"/>
      <c r="JZY23" s="175"/>
      <c r="JZZ23" s="175"/>
      <c r="KAA23" s="175"/>
      <c r="KAB23" s="175"/>
      <c r="KAC23" s="175"/>
      <c r="KAD23" s="175"/>
      <c r="KAE23" s="175"/>
      <c r="KAF23" s="175"/>
      <c r="KAG23" s="175"/>
      <c r="KAH23" s="175"/>
      <c r="KAI23" s="175"/>
      <c r="KAJ23" s="175"/>
      <c r="KAK23" s="175"/>
      <c r="KAL23" s="175"/>
      <c r="KAM23" s="175"/>
      <c r="KAN23" s="175"/>
      <c r="KAO23" s="175"/>
      <c r="KAP23" s="175"/>
      <c r="KAQ23" s="175"/>
      <c r="KAR23" s="175"/>
      <c r="KAS23" s="175"/>
      <c r="KAT23" s="175"/>
      <c r="KAU23" s="175"/>
      <c r="KAV23" s="175"/>
      <c r="KAW23" s="175"/>
      <c r="KAX23" s="175"/>
      <c r="KAY23" s="175"/>
      <c r="KAZ23" s="175"/>
      <c r="KBA23" s="175"/>
      <c r="KBB23" s="175"/>
      <c r="KBC23" s="175"/>
      <c r="KBD23" s="175"/>
      <c r="KBE23" s="175"/>
      <c r="KBF23" s="175"/>
      <c r="KBG23" s="175"/>
      <c r="KBH23" s="175"/>
      <c r="KBI23" s="175"/>
      <c r="KBJ23" s="175"/>
      <c r="KBK23" s="175"/>
      <c r="KBL23" s="175"/>
      <c r="KBM23" s="175"/>
      <c r="KBN23" s="175"/>
      <c r="KBO23" s="175"/>
      <c r="KBP23" s="175"/>
      <c r="KBQ23" s="175"/>
      <c r="KBR23" s="175"/>
      <c r="KBS23" s="175"/>
      <c r="KBT23" s="175"/>
      <c r="KBU23" s="175"/>
      <c r="KBV23" s="175"/>
      <c r="KBW23" s="175"/>
      <c r="KBX23" s="175"/>
      <c r="KBY23" s="175"/>
      <c r="KBZ23" s="175"/>
      <c r="KCA23" s="175"/>
      <c r="KCB23" s="175"/>
      <c r="KCC23" s="175"/>
      <c r="KCD23" s="175"/>
      <c r="KCE23" s="175"/>
      <c r="KCF23" s="175"/>
      <c r="KCG23" s="175"/>
      <c r="KCH23" s="175"/>
      <c r="KCI23" s="175"/>
      <c r="KCJ23" s="175"/>
      <c r="KCK23" s="175"/>
      <c r="KCL23" s="175"/>
      <c r="KCM23" s="175"/>
      <c r="KCN23" s="175"/>
      <c r="KCO23" s="175"/>
      <c r="KCP23" s="175"/>
      <c r="KCQ23" s="175"/>
      <c r="KCR23" s="175"/>
      <c r="KCS23" s="175"/>
      <c r="KCT23" s="175"/>
      <c r="KCU23" s="175"/>
      <c r="KCV23" s="175"/>
      <c r="KCW23" s="175"/>
      <c r="KCX23" s="175"/>
      <c r="KCY23" s="175"/>
      <c r="KCZ23" s="175"/>
      <c r="KDA23" s="175"/>
      <c r="KDB23" s="175"/>
      <c r="KDC23" s="175"/>
      <c r="KDD23" s="175"/>
      <c r="KDE23" s="175"/>
      <c r="KDF23" s="175"/>
      <c r="KDG23" s="175"/>
      <c r="KDH23" s="175"/>
      <c r="KDI23" s="175"/>
      <c r="KDJ23" s="175"/>
      <c r="KDK23" s="175"/>
      <c r="KDL23" s="175"/>
      <c r="KDM23" s="175"/>
      <c r="KDN23" s="175"/>
      <c r="KDO23" s="175"/>
      <c r="KDP23" s="175"/>
      <c r="KDQ23" s="175"/>
      <c r="KDR23" s="175"/>
      <c r="KDS23" s="175"/>
      <c r="KDT23" s="175"/>
      <c r="KDU23" s="175"/>
      <c r="KDV23" s="175"/>
      <c r="KDW23" s="175"/>
      <c r="KDX23" s="175"/>
      <c r="KDY23" s="175"/>
      <c r="KDZ23" s="175"/>
      <c r="KEA23" s="175"/>
      <c r="KEB23" s="175"/>
      <c r="KEC23" s="175"/>
      <c r="KED23" s="175"/>
      <c r="KEE23" s="175"/>
      <c r="KEF23" s="175"/>
      <c r="KEG23" s="175"/>
      <c r="KEH23" s="175"/>
      <c r="KEI23" s="175"/>
      <c r="KEJ23" s="175"/>
      <c r="KEK23" s="175"/>
      <c r="KEL23" s="175"/>
      <c r="KEM23" s="175"/>
      <c r="KEN23" s="175"/>
      <c r="KEO23" s="175"/>
      <c r="KEP23" s="175"/>
      <c r="KEQ23" s="175"/>
      <c r="KER23" s="175"/>
      <c r="KES23" s="175"/>
      <c r="KET23" s="175"/>
      <c r="KEU23" s="175"/>
      <c r="KEV23" s="175"/>
      <c r="KEW23" s="175"/>
      <c r="KEX23" s="175"/>
      <c r="KEY23" s="175"/>
      <c r="KEZ23" s="175"/>
      <c r="KFA23" s="175"/>
      <c r="KFB23" s="175"/>
      <c r="KFC23" s="175"/>
      <c r="KFD23" s="175"/>
      <c r="KFE23" s="175"/>
      <c r="KFF23" s="175"/>
      <c r="KFG23" s="175"/>
      <c r="KFH23" s="175"/>
      <c r="KFI23" s="175"/>
      <c r="KFJ23" s="175"/>
      <c r="KFK23" s="175"/>
      <c r="KFL23" s="175"/>
      <c r="KFM23" s="175"/>
      <c r="KFN23" s="175"/>
      <c r="KFO23" s="175"/>
      <c r="KFP23" s="175"/>
      <c r="KFQ23" s="175"/>
      <c r="KFR23" s="175"/>
      <c r="KFS23" s="175"/>
      <c r="KFT23" s="175"/>
      <c r="KFU23" s="175"/>
      <c r="KFV23" s="175"/>
      <c r="KFW23" s="175"/>
      <c r="KFX23" s="175"/>
      <c r="KFY23" s="175"/>
      <c r="KFZ23" s="175"/>
      <c r="KGA23" s="175"/>
      <c r="KGB23" s="175"/>
      <c r="KGC23" s="175"/>
      <c r="KGD23" s="175"/>
      <c r="KGE23" s="175"/>
      <c r="KGF23" s="175"/>
      <c r="KGG23" s="175"/>
      <c r="KGH23" s="175"/>
      <c r="KGI23" s="175"/>
      <c r="KGJ23" s="175"/>
      <c r="KGK23" s="175"/>
      <c r="KGL23" s="175"/>
      <c r="KGM23" s="175"/>
      <c r="KGN23" s="175"/>
      <c r="KGO23" s="175"/>
      <c r="KGP23" s="175"/>
      <c r="KGQ23" s="175"/>
      <c r="KGR23" s="175"/>
      <c r="KGS23" s="175"/>
      <c r="KGT23" s="175"/>
      <c r="KGU23" s="175"/>
      <c r="KGV23" s="175"/>
      <c r="KGW23" s="175"/>
      <c r="KGX23" s="175"/>
      <c r="KGY23" s="175"/>
      <c r="KGZ23" s="175"/>
      <c r="KHA23" s="175"/>
      <c r="KHB23" s="175"/>
      <c r="KHC23" s="175"/>
      <c r="KHD23" s="175"/>
      <c r="KHE23" s="175"/>
      <c r="KHF23" s="175"/>
      <c r="KHG23" s="175"/>
      <c r="KHH23" s="175"/>
      <c r="KHI23" s="175"/>
      <c r="KHJ23" s="175"/>
      <c r="KHK23" s="175"/>
      <c r="KHL23" s="175"/>
      <c r="KHM23" s="175"/>
      <c r="KHN23" s="175"/>
      <c r="KHO23" s="175"/>
      <c r="KHP23" s="175"/>
      <c r="KHQ23" s="175"/>
      <c r="KHR23" s="175"/>
      <c r="KHS23" s="175"/>
      <c r="KHT23" s="175"/>
      <c r="KHU23" s="175"/>
      <c r="KHV23" s="175"/>
      <c r="KHW23" s="175"/>
      <c r="KHX23" s="175"/>
      <c r="KHY23" s="175"/>
      <c r="KHZ23" s="175"/>
      <c r="KIA23" s="175"/>
      <c r="KIB23" s="175"/>
      <c r="KIC23" s="175"/>
      <c r="KID23" s="175"/>
      <c r="KIE23" s="175"/>
      <c r="KIF23" s="175"/>
      <c r="KIG23" s="175"/>
      <c r="KIH23" s="175"/>
      <c r="KII23" s="175"/>
      <c r="KIJ23" s="175"/>
      <c r="KIK23" s="175"/>
      <c r="KIL23" s="175"/>
      <c r="KIM23" s="175"/>
      <c r="KIN23" s="175"/>
      <c r="KIO23" s="175"/>
      <c r="KIP23" s="175"/>
      <c r="KIQ23" s="175"/>
      <c r="KIR23" s="175"/>
      <c r="KIS23" s="175"/>
      <c r="KIT23" s="175"/>
      <c r="KIU23" s="175"/>
      <c r="KIV23" s="175"/>
      <c r="KIW23" s="175"/>
      <c r="KIX23" s="175"/>
      <c r="KIY23" s="175"/>
      <c r="KIZ23" s="175"/>
      <c r="KJA23" s="175"/>
      <c r="KJB23" s="175"/>
      <c r="KJC23" s="175"/>
      <c r="KJD23" s="175"/>
      <c r="KJE23" s="175"/>
      <c r="KJF23" s="175"/>
      <c r="KJG23" s="175"/>
      <c r="KJH23" s="175"/>
      <c r="KJI23" s="175"/>
      <c r="KJJ23" s="175"/>
      <c r="KJK23" s="175"/>
      <c r="KJL23" s="175"/>
      <c r="KJM23" s="175"/>
      <c r="KJN23" s="175"/>
      <c r="KJO23" s="175"/>
      <c r="KJP23" s="175"/>
      <c r="KJQ23" s="175"/>
      <c r="KJR23" s="175"/>
      <c r="KJS23" s="175"/>
      <c r="KJT23" s="175"/>
      <c r="KJU23" s="175"/>
      <c r="KJV23" s="175"/>
      <c r="KJW23" s="175"/>
      <c r="KJX23" s="175"/>
      <c r="KJY23" s="175"/>
      <c r="KJZ23" s="175"/>
      <c r="KKA23" s="175"/>
      <c r="KKB23" s="175"/>
      <c r="KKC23" s="175"/>
      <c r="KKD23" s="175"/>
      <c r="KKE23" s="175"/>
      <c r="KKF23" s="175"/>
      <c r="KKG23" s="175"/>
      <c r="KKH23" s="175"/>
      <c r="KKI23" s="175"/>
      <c r="KKJ23" s="175"/>
      <c r="KKK23" s="175"/>
      <c r="KKL23" s="175"/>
      <c r="KKM23" s="175"/>
      <c r="KKN23" s="175"/>
      <c r="KKO23" s="175"/>
      <c r="KKP23" s="175"/>
      <c r="KKQ23" s="175"/>
      <c r="KKR23" s="175"/>
      <c r="KKS23" s="175"/>
      <c r="KKT23" s="175"/>
      <c r="KKU23" s="175"/>
      <c r="KKV23" s="175"/>
      <c r="KKW23" s="175"/>
      <c r="KKX23" s="175"/>
      <c r="KKY23" s="175"/>
      <c r="KKZ23" s="175"/>
      <c r="KLA23" s="175"/>
      <c r="KLB23" s="175"/>
      <c r="KLC23" s="175"/>
      <c r="KLD23" s="175"/>
      <c r="KLE23" s="175"/>
      <c r="KLF23" s="175"/>
      <c r="KLG23" s="175"/>
      <c r="KLH23" s="175"/>
      <c r="KLI23" s="175"/>
      <c r="KLJ23" s="175"/>
      <c r="KLK23" s="175"/>
      <c r="KLL23" s="175"/>
      <c r="KLM23" s="175"/>
      <c r="KLN23" s="175"/>
      <c r="KLO23" s="175"/>
      <c r="KLP23" s="175"/>
      <c r="KLQ23" s="175"/>
      <c r="KLR23" s="175"/>
      <c r="KLS23" s="175"/>
      <c r="KLT23" s="175"/>
      <c r="KLU23" s="175"/>
      <c r="KLV23" s="175"/>
      <c r="KLW23" s="175"/>
      <c r="KLX23" s="175"/>
      <c r="KLY23" s="175"/>
      <c r="KLZ23" s="175"/>
      <c r="KMA23" s="175"/>
      <c r="KMB23" s="175"/>
      <c r="KMC23" s="175"/>
      <c r="KMD23" s="175"/>
      <c r="KME23" s="175"/>
      <c r="KMF23" s="175"/>
      <c r="KMG23" s="175"/>
      <c r="KMH23" s="175"/>
      <c r="KMI23" s="175"/>
      <c r="KMJ23" s="175"/>
      <c r="KMK23" s="175"/>
      <c r="KML23" s="175"/>
      <c r="KMM23" s="175"/>
      <c r="KMN23" s="175"/>
      <c r="KMO23" s="175"/>
      <c r="KMP23" s="175"/>
      <c r="KMQ23" s="175"/>
      <c r="KMR23" s="175"/>
      <c r="KMS23" s="175"/>
      <c r="KMT23" s="175"/>
      <c r="KMU23" s="175"/>
      <c r="KMV23" s="175"/>
      <c r="KMW23" s="175"/>
      <c r="KMX23" s="175"/>
      <c r="KMY23" s="175"/>
      <c r="KMZ23" s="175"/>
      <c r="KNA23" s="175"/>
      <c r="KNB23" s="175"/>
      <c r="KNC23" s="175"/>
      <c r="KND23" s="175"/>
      <c r="KNE23" s="175"/>
      <c r="KNF23" s="175"/>
      <c r="KNG23" s="175"/>
      <c r="KNH23" s="175"/>
      <c r="KNI23" s="175"/>
      <c r="KNJ23" s="175"/>
      <c r="KNK23" s="175"/>
      <c r="KNL23" s="175"/>
      <c r="KNM23" s="175"/>
      <c r="KNN23" s="175"/>
      <c r="KNO23" s="175"/>
      <c r="KNP23" s="175"/>
      <c r="KNQ23" s="175"/>
      <c r="KNR23" s="175"/>
      <c r="KNS23" s="175"/>
      <c r="KNT23" s="175"/>
      <c r="KNU23" s="175"/>
      <c r="KNV23" s="175"/>
      <c r="KNW23" s="175"/>
      <c r="KNX23" s="175"/>
      <c r="KNY23" s="175"/>
      <c r="KNZ23" s="175"/>
      <c r="KOA23" s="175"/>
      <c r="KOB23" s="175"/>
      <c r="KOC23" s="175"/>
      <c r="KOD23" s="175"/>
      <c r="KOE23" s="175"/>
      <c r="KOF23" s="175"/>
      <c r="KOG23" s="175"/>
      <c r="KOH23" s="175"/>
      <c r="KOI23" s="175"/>
      <c r="KOJ23" s="175"/>
      <c r="KOK23" s="175"/>
      <c r="KOL23" s="175"/>
      <c r="KOM23" s="175"/>
      <c r="KON23" s="175"/>
      <c r="KOO23" s="175"/>
      <c r="KOP23" s="175"/>
      <c r="KOQ23" s="175"/>
      <c r="KOR23" s="175"/>
      <c r="KOS23" s="175"/>
      <c r="KOT23" s="175"/>
      <c r="KOU23" s="175"/>
      <c r="KOV23" s="175"/>
      <c r="KOW23" s="175"/>
      <c r="KOX23" s="175"/>
      <c r="KOY23" s="175"/>
      <c r="KOZ23" s="175"/>
      <c r="KPA23" s="175"/>
      <c r="KPB23" s="175"/>
      <c r="KPC23" s="175"/>
      <c r="KPD23" s="175"/>
      <c r="KPE23" s="175"/>
      <c r="KPF23" s="175"/>
      <c r="KPG23" s="175"/>
      <c r="KPH23" s="175"/>
      <c r="KPI23" s="175"/>
      <c r="KPJ23" s="175"/>
      <c r="KPK23" s="175"/>
      <c r="KPL23" s="175"/>
      <c r="KPM23" s="175"/>
      <c r="KPN23" s="175"/>
      <c r="KPO23" s="175"/>
      <c r="KPP23" s="175"/>
      <c r="KPQ23" s="175"/>
      <c r="KPR23" s="175"/>
      <c r="KPS23" s="175"/>
      <c r="KPT23" s="175"/>
      <c r="KPU23" s="175"/>
      <c r="KPV23" s="175"/>
      <c r="KPW23" s="175"/>
      <c r="KPX23" s="175"/>
      <c r="KPY23" s="175"/>
      <c r="KPZ23" s="175"/>
      <c r="KQA23" s="175"/>
      <c r="KQB23" s="175"/>
      <c r="KQC23" s="175"/>
      <c r="KQD23" s="175"/>
      <c r="KQE23" s="175"/>
      <c r="KQF23" s="175"/>
      <c r="KQG23" s="175"/>
      <c r="KQH23" s="175"/>
      <c r="KQI23" s="175"/>
      <c r="KQJ23" s="175"/>
      <c r="KQK23" s="175"/>
      <c r="KQL23" s="175"/>
      <c r="KQM23" s="175"/>
      <c r="KQN23" s="175"/>
      <c r="KQO23" s="175"/>
      <c r="KQP23" s="175"/>
      <c r="KQQ23" s="175"/>
      <c r="KQR23" s="175"/>
      <c r="KQS23" s="175"/>
      <c r="KQT23" s="175"/>
      <c r="KQU23" s="175"/>
      <c r="KQV23" s="175"/>
      <c r="KQW23" s="175"/>
      <c r="KQX23" s="175"/>
      <c r="KQY23" s="175"/>
      <c r="KQZ23" s="175"/>
      <c r="KRA23" s="175"/>
      <c r="KRB23" s="175"/>
      <c r="KRC23" s="175"/>
      <c r="KRD23" s="175"/>
      <c r="KRE23" s="175"/>
      <c r="KRF23" s="175"/>
      <c r="KRG23" s="175"/>
      <c r="KRH23" s="175"/>
      <c r="KRI23" s="175"/>
      <c r="KRJ23" s="175"/>
      <c r="KRK23" s="175"/>
      <c r="KRL23" s="175"/>
      <c r="KRM23" s="175"/>
      <c r="KRN23" s="175"/>
      <c r="KRO23" s="175"/>
      <c r="KRP23" s="175"/>
      <c r="KRQ23" s="175"/>
      <c r="KRR23" s="175"/>
      <c r="KRS23" s="175"/>
      <c r="KRT23" s="175"/>
      <c r="KRU23" s="175"/>
      <c r="KRV23" s="175"/>
      <c r="KRW23" s="175"/>
      <c r="KRX23" s="175"/>
      <c r="KRY23" s="175"/>
      <c r="KRZ23" s="175"/>
      <c r="KSA23" s="175"/>
      <c r="KSB23" s="175"/>
      <c r="KSC23" s="175"/>
      <c r="KSD23" s="175"/>
      <c r="KSE23" s="175"/>
      <c r="KSF23" s="175"/>
      <c r="KSG23" s="175"/>
      <c r="KSH23" s="175"/>
      <c r="KSI23" s="175"/>
      <c r="KSJ23" s="175"/>
      <c r="KSK23" s="175"/>
      <c r="KSL23" s="175"/>
      <c r="KSM23" s="175"/>
      <c r="KSN23" s="175"/>
      <c r="KSO23" s="175"/>
      <c r="KSP23" s="175"/>
      <c r="KSQ23" s="175"/>
      <c r="KSR23" s="175"/>
      <c r="KSS23" s="175"/>
      <c r="KST23" s="175"/>
      <c r="KSU23" s="175"/>
      <c r="KSV23" s="175"/>
      <c r="KSW23" s="175"/>
      <c r="KSX23" s="175"/>
      <c r="KSY23" s="175"/>
      <c r="KSZ23" s="175"/>
      <c r="KTA23" s="175"/>
      <c r="KTB23" s="175"/>
      <c r="KTC23" s="175"/>
      <c r="KTD23" s="175"/>
      <c r="KTE23" s="175"/>
      <c r="KTF23" s="175"/>
      <c r="KTG23" s="175"/>
      <c r="KTH23" s="175"/>
      <c r="KTI23" s="175"/>
      <c r="KTJ23" s="175"/>
      <c r="KTK23" s="175"/>
      <c r="KTL23" s="175"/>
      <c r="KTM23" s="175"/>
      <c r="KTN23" s="175"/>
      <c r="KTO23" s="175"/>
      <c r="KTP23" s="175"/>
      <c r="KTQ23" s="175"/>
      <c r="KTR23" s="175"/>
      <c r="KTS23" s="175"/>
      <c r="KTT23" s="175"/>
      <c r="KTU23" s="175"/>
      <c r="KTV23" s="175"/>
      <c r="KTW23" s="175"/>
      <c r="KTX23" s="175"/>
      <c r="KTY23" s="175"/>
      <c r="KTZ23" s="175"/>
      <c r="KUA23" s="175"/>
      <c r="KUB23" s="175"/>
      <c r="KUC23" s="175"/>
      <c r="KUD23" s="175"/>
      <c r="KUE23" s="175"/>
      <c r="KUF23" s="175"/>
      <c r="KUG23" s="175"/>
      <c r="KUH23" s="175"/>
      <c r="KUI23" s="175"/>
      <c r="KUJ23" s="175"/>
      <c r="KUK23" s="175"/>
      <c r="KUL23" s="175"/>
      <c r="KUM23" s="175"/>
      <c r="KUN23" s="175"/>
      <c r="KUO23" s="175"/>
      <c r="KUP23" s="175"/>
      <c r="KUQ23" s="175"/>
      <c r="KUR23" s="175"/>
      <c r="KUS23" s="175"/>
      <c r="KUT23" s="175"/>
      <c r="KUU23" s="175"/>
      <c r="KUV23" s="175"/>
      <c r="KUW23" s="175"/>
      <c r="KUX23" s="175"/>
      <c r="KUY23" s="175"/>
      <c r="KUZ23" s="175"/>
      <c r="KVA23" s="175"/>
      <c r="KVB23" s="175"/>
      <c r="KVC23" s="175"/>
      <c r="KVD23" s="175"/>
      <c r="KVE23" s="175"/>
      <c r="KVF23" s="175"/>
      <c r="KVG23" s="175"/>
      <c r="KVH23" s="175"/>
      <c r="KVI23" s="175"/>
      <c r="KVJ23" s="175"/>
      <c r="KVK23" s="175"/>
      <c r="KVL23" s="175"/>
      <c r="KVM23" s="175"/>
      <c r="KVN23" s="175"/>
      <c r="KVO23" s="175"/>
      <c r="KVP23" s="175"/>
      <c r="KVQ23" s="175"/>
      <c r="KVR23" s="175"/>
      <c r="KVS23" s="175"/>
      <c r="KVT23" s="175"/>
      <c r="KVU23" s="175"/>
      <c r="KVV23" s="175"/>
      <c r="KVW23" s="175"/>
      <c r="KVX23" s="175"/>
      <c r="KVY23" s="175"/>
      <c r="KVZ23" s="175"/>
      <c r="KWA23" s="175"/>
      <c r="KWB23" s="175"/>
      <c r="KWC23" s="175"/>
      <c r="KWD23" s="175"/>
      <c r="KWE23" s="175"/>
      <c r="KWF23" s="175"/>
      <c r="KWG23" s="175"/>
      <c r="KWH23" s="175"/>
      <c r="KWI23" s="175"/>
      <c r="KWJ23" s="175"/>
      <c r="KWK23" s="175"/>
      <c r="KWL23" s="175"/>
      <c r="KWM23" s="175"/>
      <c r="KWN23" s="175"/>
      <c r="KWO23" s="175"/>
      <c r="KWP23" s="175"/>
      <c r="KWQ23" s="175"/>
      <c r="KWR23" s="175"/>
      <c r="KWS23" s="175"/>
      <c r="KWT23" s="175"/>
      <c r="KWU23" s="175"/>
      <c r="KWV23" s="175"/>
      <c r="KWW23" s="175"/>
      <c r="KWX23" s="175"/>
      <c r="KWY23" s="175"/>
      <c r="KWZ23" s="175"/>
      <c r="KXA23" s="175"/>
      <c r="KXB23" s="175"/>
      <c r="KXC23" s="175"/>
      <c r="KXD23" s="175"/>
      <c r="KXE23" s="175"/>
      <c r="KXF23" s="175"/>
      <c r="KXG23" s="175"/>
      <c r="KXH23" s="175"/>
      <c r="KXI23" s="175"/>
      <c r="KXJ23" s="175"/>
      <c r="KXK23" s="175"/>
      <c r="KXL23" s="175"/>
      <c r="KXM23" s="175"/>
      <c r="KXN23" s="175"/>
      <c r="KXO23" s="175"/>
      <c r="KXP23" s="175"/>
      <c r="KXQ23" s="175"/>
      <c r="KXR23" s="175"/>
      <c r="KXS23" s="175"/>
      <c r="KXT23" s="175"/>
      <c r="KXU23" s="175"/>
      <c r="KXV23" s="175"/>
      <c r="KXW23" s="175"/>
      <c r="KXX23" s="175"/>
      <c r="KXY23" s="175"/>
      <c r="KXZ23" s="175"/>
      <c r="KYA23" s="175"/>
      <c r="KYB23" s="175"/>
      <c r="KYC23" s="175"/>
      <c r="KYD23" s="175"/>
      <c r="KYE23" s="175"/>
      <c r="KYF23" s="175"/>
      <c r="KYG23" s="175"/>
      <c r="KYH23" s="175"/>
      <c r="KYI23" s="175"/>
      <c r="KYJ23" s="175"/>
      <c r="KYK23" s="175"/>
      <c r="KYL23" s="175"/>
      <c r="KYM23" s="175"/>
      <c r="KYN23" s="175"/>
      <c r="KYO23" s="175"/>
      <c r="KYP23" s="175"/>
      <c r="KYQ23" s="175"/>
      <c r="KYR23" s="175"/>
      <c r="KYS23" s="175"/>
      <c r="KYT23" s="175"/>
      <c r="KYU23" s="175"/>
      <c r="KYV23" s="175"/>
      <c r="KYW23" s="175"/>
      <c r="KYX23" s="175"/>
      <c r="KYY23" s="175"/>
      <c r="KYZ23" s="175"/>
      <c r="KZA23" s="175"/>
      <c r="KZB23" s="175"/>
      <c r="KZC23" s="175"/>
      <c r="KZD23" s="175"/>
      <c r="KZE23" s="175"/>
      <c r="KZF23" s="175"/>
      <c r="KZG23" s="175"/>
      <c r="KZH23" s="175"/>
      <c r="KZI23" s="175"/>
      <c r="KZJ23" s="175"/>
      <c r="KZK23" s="175"/>
      <c r="KZL23" s="175"/>
      <c r="KZM23" s="175"/>
      <c r="KZN23" s="175"/>
      <c r="KZO23" s="175"/>
      <c r="KZP23" s="175"/>
      <c r="KZQ23" s="175"/>
      <c r="KZR23" s="175"/>
      <c r="KZS23" s="175"/>
      <c r="KZT23" s="175"/>
      <c r="KZU23" s="175"/>
      <c r="KZV23" s="175"/>
      <c r="KZW23" s="175"/>
      <c r="KZX23" s="175"/>
      <c r="KZY23" s="175"/>
      <c r="KZZ23" s="175"/>
      <c r="LAA23" s="175"/>
      <c r="LAB23" s="175"/>
      <c r="LAC23" s="175"/>
      <c r="LAD23" s="175"/>
      <c r="LAE23" s="175"/>
      <c r="LAF23" s="175"/>
      <c r="LAG23" s="175"/>
      <c r="LAH23" s="175"/>
      <c r="LAI23" s="175"/>
      <c r="LAJ23" s="175"/>
      <c r="LAK23" s="175"/>
      <c r="LAL23" s="175"/>
      <c r="LAM23" s="175"/>
      <c r="LAN23" s="175"/>
      <c r="LAO23" s="175"/>
      <c r="LAP23" s="175"/>
      <c r="LAQ23" s="175"/>
      <c r="LAR23" s="175"/>
      <c r="LAS23" s="175"/>
      <c r="LAT23" s="175"/>
      <c r="LAU23" s="175"/>
      <c r="LAV23" s="175"/>
      <c r="LAW23" s="175"/>
      <c r="LAX23" s="175"/>
      <c r="LAY23" s="175"/>
      <c r="LAZ23" s="175"/>
      <c r="LBA23" s="175"/>
      <c r="LBB23" s="175"/>
      <c r="LBC23" s="175"/>
      <c r="LBD23" s="175"/>
      <c r="LBE23" s="175"/>
      <c r="LBF23" s="175"/>
      <c r="LBG23" s="175"/>
      <c r="LBH23" s="175"/>
      <c r="LBI23" s="175"/>
      <c r="LBJ23" s="175"/>
      <c r="LBK23" s="175"/>
      <c r="LBL23" s="175"/>
      <c r="LBM23" s="175"/>
      <c r="LBN23" s="175"/>
      <c r="LBO23" s="175"/>
      <c r="LBP23" s="175"/>
      <c r="LBQ23" s="175"/>
      <c r="LBR23" s="175"/>
      <c r="LBS23" s="175"/>
      <c r="LBT23" s="175"/>
      <c r="LBU23" s="175"/>
      <c r="LBV23" s="175"/>
      <c r="LBW23" s="175"/>
      <c r="LBX23" s="175"/>
      <c r="LBY23" s="175"/>
      <c r="LBZ23" s="175"/>
      <c r="LCA23" s="175"/>
      <c r="LCB23" s="175"/>
      <c r="LCC23" s="175"/>
      <c r="LCD23" s="175"/>
      <c r="LCE23" s="175"/>
      <c r="LCF23" s="175"/>
      <c r="LCG23" s="175"/>
      <c r="LCH23" s="175"/>
      <c r="LCI23" s="175"/>
      <c r="LCJ23" s="175"/>
      <c r="LCK23" s="175"/>
      <c r="LCL23" s="175"/>
      <c r="LCM23" s="175"/>
      <c r="LCN23" s="175"/>
      <c r="LCO23" s="175"/>
      <c r="LCP23" s="175"/>
      <c r="LCQ23" s="175"/>
      <c r="LCR23" s="175"/>
      <c r="LCS23" s="175"/>
      <c r="LCT23" s="175"/>
      <c r="LCU23" s="175"/>
      <c r="LCV23" s="175"/>
      <c r="LCW23" s="175"/>
      <c r="LCX23" s="175"/>
      <c r="LCY23" s="175"/>
      <c r="LCZ23" s="175"/>
      <c r="LDA23" s="175"/>
      <c r="LDB23" s="175"/>
      <c r="LDC23" s="175"/>
      <c r="LDD23" s="175"/>
      <c r="LDE23" s="175"/>
      <c r="LDF23" s="175"/>
      <c r="LDG23" s="175"/>
      <c r="LDH23" s="175"/>
      <c r="LDI23" s="175"/>
      <c r="LDJ23" s="175"/>
      <c r="LDK23" s="175"/>
      <c r="LDL23" s="175"/>
      <c r="LDM23" s="175"/>
      <c r="LDN23" s="175"/>
      <c r="LDO23" s="175"/>
      <c r="LDP23" s="175"/>
      <c r="LDQ23" s="175"/>
      <c r="LDR23" s="175"/>
      <c r="LDS23" s="175"/>
      <c r="LDT23" s="175"/>
      <c r="LDU23" s="175"/>
      <c r="LDV23" s="175"/>
      <c r="LDW23" s="175"/>
      <c r="LDX23" s="175"/>
      <c r="LDY23" s="175"/>
      <c r="LDZ23" s="175"/>
      <c r="LEA23" s="175"/>
      <c r="LEB23" s="175"/>
      <c r="LEC23" s="175"/>
      <c r="LED23" s="175"/>
      <c r="LEE23" s="175"/>
      <c r="LEF23" s="175"/>
      <c r="LEG23" s="175"/>
      <c r="LEH23" s="175"/>
      <c r="LEI23" s="175"/>
      <c r="LEJ23" s="175"/>
      <c r="LEK23" s="175"/>
      <c r="LEL23" s="175"/>
      <c r="LEM23" s="175"/>
      <c r="LEN23" s="175"/>
      <c r="LEO23" s="175"/>
      <c r="LEP23" s="175"/>
      <c r="LEQ23" s="175"/>
      <c r="LER23" s="175"/>
      <c r="LES23" s="175"/>
      <c r="LET23" s="175"/>
      <c r="LEU23" s="175"/>
      <c r="LEV23" s="175"/>
      <c r="LEW23" s="175"/>
      <c r="LEX23" s="175"/>
      <c r="LEY23" s="175"/>
      <c r="LEZ23" s="175"/>
      <c r="LFA23" s="175"/>
      <c r="LFB23" s="175"/>
      <c r="LFC23" s="175"/>
      <c r="LFD23" s="175"/>
      <c r="LFE23" s="175"/>
      <c r="LFF23" s="175"/>
      <c r="LFG23" s="175"/>
      <c r="LFH23" s="175"/>
      <c r="LFI23" s="175"/>
      <c r="LFJ23" s="175"/>
      <c r="LFK23" s="175"/>
      <c r="LFL23" s="175"/>
      <c r="LFM23" s="175"/>
      <c r="LFN23" s="175"/>
      <c r="LFO23" s="175"/>
      <c r="LFP23" s="175"/>
      <c r="LFQ23" s="175"/>
      <c r="LFR23" s="175"/>
      <c r="LFS23" s="175"/>
      <c r="LFT23" s="175"/>
      <c r="LFU23" s="175"/>
      <c r="LFV23" s="175"/>
      <c r="LFW23" s="175"/>
      <c r="LFX23" s="175"/>
      <c r="LFY23" s="175"/>
      <c r="LFZ23" s="175"/>
      <c r="LGA23" s="175"/>
      <c r="LGB23" s="175"/>
      <c r="LGC23" s="175"/>
      <c r="LGD23" s="175"/>
      <c r="LGE23" s="175"/>
      <c r="LGF23" s="175"/>
      <c r="LGG23" s="175"/>
      <c r="LGH23" s="175"/>
      <c r="LGI23" s="175"/>
      <c r="LGJ23" s="175"/>
      <c r="LGK23" s="175"/>
      <c r="LGL23" s="175"/>
      <c r="LGM23" s="175"/>
      <c r="LGN23" s="175"/>
      <c r="LGO23" s="175"/>
      <c r="LGP23" s="175"/>
      <c r="LGQ23" s="175"/>
      <c r="LGR23" s="175"/>
      <c r="LGS23" s="175"/>
      <c r="LGT23" s="175"/>
      <c r="LGU23" s="175"/>
      <c r="LGV23" s="175"/>
      <c r="LGW23" s="175"/>
      <c r="LGX23" s="175"/>
      <c r="LGY23" s="175"/>
      <c r="LGZ23" s="175"/>
      <c r="LHA23" s="175"/>
      <c r="LHB23" s="175"/>
      <c r="LHC23" s="175"/>
      <c r="LHD23" s="175"/>
      <c r="LHE23" s="175"/>
      <c r="LHF23" s="175"/>
      <c r="LHG23" s="175"/>
      <c r="LHH23" s="175"/>
      <c r="LHI23" s="175"/>
      <c r="LHJ23" s="175"/>
      <c r="LHK23" s="175"/>
      <c r="LHL23" s="175"/>
      <c r="LHM23" s="175"/>
      <c r="LHN23" s="175"/>
      <c r="LHO23" s="175"/>
      <c r="LHP23" s="175"/>
      <c r="LHQ23" s="175"/>
      <c r="LHR23" s="175"/>
      <c r="LHS23" s="175"/>
      <c r="LHT23" s="175"/>
      <c r="LHU23" s="175"/>
      <c r="LHV23" s="175"/>
      <c r="LHW23" s="175"/>
      <c r="LHX23" s="175"/>
      <c r="LHY23" s="175"/>
      <c r="LHZ23" s="175"/>
      <c r="LIA23" s="175"/>
      <c r="LIB23" s="175"/>
      <c r="LIC23" s="175"/>
      <c r="LID23" s="175"/>
      <c r="LIE23" s="175"/>
      <c r="LIF23" s="175"/>
      <c r="LIG23" s="175"/>
      <c r="LIH23" s="175"/>
      <c r="LII23" s="175"/>
      <c r="LIJ23" s="175"/>
      <c r="LIK23" s="175"/>
      <c r="LIL23" s="175"/>
      <c r="LIM23" s="175"/>
      <c r="LIN23" s="175"/>
      <c r="LIO23" s="175"/>
      <c r="LIP23" s="175"/>
      <c r="LIQ23" s="175"/>
      <c r="LIR23" s="175"/>
      <c r="LIS23" s="175"/>
      <c r="LIT23" s="175"/>
      <c r="LIU23" s="175"/>
      <c r="LIV23" s="175"/>
      <c r="LIW23" s="175"/>
      <c r="LIX23" s="175"/>
      <c r="LIY23" s="175"/>
      <c r="LIZ23" s="175"/>
      <c r="LJA23" s="175"/>
      <c r="LJB23" s="175"/>
      <c r="LJC23" s="175"/>
      <c r="LJD23" s="175"/>
      <c r="LJE23" s="175"/>
      <c r="LJF23" s="175"/>
      <c r="LJG23" s="175"/>
      <c r="LJH23" s="175"/>
      <c r="LJI23" s="175"/>
      <c r="LJJ23" s="175"/>
      <c r="LJK23" s="175"/>
      <c r="LJL23" s="175"/>
      <c r="LJM23" s="175"/>
      <c r="LJN23" s="175"/>
      <c r="LJO23" s="175"/>
      <c r="LJP23" s="175"/>
      <c r="LJQ23" s="175"/>
      <c r="LJR23" s="175"/>
      <c r="LJS23" s="175"/>
      <c r="LJT23" s="175"/>
      <c r="LJU23" s="175"/>
      <c r="LJV23" s="175"/>
      <c r="LJW23" s="175"/>
      <c r="LJX23" s="175"/>
      <c r="LJY23" s="175"/>
      <c r="LJZ23" s="175"/>
      <c r="LKA23" s="175"/>
      <c r="LKB23" s="175"/>
      <c r="LKC23" s="175"/>
      <c r="LKD23" s="175"/>
      <c r="LKE23" s="175"/>
      <c r="LKF23" s="175"/>
      <c r="LKG23" s="175"/>
      <c r="LKH23" s="175"/>
      <c r="LKI23" s="175"/>
      <c r="LKJ23" s="175"/>
      <c r="LKK23" s="175"/>
      <c r="LKL23" s="175"/>
      <c r="LKM23" s="175"/>
      <c r="LKN23" s="175"/>
      <c r="LKO23" s="175"/>
      <c r="LKP23" s="175"/>
      <c r="LKQ23" s="175"/>
      <c r="LKR23" s="175"/>
      <c r="LKS23" s="175"/>
      <c r="LKT23" s="175"/>
      <c r="LKU23" s="175"/>
      <c r="LKV23" s="175"/>
      <c r="LKW23" s="175"/>
      <c r="LKX23" s="175"/>
      <c r="LKY23" s="175"/>
      <c r="LKZ23" s="175"/>
      <c r="LLA23" s="175"/>
      <c r="LLB23" s="175"/>
      <c r="LLC23" s="175"/>
      <c r="LLD23" s="175"/>
      <c r="LLE23" s="175"/>
      <c r="LLF23" s="175"/>
      <c r="LLG23" s="175"/>
      <c r="LLH23" s="175"/>
      <c r="LLI23" s="175"/>
      <c r="LLJ23" s="175"/>
      <c r="LLK23" s="175"/>
      <c r="LLL23" s="175"/>
      <c r="LLM23" s="175"/>
      <c r="LLN23" s="175"/>
      <c r="LLO23" s="175"/>
      <c r="LLP23" s="175"/>
      <c r="LLQ23" s="175"/>
      <c r="LLR23" s="175"/>
      <c r="LLS23" s="175"/>
      <c r="LLT23" s="175"/>
      <c r="LLU23" s="175"/>
      <c r="LLV23" s="175"/>
      <c r="LLW23" s="175"/>
      <c r="LLX23" s="175"/>
      <c r="LLY23" s="175"/>
      <c r="LLZ23" s="175"/>
      <c r="LMA23" s="175"/>
      <c r="LMB23" s="175"/>
      <c r="LMC23" s="175"/>
      <c r="LMD23" s="175"/>
      <c r="LME23" s="175"/>
      <c r="LMF23" s="175"/>
      <c r="LMG23" s="175"/>
      <c r="LMH23" s="175"/>
      <c r="LMI23" s="175"/>
      <c r="LMJ23" s="175"/>
      <c r="LMK23" s="175"/>
      <c r="LML23" s="175"/>
      <c r="LMM23" s="175"/>
      <c r="LMN23" s="175"/>
      <c r="LMO23" s="175"/>
      <c r="LMP23" s="175"/>
      <c r="LMQ23" s="175"/>
      <c r="LMR23" s="175"/>
      <c r="LMS23" s="175"/>
      <c r="LMT23" s="175"/>
      <c r="LMU23" s="175"/>
      <c r="LMV23" s="175"/>
      <c r="LMW23" s="175"/>
      <c r="LMX23" s="175"/>
      <c r="LMY23" s="175"/>
      <c r="LMZ23" s="175"/>
      <c r="LNA23" s="175"/>
      <c r="LNB23" s="175"/>
      <c r="LNC23" s="175"/>
      <c r="LND23" s="175"/>
      <c r="LNE23" s="175"/>
      <c r="LNF23" s="175"/>
      <c r="LNG23" s="175"/>
      <c r="LNH23" s="175"/>
      <c r="LNI23" s="175"/>
      <c r="LNJ23" s="175"/>
      <c r="LNK23" s="175"/>
      <c r="LNL23" s="175"/>
      <c r="LNM23" s="175"/>
      <c r="LNN23" s="175"/>
      <c r="LNO23" s="175"/>
      <c r="LNP23" s="175"/>
      <c r="LNQ23" s="175"/>
      <c r="LNR23" s="175"/>
      <c r="LNS23" s="175"/>
      <c r="LNT23" s="175"/>
      <c r="LNU23" s="175"/>
      <c r="LNV23" s="175"/>
      <c r="LNW23" s="175"/>
      <c r="LNX23" s="175"/>
      <c r="LNY23" s="175"/>
      <c r="LNZ23" s="175"/>
      <c r="LOA23" s="175"/>
      <c r="LOB23" s="175"/>
      <c r="LOC23" s="175"/>
      <c r="LOD23" s="175"/>
      <c r="LOE23" s="175"/>
      <c r="LOF23" s="175"/>
      <c r="LOG23" s="175"/>
      <c r="LOH23" s="175"/>
      <c r="LOI23" s="175"/>
      <c r="LOJ23" s="175"/>
      <c r="LOK23" s="175"/>
      <c r="LOL23" s="175"/>
      <c r="LOM23" s="175"/>
      <c r="LON23" s="175"/>
      <c r="LOO23" s="175"/>
      <c r="LOP23" s="175"/>
      <c r="LOQ23" s="175"/>
      <c r="LOR23" s="175"/>
      <c r="LOS23" s="175"/>
      <c r="LOT23" s="175"/>
      <c r="LOU23" s="175"/>
      <c r="LOV23" s="175"/>
      <c r="LOW23" s="175"/>
      <c r="LOX23" s="175"/>
      <c r="LOY23" s="175"/>
      <c r="LOZ23" s="175"/>
      <c r="LPA23" s="175"/>
      <c r="LPB23" s="175"/>
      <c r="LPC23" s="175"/>
      <c r="LPD23" s="175"/>
      <c r="LPE23" s="175"/>
      <c r="LPF23" s="175"/>
      <c r="LPG23" s="175"/>
      <c r="LPH23" s="175"/>
      <c r="LPI23" s="175"/>
      <c r="LPJ23" s="175"/>
      <c r="LPK23" s="175"/>
      <c r="LPL23" s="175"/>
      <c r="LPM23" s="175"/>
      <c r="LPN23" s="175"/>
      <c r="LPO23" s="175"/>
      <c r="LPP23" s="175"/>
      <c r="LPQ23" s="175"/>
      <c r="LPR23" s="175"/>
      <c r="LPS23" s="175"/>
      <c r="LPT23" s="175"/>
      <c r="LPU23" s="175"/>
      <c r="LPV23" s="175"/>
      <c r="LPW23" s="175"/>
      <c r="LPX23" s="175"/>
      <c r="LPY23" s="175"/>
      <c r="LPZ23" s="175"/>
      <c r="LQA23" s="175"/>
      <c r="LQB23" s="175"/>
      <c r="LQC23" s="175"/>
      <c r="LQD23" s="175"/>
      <c r="LQE23" s="175"/>
      <c r="LQF23" s="175"/>
      <c r="LQG23" s="175"/>
      <c r="LQH23" s="175"/>
      <c r="LQI23" s="175"/>
      <c r="LQJ23" s="175"/>
      <c r="LQK23" s="175"/>
      <c r="LQL23" s="175"/>
      <c r="LQM23" s="175"/>
      <c r="LQN23" s="175"/>
      <c r="LQO23" s="175"/>
      <c r="LQP23" s="175"/>
      <c r="LQQ23" s="175"/>
      <c r="LQR23" s="175"/>
      <c r="LQS23" s="175"/>
      <c r="LQT23" s="175"/>
      <c r="LQU23" s="175"/>
      <c r="LQV23" s="175"/>
      <c r="LQW23" s="175"/>
      <c r="LQX23" s="175"/>
      <c r="LQY23" s="175"/>
      <c r="LQZ23" s="175"/>
      <c r="LRA23" s="175"/>
      <c r="LRB23" s="175"/>
      <c r="LRC23" s="175"/>
      <c r="LRD23" s="175"/>
      <c r="LRE23" s="175"/>
      <c r="LRF23" s="175"/>
      <c r="LRG23" s="175"/>
      <c r="LRH23" s="175"/>
      <c r="LRI23" s="175"/>
      <c r="LRJ23" s="175"/>
      <c r="LRK23" s="175"/>
      <c r="LRL23" s="175"/>
      <c r="LRM23" s="175"/>
      <c r="LRN23" s="175"/>
      <c r="LRO23" s="175"/>
      <c r="LRP23" s="175"/>
      <c r="LRQ23" s="175"/>
      <c r="LRR23" s="175"/>
      <c r="LRS23" s="175"/>
      <c r="LRT23" s="175"/>
      <c r="LRU23" s="175"/>
      <c r="LRV23" s="175"/>
      <c r="LRW23" s="175"/>
      <c r="LRX23" s="175"/>
      <c r="LRY23" s="175"/>
      <c r="LRZ23" s="175"/>
      <c r="LSA23" s="175"/>
      <c r="LSB23" s="175"/>
      <c r="LSC23" s="175"/>
      <c r="LSD23" s="175"/>
      <c r="LSE23" s="175"/>
      <c r="LSF23" s="175"/>
      <c r="LSG23" s="175"/>
      <c r="LSH23" s="175"/>
      <c r="LSI23" s="175"/>
      <c r="LSJ23" s="175"/>
      <c r="LSK23" s="175"/>
      <c r="LSL23" s="175"/>
      <c r="LSM23" s="175"/>
      <c r="LSN23" s="175"/>
      <c r="LSO23" s="175"/>
      <c r="LSP23" s="175"/>
      <c r="LSQ23" s="175"/>
      <c r="LSR23" s="175"/>
      <c r="LSS23" s="175"/>
      <c r="LST23" s="175"/>
      <c r="LSU23" s="175"/>
      <c r="LSV23" s="175"/>
      <c r="LSW23" s="175"/>
      <c r="LSX23" s="175"/>
      <c r="LSY23" s="175"/>
      <c r="LSZ23" s="175"/>
      <c r="LTA23" s="175"/>
      <c r="LTB23" s="175"/>
      <c r="LTC23" s="175"/>
      <c r="LTD23" s="175"/>
      <c r="LTE23" s="175"/>
      <c r="LTF23" s="175"/>
      <c r="LTG23" s="175"/>
      <c r="LTH23" s="175"/>
      <c r="LTI23" s="175"/>
      <c r="LTJ23" s="175"/>
      <c r="LTK23" s="175"/>
      <c r="LTL23" s="175"/>
      <c r="LTM23" s="175"/>
      <c r="LTN23" s="175"/>
      <c r="LTO23" s="175"/>
      <c r="LTP23" s="175"/>
      <c r="LTQ23" s="175"/>
      <c r="LTR23" s="175"/>
      <c r="LTS23" s="175"/>
      <c r="LTT23" s="175"/>
      <c r="LTU23" s="175"/>
      <c r="LTV23" s="175"/>
      <c r="LTW23" s="175"/>
      <c r="LTX23" s="175"/>
      <c r="LTY23" s="175"/>
      <c r="LTZ23" s="175"/>
      <c r="LUA23" s="175"/>
      <c r="LUB23" s="175"/>
      <c r="LUC23" s="175"/>
      <c r="LUD23" s="175"/>
      <c r="LUE23" s="175"/>
      <c r="LUF23" s="175"/>
      <c r="LUG23" s="175"/>
      <c r="LUH23" s="175"/>
      <c r="LUI23" s="175"/>
      <c r="LUJ23" s="175"/>
      <c r="LUK23" s="175"/>
      <c r="LUL23" s="175"/>
      <c r="LUM23" s="175"/>
      <c r="LUN23" s="175"/>
      <c r="LUO23" s="175"/>
      <c r="LUP23" s="175"/>
      <c r="LUQ23" s="175"/>
      <c r="LUR23" s="175"/>
      <c r="LUS23" s="175"/>
      <c r="LUT23" s="175"/>
      <c r="LUU23" s="175"/>
      <c r="LUV23" s="175"/>
      <c r="LUW23" s="175"/>
      <c r="LUX23" s="175"/>
      <c r="LUY23" s="175"/>
      <c r="LUZ23" s="175"/>
      <c r="LVA23" s="175"/>
      <c r="LVB23" s="175"/>
      <c r="LVC23" s="175"/>
      <c r="LVD23" s="175"/>
      <c r="LVE23" s="175"/>
      <c r="LVF23" s="175"/>
      <c r="LVG23" s="175"/>
      <c r="LVH23" s="175"/>
      <c r="LVI23" s="175"/>
      <c r="LVJ23" s="175"/>
      <c r="LVK23" s="175"/>
      <c r="LVL23" s="175"/>
      <c r="LVM23" s="175"/>
      <c r="LVN23" s="175"/>
      <c r="LVO23" s="175"/>
      <c r="LVP23" s="175"/>
      <c r="LVQ23" s="175"/>
      <c r="LVR23" s="175"/>
      <c r="LVS23" s="175"/>
      <c r="LVT23" s="175"/>
      <c r="LVU23" s="175"/>
      <c r="LVV23" s="175"/>
      <c r="LVW23" s="175"/>
      <c r="LVX23" s="175"/>
      <c r="LVY23" s="175"/>
      <c r="LVZ23" s="175"/>
      <c r="LWA23" s="175"/>
      <c r="LWB23" s="175"/>
      <c r="LWC23" s="175"/>
      <c r="LWD23" s="175"/>
      <c r="LWE23" s="175"/>
      <c r="LWF23" s="175"/>
      <c r="LWG23" s="175"/>
      <c r="LWH23" s="175"/>
      <c r="LWI23" s="175"/>
      <c r="LWJ23" s="175"/>
      <c r="LWK23" s="175"/>
      <c r="LWL23" s="175"/>
      <c r="LWM23" s="175"/>
      <c r="LWN23" s="175"/>
      <c r="LWO23" s="175"/>
      <c r="LWP23" s="175"/>
      <c r="LWQ23" s="175"/>
      <c r="LWR23" s="175"/>
      <c r="LWS23" s="175"/>
      <c r="LWT23" s="175"/>
      <c r="LWU23" s="175"/>
      <c r="LWV23" s="175"/>
      <c r="LWW23" s="175"/>
      <c r="LWX23" s="175"/>
      <c r="LWY23" s="175"/>
      <c r="LWZ23" s="175"/>
      <c r="LXA23" s="175"/>
      <c r="LXB23" s="175"/>
      <c r="LXC23" s="175"/>
      <c r="LXD23" s="175"/>
      <c r="LXE23" s="175"/>
      <c r="LXF23" s="175"/>
      <c r="LXG23" s="175"/>
      <c r="LXH23" s="175"/>
      <c r="LXI23" s="175"/>
      <c r="LXJ23" s="175"/>
      <c r="LXK23" s="175"/>
      <c r="LXL23" s="175"/>
      <c r="LXM23" s="175"/>
      <c r="LXN23" s="175"/>
      <c r="LXO23" s="175"/>
      <c r="LXP23" s="175"/>
      <c r="LXQ23" s="175"/>
      <c r="LXR23" s="175"/>
      <c r="LXS23" s="175"/>
      <c r="LXT23" s="175"/>
      <c r="LXU23" s="175"/>
      <c r="LXV23" s="175"/>
      <c r="LXW23" s="175"/>
      <c r="LXX23" s="175"/>
      <c r="LXY23" s="175"/>
      <c r="LXZ23" s="175"/>
      <c r="LYA23" s="175"/>
      <c r="LYB23" s="175"/>
      <c r="LYC23" s="175"/>
      <c r="LYD23" s="175"/>
      <c r="LYE23" s="175"/>
      <c r="LYF23" s="175"/>
      <c r="LYG23" s="175"/>
      <c r="LYH23" s="175"/>
      <c r="LYI23" s="175"/>
      <c r="LYJ23" s="175"/>
      <c r="LYK23" s="175"/>
      <c r="LYL23" s="175"/>
      <c r="LYM23" s="175"/>
      <c r="LYN23" s="175"/>
      <c r="LYO23" s="175"/>
      <c r="LYP23" s="175"/>
      <c r="LYQ23" s="175"/>
      <c r="LYR23" s="175"/>
      <c r="LYS23" s="175"/>
      <c r="LYT23" s="175"/>
      <c r="LYU23" s="175"/>
      <c r="LYV23" s="175"/>
      <c r="LYW23" s="175"/>
      <c r="LYX23" s="175"/>
      <c r="LYY23" s="175"/>
      <c r="LYZ23" s="175"/>
      <c r="LZA23" s="175"/>
      <c r="LZB23" s="175"/>
      <c r="LZC23" s="175"/>
      <c r="LZD23" s="175"/>
      <c r="LZE23" s="175"/>
      <c r="LZF23" s="175"/>
      <c r="LZG23" s="175"/>
      <c r="LZH23" s="175"/>
      <c r="LZI23" s="175"/>
      <c r="LZJ23" s="175"/>
      <c r="LZK23" s="175"/>
      <c r="LZL23" s="175"/>
      <c r="LZM23" s="175"/>
      <c r="LZN23" s="175"/>
      <c r="LZO23" s="175"/>
      <c r="LZP23" s="175"/>
      <c r="LZQ23" s="175"/>
      <c r="LZR23" s="175"/>
      <c r="LZS23" s="175"/>
      <c r="LZT23" s="175"/>
      <c r="LZU23" s="175"/>
      <c r="LZV23" s="175"/>
      <c r="LZW23" s="175"/>
      <c r="LZX23" s="175"/>
      <c r="LZY23" s="175"/>
      <c r="LZZ23" s="175"/>
      <c r="MAA23" s="175"/>
      <c r="MAB23" s="175"/>
      <c r="MAC23" s="175"/>
      <c r="MAD23" s="175"/>
      <c r="MAE23" s="175"/>
      <c r="MAF23" s="175"/>
      <c r="MAG23" s="175"/>
      <c r="MAH23" s="175"/>
      <c r="MAI23" s="175"/>
      <c r="MAJ23" s="175"/>
      <c r="MAK23" s="175"/>
      <c r="MAL23" s="175"/>
      <c r="MAM23" s="175"/>
      <c r="MAN23" s="175"/>
      <c r="MAO23" s="175"/>
      <c r="MAP23" s="175"/>
      <c r="MAQ23" s="175"/>
      <c r="MAR23" s="175"/>
      <c r="MAS23" s="175"/>
      <c r="MAT23" s="175"/>
      <c r="MAU23" s="175"/>
      <c r="MAV23" s="175"/>
      <c r="MAW23" s="175"/>
      <c r="MAX23" s="175"/>
      <c r="MAY23" s="175"/>
      <c r="MAZ23" s="175"/>
      <c r="MBA23" s="175"/>
      <c r="MBB23" s="175"/>
      <c r="MBC23" s="175"/>
      <c r="MBD23" s="175"/>
      <c r="MBE23" s="175"/>
      <c r="MBF23" s="175"/>
      <c r="MBG23" s="175"/>
      <c r="MBH23" s="175"/>
      <c r="MBI23" s="175"/>
      <c r="MBJ23" s="175"/>
      <c r="MBK23" s="175"/>
      <c r="MBL23" s="175"/>
      <c r="MBM23" s="175"/>
      <c r="MBN23" s="175"/>
      <c r="MBO23" s="175"/>
      <c r="MBP23" s="175"/>
      <c r="MBQ23" s="175"/>
      <c r="MBR23" s="175"/>
      <c r="MBS23" s="175"/>
      <c r="MBT23" s="175"/>
      <c r="MBU23" s="175"/>
      <c r="MBV23" s="175"/>
      <c r="MBW23" s="175"/>
      <c r="MBX23" s="175"/>
      <c r="MBY23" s="175"/>
      <c r="MBZ23" s="175"/>
      <c r="MCA23" s="175"/>
      <c r="MCB23" s="175"/>
      <c r="MCC23" s="175"/>
      <c r="MCD23" s="175"/>
      <c r="MCE23" s="175"/>
      <c r="MCF23" s="175"/>
      <c r="MCG23" s="175"/>
      <c r="MCH23" s="175"/>
      <c r="MCI23" s="175"/>
      <c r="MCJ23" s="175"/>
      <c r="MCK23" s="175"/>
      <c r="MCL23" s="175"/>
      <c r="MCM23" s="175"/>
      <c r="MCN23" s="175"/>
      <c r="MCO23" s="175"/>
      <c r="MCP23" s="175"/>
      <c r="MCQ23" s="175"/>
      <c r="MCR23" s="175"/>
      <c r="MCS23" s="175"/>
      <c r="MCT23" s="175"/>
      <c r="MCU23" s="175"/>
      <c r="MCV23" s="175"/>
      <c r="MCW23" s="175"/>
      <c r="MCX23" s="175"/>
      <c r="MCY23" s="175"/>
      <c r="MCZ23" s="175"/>
      <c r="MDA23" s="175"/>
      <c r="MDB23" s="175"/>
      <c r="MDC23" s="175"/>
      <c r="MDD23" s="175"/>
      <c r="MDE23" s="175"/>
      <c r="MDF23" s="175"/>
      <c r="MDG23" s="175"/>
      <c r="MDH23" s="175"/>
      <c r="MDI23" s="175"/>
      <c r="MDJ23" s="175"/>
      <c r="MDK23" s="175"/>
      <c r="MDL23" s="175"/>
      <c r="MDM23" s="175"/>
      <c r="MDN23" s="175"/>
      <c r="MDO23" s="175"/>
      <c r="MDP23" s="175"/>
      <c r="MDQ23" s="175"/>
      <c r="MDR23" s="175"/>
      <c r="MDS23" s="175"/>
      <c r="MDT23" s="175"/>
      <c r="MDU23" s="175"/>
      <c r="MDV23" s="175"/>
      <c r="MDW23" s="175"/>
      <c r="MDX23" s="175"/>
      <c r="MDY23" s="175"/>
      <c r="MDZ23" s="175"/>
      <c r="MEA23" s="175"/>
      <c r="MEB23" s="175"/>
      <c r="MEC23" s="175"/>
      <c r="MED23" s="175"/>
      <c r="MEE23" s="175"/>
      <c r="MEF23" s="175"/>
      <c r="MEG23" s="175"/>
      <c r="MEH23" s="175"/>
      <c r="MEI23" s="175"/>
      <c r="MEJ23" s="175"/>
      <c r="MEK23" s="175"/>
      <c r="MEL23" s="175"/>
      <c r="MEM23" s="175"/>
      <c r="MEN23" s="175"/>
      <c r="MEO23" s="175"/>
      <c r="MEP23" s="175"/>
      <c r="MEQ23" s="175"/>
      <c r="MER23" s="175"/>
      <c r="MES23" s="175"/>
      <c r="MET23" s="175"/>
      <c r="MEU23" s="175"/>
      <c r="MEV23" s="175"/>
      <c r="MEW23" s="175"/>
      <c r="MEX23" s="175"/>
      <c r="MEY23" s="175"/>
      <c r="MEZ23" s="175"/>
      <c r="MFA23" s="175"/>
      <c r="MFB23" s="175"/>
      <c r="MFC23" s="175"/>
      <c r="MFD23" s="175"/>
      <c r="MFE23" s="175"/>
      <c r="MFF23" s="175"/>
      <c r="MFG23" s="175"/>
      <c r="MFH23" s="175"/>
      <c r="MFI23" s="175"/>
      <c r="MFJ23" s="175"/>
      <c r="MFK23" s="175"/>
      <c r="MFL23" s="175"/>
      <c r="MFM23" s="175"/>
      <c r="MFN23" s="175"/>
      <c r="MFO23" s="175"/>
      <c r="MFP23" s="175"/>
      <c r="MFQ23" s="175"/>
      <c r="MFR23" s="175"/>
      <c r="MFS23" s="175"/>
      <c r="MFT23" s="175"/>
      <c r="MFU23" s="175"/>
      <c r="MFV23" s="175"/>
      <c r="MFW23" s="175"/>
      <c r="MFX23" s="175"/>
      <c r="MFY23" s="175"/>
      <c r="MFZ23" s="175"/>
      <c r="MGA23" s="175"/>
      <c r="MGB23" s="175"/>
      <c r="MGC23" s="175"/>
      <c r="MGD23" s="175"/>
      <c r="MGE23" s="175"/>
      <c r="MGF23" s="175"/>
      <c r="MGG23" s="175"/>
      <c r="MGH23" s="175"/>
      <c r="MGI23" s="175"/>
      <c r="MGJ23" s="175"/>
      <c r="MGK23" s="175"/>
      <c r="MGL23" s="175"/>
      <c r="MGM23" s="175"/>
      <c r="MGN23" s="175"/>
      <c r="MGO23" s="175"/>
      <c r="MGP23" s="175"/>
      <c r="MGQ23" s="175"/>
      <c r="MGR23" s="175"/>
      <c r="MGS23" s="175"/>
      <c r="MGT23" s="175"/>
      <c r="MGU23" s="175"/>
      <c r="MGV23" s="175"/>
      <c r="MGW23" s="175"/>
      <c r="MGX23" s="175"/>
      <c r="MGY23" s="175"/>
      <c r="MGZ23" s="175"/>
      <c r="MHA23" s="175"/>
      <c r="MHB23" s="175"/>
      <c r="MHC23" s="175"/>
      <c r="MHD23" s="175"/>
      <c r="MHE23" s="175"/>
      <c r="MHF23" s="175"/>
      <c r="MHG23" s="175"/>
      <c r="MHH23" s="175"/>
      <c r="MHI23" s="175"/>
      <c r="MHJ23" s="175"/>
      <c r="MHK23" s="175"/>
      <c r="MHL23" s="175"/>
      <c r="MHM23" s="175"/>
      <c r="MHN23" s="175"/>
      <c r="MHO23" s="175"/>
      <c r="MHP23" s="175"/>
      <c r="MHQ23" s="175"/>
      <c r="MHR23" s="175"/>
      <c r="MHS23" s="175"/>
      <c r="MHT23" s="175"/>
      <c r="MHU23" s="175"/>
      <c r="MHV23" s="175"/>
      <c r="MHW23" s="175"/>
      <c r="MHX23" s="175"/>
      <c r="MHY23" s="175"/>
      <c r="MHZ23" s="175"/>
      <c r="MIA23" s="175"/>
      <c r="MIB23" s="175"/>
      <c r="MIC23" s="175"/>
      <c r="MID23" s="175"/>
      <c r="MIE23" s="175"/>
      <c r="MIF23" s="175"/>
      <c r="MIG23" s="175"/>
      <c r="MIH23" s="175"/>
      <c r="MII23" s="175"/>
      <c r="MIJ23" s="175"/>
      <c r="MIK23" s="175"/>
      <c r="MIL23" s="175"/>
      <c r="MIM23" s="175"/>
      <c r="MIN23" s="175"/>
      <c r="MIO23" s="175"/>
      <c r="MIP23" s="175"/>
      <c r="MIQ23" s="175"/>
      <c r="MIR23" s="175"/>
      <c r="MIS23" s="175"/>
      <c r="MIT23" s="175"/>
      <c r="MIU23" s="175"/>
      <c r="MIV23" s="175"/>
      <c r="MIW23" s="175"/>
      <c r="MIX23" s="175"/>
      <c r="MIY23" s="175"/>
      <c r="MIZ23" s="175"/>
      <c r="MJA23" s="175"/>
      <c r="MJB23" s="175"/>
      <c r="MJC23" s="175"/>
      <c r="MJD23" s="175"/>
      <c r="MJE23" s="175"/>
      <c r="MJF23" s="175"/>
      <c r="MJG23" s="175"/>
      <c r="MJH23" s="175"/>
      <c r="MJI23" s="175"/>
      <c r="MJJ23" s="175"/>
      <c r="MJK23" s="175"/>
      <c r="MJL23" s="175"/>
      <c r="MJM23" s="175"/>
      <c r="MJN23" s="175"/>
      <c r="MJO23" s="175"/>
      <c r="MJP23" s="175"/>
      <c r="MJQ23" s="175"/>
      <c r="MJR23" s="175"/>
      <c r="MJS23" s="175"/>
      <c r="MJT23" s="175"/>
      <c r="MJU23" s="175"/>
      <c r="MJV23" s="175"/>
      <c r="MJW23" s="175"/>
      <c r="MJX23" s="175"/>
      <c r="MJY23" s="175"/>
      <c r="MJZ23" s="175"/>
      <c r="MKA23" s="175"/>
      <c r="MKB23" s="175"/>
      <c r="MKC23" s="175"/>
      <c r="MKD23" s="175"/>
      <c r="MKE23" s="175"/>
      <c r="MKF23" s="175"/>
      <c r="MKG23" s="175"/>
      <c r="MKH23" s="175"/>
      <c r="MKI23" s="175"/>
      <c r="MKJ23" s="175"/>
      <c r="MKK23" s="175"/>
      <c r="MKL23" s="175"/>
      <c r="MKM23" s="175"/>
      <c r="MKN23" s="175"/>
      <c r="MKO23" s="175"/>
      <c r="MKP23" s="175"/>
      <c r="MKQ23" s="175"/>
      <c r="MKR23" s="175"/>
      <c r="MKS23" s="175"/>
      <c r="MKT23" s="175"/>
      <c r="MKU23" s="175"/>
      <c r="MKV23" s="175"/>
      <c r="MKW23" s="175"/>
      <c r="MKX23" s="175"/>
      <c r="MKY23" s="175"/>
      <c r="MKZ23" s="175"/>
      <c r="MLA23" s="175"/>
      <c r="MLB23" s="175"/>
      <c r="MLC23" s="175"/>
      <c r="MLD23" s="175"/>
      <c r="MLE23" s="175"/>
      <c r="MLF23" s="175"/>
      <c r="MLG23" s="175"/>
      <c r="MLH23" s="175"/>
      <c r="MLI23" s="175"/>
      <c r="MLJ23" s="175"/>
      <c r="MLK23" s="175"/>
      <c r="MLL23" s="175"/>
      <c r="MLM23" s="175"/>
      <c r="MLN23" s="175"/>
      <c r="MLO23" s="175"/>
      <c r="MLP23" s="175"/>
      <c r="MLQ23" s="175"/>
      <c r="MLR23" s="175"/>
      <c r="MLS23" s="175"/>
      <c r="MLT23" s="175"/>
      <c r="MLU23" s="175"/>
      <c r="MLV23" s="175"/>
      <c r="MLW23" s="175"/>
      <c r="MLX23" s="175"/>
      <c r="MLY23" s="175"/>
      <c r="MLZ23" s="175"/>
      <c r="MMA23" s="175"/>
      <c r="MMB23" s="175"/>
      <c r="MMC23" s="175"/>
      <c r="MMD23" s="175"/>
      <c r="MME23" s="175"/>
      <c r="MMF23" s="175"/>
      <c r="MMG23" s="175"/>
      <c r="MMH23" s="175"/>
      <c r="MMI23" s="175"/>
      <c r="MMJ23" s="175"/>
      <c r="MMK23" s="175"/>
      <c r="MML23" s="175"/>
      <c r="MMM23" s="175"/>
      <c r="MMN23" s="175"/>
      <c r="MMO23" s="175"/>
      <c r="MMP23" s="175"/>
      <c r="MMQ23" s="175"/>
      <c r="MMR23" s="175"/>
      <c r="MMS23" s="175"/>
      <c r="MMT23" s="175"/>
      <c r="MMU23" s="175"/>
      <c r="MMV23" s="175"/>
      <c r="MMW23" s="175"/>
      <c r="MMX23" s="175"/>
      <c r="MMY23" s="175"/>
      <c r="MMZ23" s="175"/>
      <c r="MNA23" s="175"/>
      <c r="MNB23" s="175"/>
      <c r="MNC23" s="175"/>
      <c r="MND23" s="175"/>
      <c r="MNE23" s="175"/>
      <c r="MNF23" s="175"/>
      <c r="MNG23" s="175"/>
      <c r="MNH23" s="175"/>
      <c r="MNI23" s="175"/>
      <c r="MNJ23" s="175"/>
      <c r="MNK23" s="175"/>
      <c r="MNL23" s="175"/>
      <c r="MNM23" s="175"/>
      <c r="MNN23" s="175"/>
      <c r="MNO23" s="175"/>
      <c r="MNP23" s="175"/>
      <c r="MNQ23" s="175"/>
      <c r="MNR23" s="175"/>
      <c r="MNS23" s="175"/>
      <c r="MNT23" s="175"/>
      <c r="MNU23" s="175"/>
      <c r="MNV23" s="175"/>
      <c r="MNW23" s="175"/>
      <c r="MNX23" s="175"/>
      <c r="MNY23" s="175"/>
      <c r="MNZ23" s="175"/>
      <c r="MOA23" s="175"/>
      <c r="MOB23" s="175"/>
      <c r="MOC23" s="175"/>
      <c r="MOD23" s="175"/>
      <c r="MOE23" s="175"/>
      <c r="MOF23" s="175"/>
      <c r="MOG23" s="175"/>
      <c r="MOH23" s="175"/>
      <c r="MOI23" s="175"/>
      <c r="MOJ23" s="175"/>
      <c r="MOK23" s="175"/>
      <c r="MOL23" s="175"/>
      <c r="MOM23" s="175"/>
      <c r="MON23" s="175"/>
      <c r="MOO23" s="175"/>
      <c r="MOP23" s="175"/>
      <c r="MOQ23" s="175"/>
      <c r="MOR23" s="175"/>
      <c r="MOS23" s="175"/>
      <c r="MOT23" s="175"/>
      <c r="MOU23" s="175"/>
      <c r="MOV23" s="175"/>
      <c r="MOW23" s="175"/>
      <c r="MOX23" s="175"/>
      <c r="MOY23" s="175"/>
      <c r="MOZ23" s="175"/>
      <c r="MPA23" s="175"/>
      <c r="MPB23" s="175"/>
      <c r="MPC23" s="175"/>
      <c r="MPD23" s="175"/>
      <c r="MPE23" s="175"/>
      <c r="MPF23" s="175"/>
      <c r="MPG23" s="175"/>
      <c r="MPH23" s="175"/>
      <c r="MPI23" s="175"/>
      <c r="MPJ23" s="175"/>
      <c r="MPK23" s="175"/>
      <c r="MPL23" s="175"/>
      <c r="MPM23" s="175"/>
      <c r="MPN23" s="175"/>
      <c r="MPO23" s="175"/>
      <c r="MPP23" s="175"/>
      <c r="MPQ23" s="175"/>
      <c r="MPR23" s="175"/>
      <c r="MPS23" s="175"/>
      <c r="MPT23" s="175"/>
      <c r="MPU23" s="175"/>
      <c r="MPV23" s="175"/>
      <c r="MPW23" s="175"/>
      <c r="MPX23" s="175"/>
      <c r="MPY23" s="175"/>
      <c r="MPZ23" s="175"/>
      <c r="MQA23" s="175"/>
      <c r="MQB23" s="175"/>
      <c r="MQC23" s="175"/>
      <c r="MQD23" s="175"/>
      <c r="MQE23" s="175"/>
      <c r="MQF23" s="175"/>
      <c r="MQG23" s="175"/>
      <c r="MQH23" s="175"/>
      <c r="MQI23" s="175"/>
      <c r="MQJ23" s="175"/>
      <c r="MQK23" s="175"/>
      <c r="MQL23" s="175"/>
      <c r="MQM23" s="175"/>
      <c r="MQN23" s="175"/>
      <c r="MQO23" s="175"/>
      <c r="MQP23" s="175"/>
      <c r="MQQ23" s="175"/>
      <c r="MQR23" s="175"/>
      <c r="MQS23" s="175"/>
      <c r="MQT23" s="175"/>
      <c r="MQU23" s="175"/>
      <c r="MQV23" s="175"/>
      <c r="MQW23" s="175"/>
      <c r="MQX23" s="175"/>
      <c r="MQY23" s="175"/>
      <c r="MQZ23" s="175"/>
      <c r="MRA23" s="175"/>
      <c r="MRB23" s="175"/>
      <c r="MRC23" s="175"/>
      <c r="MRD23" s="175"/>
      <c r="MRE23" s="175"/>
      <c r="MRF23" s="175"/>
      <c r="MRG23" s="175"/>
      <c r="MRH23" s="175"/>
      <c r="MRI23" s="175"/>
      <c r="MRJ23" s="175"/>
      <c r="MRK23" s="175"/>
      <c r="MRL23" s="175"/>
      <c r="MRM23" s="175"/>
      <c r="MRN23" s="175"/>
      <c r="MRO23" s="175"/>
      <c r="MRP23" s="175"/>
      <c r="MRQ23" s="175"/>
      <c r="MRR23" s="175"/>
      <c r="MRS23" s="175"/>
      <c r="MRT23" s="175"/>
      <c r="MRU23" s="175"/>
      <c r="MRV23" s="175"/>
      <c r="MRW23" s="175"/>
      <c r="MRX23" s="175"/>
      <c r="MRY23" s="175"/>
      <c r="MRZ23" s="175"/>
      <c r="MSA23" s="175"/>
      <c r="MSB23" s="175"/>
      <c r="MSC23" s="175"/>
      <c r="MSD23" s="175"/>
      <c r="MSE23" s="175"/>
      <c r="MSF23" s="175"/>
      <c r="MSG23" s="175"/>
      <c r="MSH23" s="175"/>
      <c r="MSI23" s="175"/>
      <c r="MSJ23" s="175"/>
      <c r="MSK23" s="175"/>
      <c r="MSL23" s="175"/>
      <c r="MSM23" s="175"/>
      <c r="MSN23" s="175"/>
      <c r="MSO23" s="175"/>
      <c r="MSP23" s="175"/>
      <c r="MSQ23" s="175"/>
      <c r="MSR23" s="175"/>
      <c r="MSS23" s="175"/>
      <c r="MST23" s="175"/>
      <c r="MSU23" s="175"/>
      <c r="MSV23" s="175"/>
      <c r="MSW23" s="175"/>
      <c r="MSX23" s="175"/>
      <c r="MSY23" s="175"/>
      <c r="MSZ23" s="175"/>
      <c r="MTA23" s="175"/>
      <c r="MTB23" s="175"/>
      <c r="MTC23" s="175"/>
      <c r="MTD23" s="175"/>
      <c r="MTE23" s="175"/>
      <c r="MTF23" s="175"/>
      <c r="MTG23" s="175"/>
      <c r="MTH23" s="175"/>
      <c r="MTI23" s="175"/>
      <c r="MTJ23" s="175"/>
      <c r="MTK23" s="175"/>
      <c r="MTL23" s="175"/>
      <c r="MTM23" s="175"/>
      <c r="MTN23" s="175"/>
      <c r="MTO23" s="175"/>
      <c r="MTP23" s="175"/>
      <c r="MTQ23" s="175"/>
      <c r="MTR23" s="175"/>
      <c r="MTS23" s="175"/>
      <c r="MTT23" s="175"/>
      <c r="MTU23" s="175"/>
      <c r="MTV23" s="175"/>
      <c r="MTW23" s="175"/>
      <c r="MTX23" s="175"/>
      <c r="MTY23" s="175"/>
      <c r="MTZ23" s="175"/>
      <c r="MUA23" s="175"/>
      <c r="MUB23" s="175"/>
      <c r="MUC23" s="175"/>
      <c r="MUD23" s="175"/>
      <c r="MUE23" s="175"/>
      <c r="MUF23" s="175"/>
      <c r="MUG23" s="175"/>
      <c r="MUH23" s="175"/>
      <c r="MUI23" s="175"/>
      <c r="MUJ23" s="175"/>
      <c r="MUK23" s="175"/>
      <c r="MUL23" s="175"/>
      <c r="MUM23" s="175"/>
      <c r="MUN23" s="175"/>
      <c r="MUO23" s="175"/>
      <c r="MUP23" s="175"/>
      <c r="MUQ23" s="175"/>
      <c r="MUR23" s="175"/>
      <c r="MUS23" s="175"/>
      <c r="MUT23" s="175"/>
      <c r="MUU23" s="175"/>
      <c r="MUV23" s="175"/>
      <c r="MUW23" s="175"/>
      <c r="MUX23" s="175"/>
      <c r="MUY23" s="175"/>
      <c r="MUZ23" s="175"/>
      <c r="MVA23" s="175"/>
      <c r="MVB23" s="175"/>
      <c r="MVC23" s="175"/>
      <c r="MVD23" s="175"/>
      <c r="MVE23" s="175"/>
      <c r="MVF23" s="175"/>
      <c r="MVG23" s="175"/>
      <c r="MVH23" s="175"/>
      <c r="MVI23" s="175"/>
      <c r="MVJ23" s="175"/>
      <c r="MVK23" s="175"/>
      <c r="MVL23" s="175"/>
      <c r="MVM23" s="175"/>
      <c r="MVN23" s="175"/>
      <c r="MVO23" s="175"/>
      <c r="MVP23" s="175"/>
      <c r="MVQ23" s="175"/>
      <c r="MVR23" s="175"/>
      <c r="MVS23" s="175"/>
      <c r="MVT23" s="175"/>
      <c r="MVU23" s="175"/>
      <c r="MVV23" s="175"/>
      <c r="MVW23" s="175"/>
      <c r="MVX23" s="175"/>
      <c r="MVY23" s="175"/>
      <c r="MVZ23" s="175"/>
      <c r="MWA23" s="175"/>
      <c r="MWB23" s="175"/>
      <c r="MWC23" s="175"/>
      <c r="MWD23" s="175"/>
      <c r="MWE23" s="175"/>
      <c r="MWF23" s="175"/>
      <c r="MWG23" s="175"/>
      <c r="MWH23" s="175"/>
      <c r="MWI23" s="175"/>
      <c r="MWJ23" s="175"/>
      <c r="MWK23" s="175"/>
      <c r="MWL23" s="175"/>
      <c r="MWM23" s="175"/>
      <c r="MWN23" s="175"/>
      <c r="MWO23" s="175"/>
      <c r="MWP23" s="175"/>
      <c r="MWQ23" s="175"/>
      <c r="MWR23" s="175"/>
      <c r="MWS23" s="175"/>
      <c r="MWT23" s="175"/>
      <c r="MWU23" s="175"/>
      <c r="MWV23" s="175"/>
      <c r="MWW23" s="175"/>
      <c r="MWX23" s="175"/>
      <c r="MWY23" s="175"/>
      <c r="MWZ23" s="175"/>
      <c r="MXA23" s="175"/>
      <c r="MXB23" s="175"/>
      <c r="MXC23" s="175"/>
      <c r="MXD23" s="175"/>
      <c r="MXE23" s="175"/>
      <c r="MXF23" s="175"/>
      <c r="MXG23" s="175"/>
      <c r="MXH23" s="175"/>
      <c r="MXI23" s="175"/>
      <c r="MXJ23" s="175"/>
      <c r="MXK23" s="175"/>
      <c r="MXL23" s="175"/>
      <c r="MXM23" s="175"/>
      <c r="MXN23" s="175"/>
      <c r="MXO23" s="175"/>
      <c r="MXP23" s="175"/>
      <c r="MXQ23" s="175"/>
      <c r="MXR23" s="175"/>
      <c r="MXS23" s="175"/>
      <c r="MXT23" s="175"/>
      <c r="MXU23" s="175"/>
      <c r="MXV23" s="175"/>
      <c r="MXW23" s="175"/>
      <c r="MXX23" s="175"/>
      <c r="MXY23" s="175"/>
      <c r="MXZ23" s="175"/>
      <c r="MYA23" s="175"/>
      <c r="MYB23" s="175"/>
      <c r="MYC23" s="175"/>
      <c r="MYD23" s="175"/>
      <c r="MYE23" s="175"/>
      <c r="MYF23" s="175"/>
      <c r="MYG23" s="175"/>
      <c r="MYH23" s="175"/>
      <c r="MYI23" s="175"/>
      <c r="MYJ23" s="175"/>
      <c r="MYK23" s="175"/>
      <c r="MYL23" s="175"/>
      <c r="MYM23" s="175"/>
      <c r="MYN23" s="175"/>
      <c r="MYO23" s="175"/>
      <c r="MYP23" s="175"/>
      <c r="MYQ23" s="175"/>
      <c r="MYR23" s="175"/>
      <c r="MYS23" s="175"/>
      <c r="MYT23" s="175"/>
      <c r="MYU23" s="175"/>
      <c r="MYV23" s="175"/>
      <c r="MYW23" s="175"/>
      <c r="MYX23" s="175"/>
      <c r="MYY23" s="175"/>
      <c r="MYZ23" s="175"/>
      <c r="MZA23" s="175"/>
      <c r="MZB23" s="175"/>
      <c r="MZC23" s="175"/>
      <c r="MZD23" s="175"/>
      <c r="MZE23" s="175"/>
      <c r="MZF23" s="175"/>
      <c r="MZG23" s="175"/>
      <c r="MZH23" s="175"/>
      <c r="MZI23" s="175"/>
      <c r="MZJ23" s="175"/>
      <c r="MZK23" s="175"/>
      <c r="MZL23" s="175"/>
      <c r="MZM23" s="175"/>
      <c r="MZN23" s="175"/>
      <c r="MZO23" s="175"/>
      <c r="MZP23" s="175"/>
      <c r="MZQ23" s="175"/>
      <c r="MZR23" s="175"/>
      <c r="MZS23" s="175"/>
      <c r="MZT23" s="175"/>
      <c r="MZU23" s="175"/>
      <c r="MZV23" s="175"/>
      <c r="MZW23" s="175"/>
      <c r="MZX23" s="175"/>
      <c r="MZY23" s="175"/>
      <c r="MZZ23" s="175"/>
      <c r="NAA23" s="175"/>
      <c r="NAB23" s="175"/>
      <c r="NAC23" s="175"/>
      <c r="NAD23" s="175"/>
      <c r="NAE23" s="175"/>
      <c r="NAF23" s="175"/>
      <c r="NAG23" s="175"/>
      <c r="NAH23" s="175"/>
      <c r="NAI23" s="175"/>
      <c r="NAJ23" s="175"/>
      <c r="NAK23" s="175"/>
      <c r="NAL23" s="175"/>
      <c r="NAM23" s="175"/>
      <c r="NAN23" s="175"/>
      <c r="NAO23" s="175"/>
      <c r="NAP23" s="175"/>
      <c r="NAQ23" s="175"/>
      <c r="NAR23" s="175"/>
      <c r="NAS23" s="175"/>
      <c r="NAT23" s="175"/>
      <c r="NAU23" s="175"/>
      <c r="NAV23" s="175"/>
      <c r="NAW23" s="175"/>
      <c r="NAX23" s="175"/>
      <c r="NAY23" s="175"/>
      <c r="NAZ23" s="175"/>
      <c r="NBA23" s="175"/>
      <c r="NBB23" s="175"/>
      <c r="NBC23" s="175"/>
      <c r="NBD23" s="175"/>
      <c r="NBE23" s="175"/>
      <c r="NBF23" s="175"/>
      <c r="NBG23" s="175"/>
      <c r="NBH23" s="175"/>
      <c r="NBI23" s="175"/>
      <c r="NBJ23" s="175"/>
      <c r="NBK23" s="175"/>
      <c r="NBL23" s="175"/>
      <c r="NBM23" s="175"/>
      <c r="NBN23" s="175"/>
      <c r="NBO23" s="175"/>
      <c r="NBP23" s="175"/>
      <c r="NBQ23" s="175"/>
      <c r="NBR23" s="175"/>
      <c r="NBS23" s="175"/>
      <c r="NBT23" s="175"/>
      <c r="NBU23" s="175"/>
      <c r="NBV23" s="175"/>
      <c r="NBW23" s="175"/>
      <c r="NBX23" s="175"/>
      <c r="NBY23" s="175"/>
      <c r="NBZ23" s="175"/>
      <c r="NCA23" s="175"/>
      <c r="NCB23" s="175"/>
      <c r="NCC23" s="175"/>
      <c r="NCD23" s="175"/>
      <c r="NCE23" s="175"/>
      <c r="NCF23" s="175"/>
      <c r="NCG23" s="175"/>
      <c r="NCH23" s="175"/>
      <c r="NCI23" s="175"/>
      <c r="NCJ23" s="175"/>
      <c r="NCK23" s="175"/>
      <c r="NCL23" s="175"/>
      <c r="NCM23" s="175"/>
      <c r="NCN23" s="175"/>
      <c r="NCO23" s="175"/>
      <c r="NCP23" s="175"/>
      <c r="NCQ23" s="175"/>
      <c r="NCR23" s="175"/>
      <c r="NCS23" s="175"/>
      <c r="NCT23" s="175"/>
      <c r="NCU23" s="175"/>
      <c r="NCV23" s="175"/>
      <c r="NCW23" s="175"/>
      <c r="NCX23" s="175"/>
      <c r="NCY23" s="175"/>
      <c r="NCZ23" s="175"/>
      <c r="NDA23" s="175"/>
      <c r="NDB23" s="175"/>
      <c r="NDC23" s="175"/>
      <c r="NDD23" s="175"/>
      <c r="NDE23" s="175"/>
      <c r="NDF23" s="175"/>
      <c r="NDG23" s="175"/>
      <c r="NDH23" s="175"/>
      <c r="NDI23" s="175"/>
      <c r="NDJ23" s="175"/>
      <c r="NDK23" s="175"/>
      <c r="NDL23" s="175"/>
      <c r="NDM23" s="175"/>
      <c r="NDN23" s="175"/>
      <c r="NDO23" s="175"/>
      <c r="NDP23" s="175"/>
      <c r="NDQ23" s="175"/>
      <c r="NDR23" s="175"/>
      <c r="NDS23" s="175"/>
      <c r="NDT23" s="175"/>
      <c r="NDU23" s="175"/>
      <c r="NDV23" s="175"/>
      <c r="NDW23" s="175"/>
      <c r="NDX23" s="175"/>
      <c r="NDY23" s="175"/>
      <c r="NDZ23" s="175"/>
      <c r="NEA23" s="175"/>
      <c r="NEB23" s="175"/>
      <c r="NEC23" s="175"/>
      <c r="NED23" s="175"/>
      <c r="NEE23" s="175"/>
      <c r="NEF23" s="175"/>
      <c r="NEG23" s="175"/>
      <c r="NEH23" s="175"/>
      <c r="NEI23" s="175"/>
      <c r="NEJ23" s="175"/>
      <c r="NEK23" s="175"/>
      <c r="NEL23" s="175"/>
      <c r="NEM23" s="175"/>
      <c r="NEN23" s="175"/>
      <c r="NEO23" s="175"/>
      <c r="NEP23" s="175"/>
      <c r="NEQ23" s="175"/>
      <c r="NER23" s="175"/>
      <c r="NES23" s="175"/>
      <c r="NET23" s="175"/>
      <c r="NEU23" s="175"/>
      <c r="NEV23" s="175"/>
      <c r="NEW23" s="175"/>
      <c r="NEX23" s="175"/>
      <c r="NEY23" s="175"/>
      <c r="NEZ23" s="175"/>
      <c r="NFA23" s="175"/>
      <c r="NFB23" s="175"/>
      <c r="NFC23" s="175"/>
      <c r="NFD23" s="175"/>
      <c r="NFE23" s="175"/>
      <c r="NFF23" s="175"/>
      <c r="NFG23" s="175"/>
      <c r="NFH23" s="175"/>
      <c r="NFI23" s="175"/>
      <c r="NFJ23" s="175"/>
      <c r="NFK23" s="175"/>
      <c r="NFL23" s="175"/>
      <c r="NFM23" s="175"/>
      <c r="NFN23" s="175"/>
      <c r="NFO23" s="175"/>
      <c r="NFP23" s="175"/>
      <c r="NFQ23" s="175"/>
      <c r="NFR23" s="175"/>
      <c r="NFS23" s="175"/>
      <c r="NFT23" s="175"/>
      <c r="NFU23" s="175"/>
      <c r="NFV23" s="175"/>
      <c r="NFW23" s="175"/>
      <c r="NFX23" s="175"/>
      <c r="NFY23" s="175"/>
      <c r="NFZ23" s="175"/>
      <c r="NGA23" s="175"/>
      <c r="NGB23" s="175"/>
      <c r="NGC23" s="175"/>
      <c r="NGD23" s="175"/>
      <c r="NGE23" s="175"/>
      <c r="NGF23" s="175"/>
      <c r="NGG23" s="175"/>
      <c r="NGH23" s="175"/>
      <c r="NGI23" s="175"/>
      <c r="NGJ23" s="175"/>
      <c r="NGK23" s="175"/>
      <c r="NGL23" s="175"/>
      <c r="NGM23" s="175"/>
      <c r="NGN23" s="175"/>
      <c r="NGO23" s="175"/>
      <c r="NGP23" s="175"/>
      <c r="NGQ23" s="175"/>
      <c r="NGR23" s="175"/>
      <c r="NGS23" s="175"/>
      <c r="NGT23" s="175"/>
      <c r="NGU23" s="175"/>
      <c r="NGV23" s="175"/>
      <c r="NGW23" s="175"/>
      <c r="NGX23" s="175"/>
      <c r="NGY23" s="175"/>
      <c r="NGZ23" s="175"/>
      <c r="NHA23" s="175"/>
      <c r="NHB23" s="175"/>
      <c r="NHC23" s="175"/>
      <c r="NHD23" s="175"/>
      <c r="NHE23" s="175"/>
      <c r="NHF23" s="175"/>
      <c r="NHG23" s="175"/>
      <c r="NHH23" s="175"/>
      <c r="NHI23" s="175"/>
      <c r="NHJ23" s="175"/>
      <c r="NHK23" s="175"/>
      <c r="NHL23" s="175"/>
      <c r="NHM23" s="175"/>
      <c r="NHN23" s="175"/>
      <c r="NHO23" s="175"/>
      <c r="NHP23" s="175"/>
      <c r="NHQ23" s="175"/>
      <c r="NHR23" s="175"/>
      <c r="NHS23" s="175"/>
      <c r="NHT23" s="175"/>
      <c r="NHU23" s="175"/>
      <c r="NHV23" s="175"/>
      <c r="NHW23" s="175"/>
      <c r="NHX23" s="175"/>
      <c r="NHY23" s="175"/>
      <c r="NHZ23" s="175"/>
      <c r="NIA23" s="175"/>
      <c r="NIB23" s="175"/>
      <c r="NIC23" s="175"/>
      <c r="NID23" s="175"/>
      <c r="NIE23" s="175"/>
      <c r="NIF23" s="175"/>
      <c r="NIG23" s="175"/>
      <c r="NIH23" s="175"/>
      <c r="NII23" s="175"/>
      <c r="NIJ23" s="175"/>
      <c r="NIK23" s="175"/>
      <c r="NIL23" s="175"/>
      <c r="NIM23" s="175"/>
      <c r="NIN23" s="175"/>
      <c r="NIO23" s="175"/>
      <c r="NIP23" s="175"/>
      <c r="NIQ23" s="175"/>
      <c r="NIR23" s="175"/>
      <c r="NIS23" s="175"/>
      <c r="NIT23" s="175"/>
      <c r="NIU23" s="175"/>
      <c r="NIV23" s="175"/>
      <c r="NIW23" s="175"/>
      <c r="NIX23" s="175"/>
      <c r="NIY23" s="175"/>
      <c r="NIZ23" s="175"/>
      <c r="NJA23" s="175"/>
      <c r="NJB23" s="175"/>
      <c r="NJC23" s="175"/>
      <c r="NJD23" s="175"/>
      <c r="NJE23" s="175"/>
      <c r="NJF23" s="175"/>
      <c r="NJG23" s="175"/>
      <c r="NJH23" s="175"/>
      <c r="NJI23" s="175"/>
      <c r="NJJ23" s="175"/>
      <c r="NJK23" s="175"/>
      <c r="NJL23" s="175"/>
      <c r="NJM23" s="175"/>
      <c r="NJN23" s="175"/>
      <c r="NJO23" s="175"/>
      <c r="NJP23" s="175"/>
      <c r="NJQ23" s="175"/>
      <c r="NJR23" s="175"/>
      <c r="NJS23" s="175"/>
      <c r="NJT23" s="175"/>
      <c r="NJU23" s="175"/>
      <c r="NJV23" s="175"/>
      <c r="NJW23" s="175"/>
      <c r="NJX23" s="175"/>
      <c r="NJY23" s="175"/>
      <c r="NJZ23" s="175"/>
      <c r="NKA23" s="175"/>
      <c r="NKB23" s="175"/>
      <c r="NKC23" s="175"/>
      <c r="NKD23" s="175"/>
      <c r="NKE23" s="175"/>
      <c r="NKF23" s="175"/>
      <c r="NKG23" s="175"/>
      <c r="NKH23" s="175"/>
      <c r="NKI23" s="175"/>
      <c r="NKJ23" s="175"/>
      <c r="NKK23" s="175"/>
      <c r="NKL23" s="175"/>
      <c r="NKM23" s="175"/>
      <c r="NKN23" s="175"/>
      <c r="NKO23" s="175"/>
      <c r="NKP23" s="175"/>
      <c r="NKQ23" s="175"/>
      <c r="NKR23" s="175"/>
      <c r="NKS23" s="175"/>
      <c r="NKT23" s="175"/>
      <c r="NKU23" s="175"/>
      <c r="NKV23" s="175"/>
      <c r="NKW23" s="175"/>
      <c r="NKX23" s="175"/>
      <c r="NKY23" s="175"/>
      <c r="NKZ23" s="175"/>
      <c r="NLA23" s="175"/>
      <c r="NLB23" s="175"/>
      <c r="NLC23" s="175"/>
      <c r="NLD23" s="175"/>
      <c r="NLE23" s="175"/>
      <c r="NLF23" s="175"/>
      <c r="NLG23" s="175"/>
      <c r="NLH23" s="175"/>
      <c r="NLI23" s="175"/>
      <c r="NLJ23" s="175"/>
      <c r="NLK23" s="175"/>
      <c r="NLL23" s="175"/>
      <c r="NLM23" s="175"/>
      <c r="NLN23" s="175"/>
      <c r="NLO23" s="175"/>
      <c r="NLP23" s="175"/>
      <c r="NLQ23" s="175"/>
      <c r="NLR23" s="175"/>
      <c r="NLS23" s="175"/>
      <c r="NLT23" s="175"/>
      <c r="NLU23" s="175"/>
      <c r="NLV23" s="175"/>
      <c r="NLW23" s="175"/>
      <c r="NLX23" s="175"/>
      <c r="NLY23" s="175"/>
      <c r="NLZ23" s="175"/>
      <c r="NMA23" s="175"/>
      <c r="NMB23" s="175"/>
      <c r="NMC23" s="175"/>
      <c r="NMD23" s="175"/>
      <c r="NME23" s="175"/>
      <c r="NMF23" s="175"/>
      <c r="NMG23" s="175"/>
      <c r="NMH23" s="175"/>
      <c r="NMI23" s="175"/>
      <c r="NMJ23" s="175"/>
      <c r="NMK23" s="175"/>
      <c r="NML23" s="175"/>
      <c r="NMM23" s="175"/>
      <c r="NMN23" s="175"/>
      <c r="NMO23" s="175"/>
      <c r="NMP23" s="175"/>
      <c r="NMQ23" s="175"/>
      <c r="NMR23" s="175"/>
      <c r="NMS23" s="175"/>
      <c r="NMT23" s="175"/>
      <c r="NMU23" s="175"/>
      <c r="NMV23" s="175"/>
      <c r="NMW23" s="175"/>
      <c r="NMX23" s="175"/>
      <c r="NMY23" s="175"/>
      <c r="NMZ23" s="175"/>
      <c r="NNA23" s="175"/>
      <c r="NNB23" s="175"/>
      <c r="NNC23" s="175"/>
      <c r="NND23" s="175"/>
      <c r="NNE23" s="175"/>
      <c r="NNF23" s="175"/>
      <c r="NNG23" s="175"/>
      <c r="NNH23" s="175"/>
      <c r="NNI23" s="175"/>
      <c r="NNJ23" s="175"/>
      <c r="NNK23" s="175"/>
      <c r="NNL23" s="175"/>
      <c r="NNM23" s="175"/>
      <c r="NNN23" s="175"/>
      <c r="NNO23" s="175"/>
      <c r="NNP23" s="175"/>
      <c r="NNQ23" s="175"/>
      <c r="NNR23" s="175"/>
      <c r="NNS23" s="175"/>
      <c r="NNT23" s="175"/>
      <c r="NNU23" s="175"/>
      <c r="NNV23" s="175"/>
      <c r="NNW23" s="175"/>
      <c r="NNX23" s="175"/>
      <c r="NNY23" s="175"/>
      <c r="NNZ23" s="175"/>
      <c r="NOA23" s="175"/>
      <c r="NOB23" s="175"/>
      <c r="NOC23" s="175"/>
      <c r="NOD23" s="175"/>
      <c r="NOE23" s="175"/>
      <c r="NOF23" s="175"/>
      <c r="NOG23" s="175"/>
      <c r="NOH23" s="175"/>
      <c r="NOI23" s="175"/>
      <c r="NOJ23" s="175"/>
      <c r="NOK23" s="175"/>
      <c r="NOL23" s="175"/>
      <c r="NOM23" s="175"/>
      <c r="NON23" s="175"/>
      <c r="NOO23" s="175"/>
      <c r="NOP23" s="175"/>
      <c r="NOQ23" s="175"/>
      <c r="NOR23" s="175"/>
      <c r="NOS23" s="175"/>
      <c r="NOT23" s="175"/>
      <c r="NOU23" s="175"/>
      <c r="NOV23" s="175"/>
      <c r="NOW23" s="175"/>
      <c r="NOX23" s="175"/>
      <c r="NOY23" s="175"/>
      <c r="NOZ23" s="175"/>
      <c r="NPA23" s="175"/>
      <c r="NPB23" s="175"/>
      <c r="NPC23" s="175"/>
      <c r="NPD23" s="175"/>
      <c r="NPE23" s="175"/>
      <c r="NPF23" s="175"/>
      <c r="NPG23" s="175"/>
      <c r="NPH23" s="175"/>
      <c r="NPI23" s="175"/>
      <c r="NPJ23" s="175"/>
      <c r="NPK23" s="175"/>
      <c r="NPL23" s="175"/>
      <c r="NPM23" s="175"/>
      <c r="NPN23" s="175"/>
      <c r="NPO23" s="175"/>
      <c r="NPP23" s="175"/>
      <c r="NPQ23" s="175"/>
      <c r="NPR23" s="175"/>
      <c r="NPS23" s="175"/>
      <c r="NPT23" s="175"/>
      <c r="NPU23" s="175"/>
      <c r="NPV23" s="175"/>
      <c r="NPW23" s="175"/>
      <c r="NPX23" s="175"/>
      <c r="NPY23" s="175"/>
      <c r="NPZ23" s="175"/>
      <c r="NQA23" s="175"/>
      <c r="NQB23" s="175"/>
      <c r="NQC23" s="175"/>
      <c r="NQD23" s="175"/>
      <c r="NQE23" s="175"/>
      <c r="NQF23" s="175"/>
      <c r="NQG23" s="175"/>
      <c r="NQH23" s="175"/>
      <c r="NQI23" s="175"/>
      <c r="NQJ23" s="175"/>
      <c r="NQK23" s="175"/>
      <c r="NQL23" s="175"/>
      <c r="NQM23" s="175"/>
      <c r="NQN23" s="175"/>
      <c r="NQO23" s="175"/>
      <c r="NQP23" s="175"/>
      <c r="NQQ23" s="175"/>
      <c r="NQR23" s="175"/>
      <c r="NQS23" s="175"/>
      <c r="NQT23" s="175"/>
      <c r="NQU23" s="175"/>
      <c r="NQV23" s="175"/>
      <c r="NQW23" s="175"/>
      <c r="NQX23" s="175"/>
      <c r="NQY23" s="175"/>
      <c r="NQZ23" s="175"/>
      <c r="NRA23" s="175"/>
      <c r="NRB23" s="175"/>
      <c r="NRC23" s="175"/>
      <c r="NRD23" s="175"/>
      <c r="NRE23" s="175"/>
      <c r="NRF23" s="175"/>
      <c r="NRG23" s="175"/>
      <c r="NRH23" s="175"/>
      <c r="NRI23" s="175"/>
      <c r="NRJ23" s="175"/>
      <c r="NRK23" s="175"/>
      <c r="NRL23" s="175"/>
      <c r="NRM23" s="175"/>
      <c r="NRN23" s="175"/>
      <c r="NRO23" s="175"/>
      <c r="NRP23" s="175"/>
      <c r="NRQ23" s="175"/>
      <c r="NRR23" s="175"/>
      <c r="NRS23" s="175"/>
      <c r="NRT23" s="175"/>
      <c r="NRU23" s="175"/>
      <c r="NRV23" s="175"/>
      <c r="NRW23" s="175"/>
      <c r="NRX23" s="175"/>
      <c r="NRY23" s="175"/>
      <c r="NRZ23" s="175"/>
      <c r="NSA23" s="175"/>
      <c r="NSB23" s="175"/>
      <c r="NSC23" s="175"/>
      <c r="NSD23" s="175"/>
      <c r="NSE23" s="175"/>
      <c r="NSF23" s="175"/>
      <c r="NSG23" s="175"/>
      <c r="NSH23" s="175"/>
      <c r="NSI23" s="175"/>
      <c r="NSJ23" s="175"/>
      <c r="NSK23" s="175"/>
      <c r="NSL23" s="175"/>
      <c r="NSM23" s="175"/>
      <c r="NSN23" s="175"/>
      <c r="NSO23" s="175"/>
      <c r="NSP23" s="175"/>
      <c r="NSQ23" s="175"/>
      <c r="NSR23" s="175"/>
      <c r="NSS23" s="175"/>
      <c r="NST23" s="175"/>
      <c r="NSU23" s="175"/>
      <c r="NSV23" s="175"/>
      <c r="NSW23" s="175"/>
      <c r="NSX23" s="175"/>
      <c r="NSY23" s="175"/>
      <c r="NSZ23" s="175"/>
      <c r="NTA23" s="175"/>
      <c r="NTB23" s="175"/>
      <c r="NTC23" s="175"/>
      <c r="NTD23" s="175"/>
      <c r="NTE23" s="175"/>
      <c r="NTF23" s="175"/>
      <c r="NTG23" s="175"/>
      <c r="NTH23" s="175"/>
      <c r="NTI23" s="175"/>
      <c r="NTJ23" s="175"/>
      <c r="NTK23" s="175"/>
      <c r="NTL23" s="175"/>
      <c r="NTM23" s="175"/>
      <c r="NTN23" s="175"/>
      <c r="NTO23" s="175"/>
      <c r="NTP23" s="175"/>
      <c r="NTQ23" s="175"/>
      <c r="NTR23" s="175"/>
      <c r="NTS23" s="175"/>
      <c r="NTT23" s="175"/>
      <c r="NTU23" s="175"/>
      <c r="NTV23" s="175"/>
      <c r="NTW23" s="175"/>
      <c r="NTX23" s="175"/>
      <c r="NTY23" s="175"/>
      <c r="NTZ23" s="175"/>
      <c r="NUA23" s="175"/>
      <c r="NUB23" s="175"/>
      <c r="NUC23" s="175"/>
      <c r="NUD23" s="175"/>
      <c r="NUE23" s="175"/>
      <c r="NUF23" s="175"/>
      <c r="NUG23" s="175"/>
      <c r="NUH23" s="175"/>
      <c r="NUI23" s="175"/>
      <c r="NUJ23" s="175"/>
      <c r="NUK23" s="175"/>
      <c r="NUL23" s="175"/>
      <c r="NUM23" s="175"/>
      <c r="NUN23" s="175"/>
      <c r="NUO23" s="175"/>
      <c r="NUP23" s="175"/>
      <c r="NUQ23" s="175"/>
      <c r="NUR23" s="175"/>
      <c r="NUS23" s="175"/>
      <c r="NUT23" s="175"/>
      <c r="NUU23" s="175"/>
      <c r="NUV23" s="175"/>
      <c r="NUW23" s="175"/>
      <c r="NUX23" s="175"/>
      <c r="NUY23" s="175"/>
      <c r="NUZ23" s="175"/>
      <c r="NVA23" s="175"/>
      <c r="NVB23" s="175"/>
      <c r="NVC23" s="175"/>
      <c r="NVD23" s="175"/>
      <c r="NVE23" s="175"/>
      <c r="NVF23" s="175"/>
      <c r="NVG23" s="175"/>
      <c r="NVH23" s="175"/>
      <c r="NVI23" s="175"/>
      <c r="NVJ23" s="175"/>
      <c r="NVK23" s="175"/>
      <c r="NVL23" s="175"/>
      <c r="NVM23" s="175"/>
      <c r="NVN23" s="175"/>
      <c r="NVO23" s="175"/>
      <c r="NVP23" s="175"/>
      <c r="NVQ23" s="175"/>
      <c r="NVR23" s="175"/>
      <c r="NVS23" s="175"/>
      <c r="NVT23" s="175"/>
      <c r="NVU23" s="175"/>
      <c r="NVV23" s="175"/>
      <c r="NVW23" s="175"/>
      <c r="NVX23" s="175"/>
      <c r="NVY23" s="175"/>
      <c r="NVZ23" s="175"/>
      <c r="NWA23" s="175"/>
      <c r="NWB23" s="175"/>
      <c r="NWC23" s="175"/>
      <c r="NWD23" s="175"/>
      <c r="NWE23" s="175"/>
      <c r="NWF23" s="175"/>
      <c r="NWG23" s="175"/>
      <c r="NWH23" s="175"/>
      <c r="NWI23" s="175"/>
      <c r="NWJ23" s="175"/>
      <c r="NWK23" s="175"/>
      <c r="NWL23" s="175"/>
      <c r="NWM23" s="175"/>
      <c r="NWN23" s="175"/>
      <c r="NWO23" s="175"/>
      <c r="NWP23" s="175"/>
      <c r="NWQ23" s="175"/>
      <c r="NWR23" s="175"/>
      <c r="NWS23" s="175"/>
      <c r="NWT23" s="175"/>
      <c r="NWU23" s="175"/>
      <c r="NWV23" s="175"/>
      <c r="NWW23" s="175"/>
      <c r="NWX23" s="175"/>
      <c r="NWY23" s="175"/>
      <c r="NWZ23" s="175"/>
      <c r="NXA23" s="175"/>
      <c r="NXB23" s="175"/>
      <c r="NXC23" s="175"/>
      <c r="NXD23" s="175"/>
      <c r="NXE23" s="175"/>
      <c r="NXF23" s="175"/>
      <c r="NXG23" s="175"/>
      <c r="NXH23" s="175"/>
      <c r="NXI23" s="175"/>
      <c r="NXJ23" s="175"/>
      <c r="NXK23" s="175"/>
      <c r="NXL23" s="175"/>
      <c r="NXM23" s="175"/>
      <c r="NXN23" s="175"/>
      <c r="NXO23" s="175"/>
      <c r="NXP23" s="175"/>
      <c r="NXQ23" s="175"/>
      <c r="NXR23" s="175"/>
      <c r="NXS23" s="175"/>
      <c r="NXT23" s="175"/>
      <c r="NXU23" s="175"/>
      <c r="NXV23" s="175"/>
      <c r="NXW23" s="175"/>
      <c r="NXX23" s="175"/>
      <c r="NXY23" s="175"/>
      <c r="NXZ23" s="175"/>
      <c r="NYA23" s="175"/>
      <c r="NYB23" s="175"/>
      <c r="NYC23" s="175"/>
      <c r="NYD23" s="175"/>
      <c r="NYE23" s="175"/>
      <c r="NYF23" s="175"/>
      <c r="NYG23" s="175"/>
      <c r="NYH23" s="175"/>
      <c r="NYI23" s="175"/>
      <c r="NYJ23" s="175"/>
      <c r="NYK23" s="175"/>
      <c r="NYL23" s="175"/>
      <c r="NYM23" s="175"/>
      <c r="NYN23" s="175"/>
      <c r="NYO23" s="175"/>
      <c r="NYP23" s="175"/>
      <c r="NYQ23" s="175"/>
      <c r="NYR23" s="175"/>
      <c r="NYS23" s="175"/>
      <c r="NYT23" s="175"/>
      <c r="NYU23" s="175"/>
      <c r="NYV23" s="175"/>
      <c r="NYW23" s="175"/>
      <c r="NYX23" s="175"/>
      <c r="NYY23" s="175"/>
      <c r="NYZ23" s="175"/>
      <c r="NZA23" s="175"/>
      <c r="NZB23" s="175"/>
      <c r="NZC23" s="175"/>
      <c r="NZD23" s="175"/>
      <c r="NZE23" s="175"/>
      <c r="NZF23" s="175"/>
      <c r="NZG23" s="175"/>
      <c r="NZH23" s="175"/>
      <c r="NZI23" s="175"/>
      <c r="NZJ23" s="175"/>
      <c r="NZK23" s="175"/>
      <c r="NZL23" s="175"/>
      <c r="NZM23" s="175"/>
      <c r="NZN23" s="175"/>
      <c r="NZO23" s="175"/>
      <c r="NZP23" s="175"/>
      <c r="NZQ23" s="175"/>
      <c r="NZR23" s="175"/>
      <c r="NZS23" s="175"/>
      <c r="NZT23" s="175"/>
      <c r="NZU23" s="175"/>
      <c r="NZV23" s="175"/>
      <c r="NZW23" s="175"/>
      <c r="NZX23" s="175"/>
      <c r="NZY23" s="175"/>
      <c r="NZZ23" s="175"/>
      <c r="OAA23" s="175"/>
      <c r="OAB23" s="175"/>
      <c r="OAC23" s="175"/>
      <c r="OAD23" s="175"/>
      <c r="OAE23" s="175"/>
      <c r="OAF23" s="175"/>
      <c r="OAG23" s="175"/>
      <c r="OAH23" s="175"/>
      <c r="OAI23" s="175"/>
      <c r="OAJ23" s="175"/>
      <c r="OAK23" s="175"/>
      <c r="OAL23" s="175"/>
      <c r="OAM23" s="175"/>
      <c r="OAN23" s="175"/>
      <c r="OAO23" s="175"/>
      <c r="OAP23" s="175"/>
      <c r="OAQ23" s="175"/>
      <c r="OAR23" s="175"/>
      <c r="OAS23" s="175"/>
      <c r="OAT23" s="175"/>
      <c r="OAU23" s="175"/>
      <c r="OAV23" s="175"/>
      <c r="OAW23" s="175"/>
      <c r="OAX23" s="175"/>
      <c r="OAY23" s="175"/>
      <c r="OAZ23" s="175"/>
      <c r="OBA23" s="175"/>
      <c r="OBB23" s="175"/>
      <c r="OBC23" s="175"/>
      <c r="OBD23" s="175"/>
      <c r="OBE23" s="175"/>
      <c r="OBF23" s="175"/>
      <c r="OBG23" s="175"/>
      <c r="OBH23" s="175"/>
      <c r="OBI23" s="175"/>
      <c r="OBJ23" s="175"/>
      <c r="OBK23" s="175"/>
      <c r="OBL23" s="175"/>
      <c r="OBM23" s="175"/>
      <c r="OBN23" s="175"/>
      <c r="OBO23" s="175"/>
      <c r="OBP23" s="175"/>
      <c r="OBQ23" s="175"/>
      <c r="OBR23" s="175"/>
      <c r="OBS23" s="175"/>
      <c r="OBT23" s="175"/>
      <c r="OBU23" s="175"/>
      <c r="OBV23" s="175"/>
      <c r="OBW23" s="175"/>
      <c r="OBX23" s="175"/>
      <c r="OBY23" s="175"/>
      <c r="OBZ23" s="175"/>
      <c r="OCA23" s="175"/>
      <c r="OCB23" s="175"/>
      <c r="OCC23" s="175"/>
      <c r="OCD23" s="175"/>
      <c r="OCE23" s="175"/>
      <c r="OCF23" s="175"/>
      <c r="OCG23" s="175"/>
      <c r="OCH23" s="175"/>
      <c r="OCI23" s="175"/>
      <c r="OCJ23" s="175"/>
      <c r="OCK23" s="175"/>
      <c r="OCL23" s="175"/>
      <c r="OCM23" s="175"/>
      <c r="OCN23" s="175"/>
      <c r="OCO23" s="175"/>
      <c r="OCP23" s="175"/>
      <c r="OCQ23" s="175"/>
      <c r="OCR23" s="175"/>
      <c r="OCS23" s="175"/>
      <c r="OCT23" s="175"/>
      <c r="OCU23" s="175"/>
      <c r="OCV23" s="175"/>
      <c r="OCW23" s="175"/>
      <c r="OCX23" s="175"/>
      <c r="OCY23" s="175"/>
      <c r="OCZ23" s="175"/>
      <c r="ODA23" s="175"/>
      <c r="ODB23" s="175"/>
      <c r="ODC23" s="175"/>
      <c r="ODD23" s="175"/>
      <c r="ODE23" s="175"/>
      <c r="ODF23" s="175"/>
      <c r="ODG23" s="175"/>
      <c r="ODH23" s="175"/>
      <c r="ODI23" s="175"/>
      <c r="ODJ23" s="175"/>
      <c r="ODK23" s="175"/>
      <c r="ODL23" s="175"/>
      <c r="ODM23" s="175"/>
      <c r="ODN23" s="175"/>
      <c r="ODO23" s="175"/>
      <c r="ODP23" s="175"/>
      <c r="ODQ23" s="175"/>
      <c r="ODR23" s="175"/>
      <c r="ODS23" s="175"/>
      <c r="ODT23" s="175"/>
      <c r="ODU23" s="175"/>
      <c r="ODV23" s="175"/>
      <c r="ODW23" s="175"/>
      <c r="ODX23" s="175"/>
      <c r="ODY23" s="175"/>
      <c r="ODZ23" s="175"/>
      <c r="OEA23" s="175"/>
      <c r="OEB23" s="175"/>
      <c r="OEC23" s="175"/>
      <c r="OED23" s="175"/>
      <c r="OEE23" s="175"/>
      <c r="OEF23" s="175"/>
      <c r="OEG23" s="175"/>
      <c r="OEH23" s="175"/>
      <c r="OEI23" s="175"/>
      <c r="OEJ23" s="175"/>
      <c r="OEK23" s="175"/>
      <c r="OEL23" s="175"/>
      <c r="OEM23" s="175"/>
      <c r="OEN23" s="175"/>
      <c r="OEO23" s="175"/>
      <c r="OEP23" s="175"/>
      <c r="OEQ23" s="175"/>
      <c r="OER23" s="175"/>
      <c r="OES23" s="175"/>
      <c r="OET23" s="175"/>
      <c r="OEU23" s="175"/>
      <c r="OEV23" s="175"/>
      <c r="OEW23" s="175"/>
      <c r="OEX23" s="175"/>
      <c r="OEY23" s="175"/>
      <c r="OEZ23" s="175"/>
      <c r="OFA23" s="175"/>
      <c r="OFB23" s="175"/>
      <c r="OFC23" s="175"/>
      <c r="OFD23" s="175"/>
      <c r="OFE23" s="175"/>
      <c r="OFF23" s="175"/>
      <c r="OFG23" s="175"/>
      <c r="OFH23" s="175"/>
      <c r="OFI23" s="175"/>
      <c r="OFJ23" s="175"/>
      <c r="OFK23" s="175"/>
      <c r="OFL23" s="175"/>
      <c r="OFM23" s="175"/>
      <c r="OFN23" s="175"/>
      <c r="OFO23" s="175"/>
      <c r="OFP23" s="175"/>
      <c r="OFQ23" s="175"/>
      <c r="OFR23" s="175"/>
      <c r="OFS23" s="175"/>
      <c r="OFT23" s="175"/>
      <c r="OFU23" s="175"/>
      <c r="OFV23" s="175"/>
      <c r="OFW23" s="175"/>
      <c r="OFX23" s="175"/>
      <c r="OFY23" s="175"/>
      <c r="OFZ23" s="175"/>
      <c r="OGA23" s="175"/>
      <c r="OGB23" s="175"/>
      <c r="OGC23" s="175"/>
      <c r="OGD23" s="175"/>
      <c r="OGE23" s="175"/>
      <c r="OGF23" s="175"/>
      <c r="OGG23" s="175"/>
      <c r="OGH23" s="175"/>
      <c r="OGI23" s="175"/>
      <c r="OGJ23" s="175"/>
      <c r="OGK23" s="175"/>
      <c r="OGL23" s="175"/>
      <c r="OGM23" s="175"/>
      <c r="OGN23" s="175"/>
      <c r="OGO23" s="175"/>
      <c r="OGP23" s="175"/>
      <c r="OGQ23" s="175"/>
      <c r="OGR23" s="175"/>
      <c r="OGS23" s="175"/>
      <c r="OGT23" s="175"/>
      <c r="OGU23" s="175"/>
      <c r="OGV23" s="175"/>
      <c r="OGW23" s="175"/>
      <c r="OGX23" s="175"/>
      <c r="OGY23" s="175"/>
      <c r="OGZ23" s="175"/>
      <c r="OHA23" s="175"/>
      <c r="OHB23" s="175"/>
      <c r="OHC23" s="175"/>
      <c r="OHD23" s="175"/>
      <c r="OHE23" s="175"/>
      <c r="OHF23" s="175"/>
      <c r="OHG23" s="175"/>
      <c r="OHH23" s="175"/>
      <c r="OHI23" s="175"/>
      <c r="OHJ23" s="175"/>
      <c r="OHK23" s="175"/>
      <c r="OHL23" s="175"/>
      <c r="OHM23" s="175"/>
      <c r="OHN23" s="175"/>
      <c r="OHO23" s="175"/>
      <c r="OHP23" s="175"/>
      <c r="OHQ23" s="175"/>
      <c r="OHR23" s="175"/>
      <c r="OHS23" s="175"/>
      <c r="OHT23" s="175"/>
      <c r="OHU23" s="175"/>
      <c r="OHV23" s="175"/>
      <c r="OHW23" s="175"/>
      <c r="OHX23" s="175"/>
      <c r="OHY23" s="175"/>
      <c r="OHZ23" s="175"/>
      <c r="OIA23" s="175"/>
      <c r="OIB23" s="175"/>
      <c r="OIC23" s="175"/>
      <c r="OID23" s="175"/>
      <c r="OIE23" s="175"/>
      <c r="OIF23" s="175"/>
      <c r="OIG23" s="175"/>
      <c r="OIH23" s="175"/>
      <c r="OII23" s="175"/>
      <c r="OIJ23" s="175"/>
      <c r="OIK23" s="175"/>
      <c r="OIL23" s="175"/>
      <c r="OIM23" s="175"/>
      <c r="OIN23" s="175"/>
      <c r="OIO23" s="175"/>
      <c r="OIP23" s="175"/>
      <c r="OIQ23" s="175"/>
      <c r="OIR23" s="175"/>
      <c r="OIS23" s="175"/>
      <c r="OIT23" s="175"/>
      <c r="OIU23" s="175"/>
      <c r="OIV23" s="175"/>
      <c r="OIW23" s="175"/>
      <c r="OIX23" s="175"/>
      <c r="OIY23" s="175"/>
      <c r="OIZ23" s="175"/>
      <c r="OJA23" s="175"/>
      <c r="OJB23" s="175"/>
      <c r="OJC23" s="175"/>
      <c r="OJD23" s="175"/>
      <c r="OJE23" s="175"/>
      <c r="OJF23" s="175"/>
      <c r="OJG23" s="175"/>
      <c r="OJH23" s="175"/>
      <c r="OJI23" s="175"/>
      <c r="OJJ23" s="175"/>
      <c r="OJK23" s="175"/>
      <c r="OJL23" s="175"/>
      <c r="OJM23" s="175"/>
      <c r="OJN23" s="175"/>
      <c r="OJO23" s="175"/>
      <c r="OJP23" s="175"/>
      <c r="OJQ23" s="175"/>
      <c r="OJR23" s="175"/>
      <c r="OJS23" s="175"/>
      <c r="OJT23" s="175"/>
      <c r="OJU23" s="175"/>
      <c r="OJV23" s="175"/>
      <c r="OJW23" s="175"/>
      <c r="OJX23" s="175"/>
      <c r="OJY23" s="175"/>
      <c r="OJZ23" s="175"/>
      <c r="OKA23" s="175"/>
      <c r="OKB23" s="175"/>
      <c r="OKC23" s="175"/>
      <c r="OKD23" s="175"/>
      <c r="OKE23" s="175"/>
      <c r="OKF23" s="175"/>
      <c r="OKG23" s="175"/>
      <c r="OKH23" s="175"/>
      <c r="OKI23" s="175"/>
      <c r="OKJ23" s="175"/>
      <c r="OKK23" s="175"/>
      <c r="OKL23" s="175"/>
      <c r="OKM23" s="175"/>
      <c r="OKN23" s="175"/>
      <c r="OKO23" s="175"/>
      <c r="OKP23" s="175"/>
      <c r="OKQ23" s="175"/>
      <c r="OKR23" s="175"/>
      <c r="OKS23" s="175"/>
      <c r="OKT23" s="175"/>
      <c r="OKU23" s="175"/>
      <c r="OKV23" s="175"/>
      <c r="OKW23" s="175"/>
      <c r="OKX23" s="175"/>
      <c r="OKY23" s="175"/>
      <c r="OKZ23" s="175"/>
      <c r="OLA23" s="175"/>
      <c r="OLB23" s="175"/>
      <c r="OLC23" s="175"/>
      <c r="OLD23" s="175"/>
      <c r="OLE23" s="175"/>
      <c r="OLF23" s="175"/>
      <c r="OLG23" s="175"/>
      <c r="OLH23" s="175"/>
      <c r="OLI23" s="175"/>
      <c r="OLJ23" s="175"/>
      <c r="OLK23" s="175"/>
      <c r="OLL23" s="175"/>
      <c r="OLM23" s="175"/>
      <c r="OLN23" s="175"/>
      <c r="OLO23" s="175"/>
      <c r="OLP23" s="175"/>
      <c r="OLQ23" s="175"/>
      <c r="OLR23" s="175"/>
      <c r="OLS23" s="175"/>
      <c r="OLT23" s="175"/>
      <c r="OLU23" s="175"/>
      <c r="OLV23" s="175"/>
      <c r="OLW23" s="175"/>
      <c r="OLX23" s="175"/>
      <c r="OLY23" s="175"/>
      <c r="OLZ23" s="175"/>
      <c r="OMA23" s="175"/>
      <c r="OMB23" s="175"/>
      <c r="OMC23" s="175"/>
      <c r="OMD23" s="175"/>
      <c r="OME23" s="175"/>
      <c r="OMF23" s="175"/>
      <c r="OMG23" s="175"/>
      <c r="OMH23" s="175"/>
      <c r="OMI23" s="175"/>
      <c r="OMJ23" s="175"/>
      <c r="OMK23" s="175"/>
      <c r="OML23" s="175"/>
      <c r="OMM23" s="175"/>
      <c r="OMN23" s="175"/>
      <c r="OMO23" s="175"/>
      <c r="OMP23" s="175"/>
      <c r="OMQ23" s="175"/>
      <c r="OMR23" s="175"/>
      <c r="OMS23" s="175"/>
      <c r="OMT23" s="175"/>
      <c r="OMU23" s="175"/>
      <c r="OMV23" s="175"/>
      <c r="OMW23" s="175"/>
      <c r="OMX23" s="175"/>
      <c r="OMY23" s="175"/>
      <c r="OMZ23" s="175"/>
      <c r="ONA23" s="175"/>
      <c r="ONB23" s="175"/>
      <c r="ONC23" s="175"/>
      <c r="OND23" s="175"/>
      <c r="ONE23" s="175"/>
      <c r="ONF23" s="175"/>
      <c r="ONG23" s="175"/>
      <c r="ONH23" s="175"/>
      <c r="ONI23" s="175"/>
      <c r="ONJ23" s="175"/>
      <c r="ONK23" s="175"/>
      <c r="ONL23" s="175"/>
      <c r="ONM23" s="175"/>
      <c r="ONN23" s="175"/>
      <c r="ONO23" s="175"/>
      <c r="ONP23" s="175"/>
      <c r="ONQ23" s="175"/>
      <c r="ONR23" s="175"/>
      <c r="ONS23" s="175"/>
      <c r="ONT23" s="175"/>
      <c r="ONU23" s="175"/>
      <c r="ONV23" s="175"/>
      <c r="ONW23" s="175"/>
      <c r="ONX23" s="175"/>
      <c r="ONY23" s="175"/>
      <c r="ONZ23" s="175"/>
      <c r="OOA23" s="175"/>
      <c r="OOB23" s="175"/>
      <c r="OOC23" s="175"/>
      <c r="OOD23" s="175"/>
      <c r="OOE23" s="175"/>
      <c r="OOF23" s="175"/>
      <c r="OOG23" s="175"/>
      <c r="OOH23" s="175"/>
      <c r="OOI23" s="175"/>
      <c r="OOJ23" s="175"/>
      <c r="OOK23" s="175"/>
      <c r="OOL23" s="175"/>
      <c r="OOM23" s="175"/>
      <c r="OON23" s="175"/>
      <c r="OOO23" s="175"/>
      <c r="OOP23" s="175"/>
      <c r="OOQ23" s="175"/>
      <c r="OOR23" s="175"/>
      <c r="OOS23" s="175"/>
      <c r="OOT23" s="175"/>
      <c r="OOU23" s="175"/>
      <c r="OOV23" s="175"/>
      <c r="OOW23" s="175"/>
      <c r="OOX23" s="175"/>
      <c r="OOY23" s="175"/>
      <c r="OOZ23" s="175"/>
      <c r="OPA23" s="175"/>
      <c r="OPB23" s="175"/>
      <c r="OPC23" s="175"/>
      <c r="OPD23" s="175"/>
      <c r="OPE23" s="175"/>
      <c r="OPF23" s="175"/>
      <c r="OPG23" s="175"/>
      <c r="OPH23" s="175"/>
      <c r="OPI23" s="175"/>
      <c r="OPJ23" s="175"/>
      <c r="OPK23" s="175"/>
      <c r="OPL23" s="175"/>
      <c r="OPM23" s="175"/>
      <c r="OPN23" s="175"/>
      <c r="OPO23" s="175"/>
      <c r="OPP23" s="175"/>
      <c r="OPQ23" s="175"/>
      <c r="OPR23" s="175"/>
      <c r="OPS23" s="175"/>
      <c r="OPT23" s="175"/>
      <c r="OPU23" s="175"/>
      <c r="OPV23" s="175"/>
      <c r="OPW23" s="175"/>
      <c r="OPX23" s="175"/>
      <c r="OPY23" s="175"/>
      <c r="OPZ23" s="175"/>
      <c r="OQA23" s="175"/>
      <c r="OQB23" s="175"/>
      <c r="OQC23" s="175"/>
      <c r="OQD23" s="175"/>
      <c r="OQE23" s="175"/>
      <c r="OQF23" s="175"/>
      <c r="OQG23" s="175"/>
      <c r="OQH23" s="175"/>
      <c r="OQI23" s="175"/>
      <c r="OQJ23" s="175"/>
      <c r="OQK23" s="175"/>
      <c r="OQL23" s="175"/>
      <c r="OQM23" s="175"/>
      <c r="OQN23" s="175"/>
      <c r="OQO23" s="175"/>
      <c r="OQP23" s="175"/>
      <c r="OQQ23" s="175"/>
      <c r="OQR23" s="175"/>
      <c r="OQS23" s="175"/>
      <c r="OQT23" s="175"/>
      <c r="OQU23" s="175"/>
      <c r="OQV23" s="175"/>
      <c r="OQW23" s="175"/>
      <c r="OQX23" s="175"/>
      <c r="OQY23" s="175"/>
      <c r="OQZ23" s="175"/>
      <c r="ORA23" s="175"/>
      <c r="ORB23" s="175"/>
      <c r="ORC23" s="175"/>
      <c r="ORD23" s="175"/>
      <c r="ORE23" s="175"/>
      <c r="ORF23" s="175"/>
      <c r="ORG23" s="175"/>
      <c r="ORH23" s="175"/>
      <c r="ORI23" s="175"/>
      <c r="ORJ23" s="175"/>
      <c r="ORK23" s="175"/>
      <c r="ORL23" s="175"/>
      <c r="ORM23" s="175"/>
      <c r="ORN23" s="175"/>
      <c r="ORO23" s="175"/>
      <c r="ORP23" s="175"/>
      <c r="ORQ23" s="175"/>
      <c r="ORR23" s="175"/>
      <c r="ORS23" s="175"/>
      <c r="ORT23" s="175"/>
      <c r="ORU23" s="175"/>
      <c r="ORV23" s="175"/>
      <c r="ORW23" s="175"/>
      <c r="ORX23" s="175"/>
      <c r="ORY23" s="175"/>
      <c r="ORZ23" s="175"/>
      <c r="OSA23" s="175"/>
      <c r="OSB23" s="175"/>
      <c r="OSC23" s="175"/>
      <c r="OSD23" s="175"/>
      <c r="OSE23" s="175"/>
      <c r="OSF23" s="175"/>
      <c r="OSG23" s="175"/>
      <c r="OSH23" s="175"/>
      <c r="OSI23" s="175"/>
      <c r="OSJ23" s="175"/>
      <c r="OSK23" s="175"/>
      <c r="OSL23" s="175"/>
      <c r="OSM23" s="175"/>
      <c r="OSN23" s="175"/>
      <c r="OSO23" s="175"/>
      <c r="OSP23" s="175"/>
      <c r="OSQ23" s="175"/>
      <c r="OSR23" s="175"/>
      <c r="OSS23" s="175"/>
      <c r="OST23" s="175"/>
      <c r="OSU23" s="175"/>
      <c r="OSV23" s="175"/>
      <c r="OSW23" s="175"/>
      <c r="OSX23" s="175"/>
      <c r="OSY23" s="175"/>
      <c r="OSZ23" s="175"/>
      <c r="OTA23" s="175"/>
      <c r="OTB23" s="175"/>
      <c r="OTC23" s="175"/>
      <c r="OTD23" s="175"/>
      <c r="OTE23" s="175"/>
      <c r="OTF23" s="175"/>
      <c r="OTG23" s="175"/>
      <c r="OTH23" s="175"/>
      <c r="OTI23" s="175"/>
      <c r="OTJ23" s="175"/>
      <c r="OTK23" s="175"/>
      <c r="OTL23" s="175"/>
      <c r="OTM23" s="175"/>
      <c r="OTN23" s="175"/>
      <c r="OTO23" s="175"/>
      <c r="OTP23" s="175"/>
      <c r="OTQ23" s="175"/>
      <c r="OTR23" s="175"/>
      <c r="OTS23" s="175"/>
      <c r="OTT23" s="175"/>
      <c r="OTU23" s="175"/>
      <c r="OTV23" s="175"/>
      <c r="OTW23" s="175"/>
      <c r="OTX23" s="175"/>
      <c r="OTY23" s="175"/>
      <c r="OTZ23" s="175"/>
      <c r="OUA23" s="175"/>
      <c r="OUB23" s="175"/>
      <c r="OUC23" s="175"/>
      <c r="OUD23" s="175"/>
      <c r="OUE23" s="175"/>
      <c r="OUF23" s="175"/>
      <c r="OUG23" s="175"/>
      <c r="OUH23" s="175"/>
      <c r="OUI23" s="175"/>
      <c r="OUJ23" s="175"/>
      <c r="OUK23" s="175"/>
      <c r="OUL23" s="175"/>
      <c r="OUM23" s="175"/>
      <c r="OUN23" s="175"/>
      <c r="OUO23" s="175"/>
      <c r="OUP23" s="175"/>
      <c r="OUQ23" s="175"/>
      <c r="OUR23" s="175"/>
      <c r="OUS23" s="175"/>
      <c r="OUT23" s="175"/>
      <c r="OUU23" s="175"/>
      <c r="OUV23" s="175"/>
      <c r="OUW23" s="175"/>
      <c r="OUX23" s="175"/>
      <c r="OUY23" s="175"/>
      <c r="OUZ23" s="175"/>
      <c r="OVA23" s="175"/>
      <c r="OVB23" s="175"/>
      <c r="OVC23" s="175"/>
      <c r="OVD23" s="175"/>
      <c r="OVE23" s="175"/>
      <c r="OVF23" s="175"/>
      <c r="OVG23" s="175"/>
      <c r="OVH23" s="175"/>
      <c r="OVI23" s="175"/>
      <c r="OVJ23" s="175"/>
      <c r="OVK23" s="175"/>
      <c r="OVL23" s="175"/>
      <c r="OVM23" s="175"/>
      <c r="OVN23" s="175"/>
      <c r="OVO23" s="175"/>
      <c r="OVP23" s="175"/>
      <c r="OVQ23" s="175"/>
      <c r="OVR23" s="175"/>
      <c r="OVS23" s="175"/>
      <c r="OVT23" s="175"/>
      <c r="OVU23" s="175"/>
      <c r="OVV23" s="175"/>
      <c r="OVW23" s="175"/>
      <c r="OVX23" s="175"/>
      <c r="OVY23" s="175"/>
      <c r="OVZ23" s="175"/>
      <c r="OWA23" s="175"/>
      <c r="OWB23" s="175"/>
      <c r="OWC23" s="175"/>
      <c r="OWD23" s="175"/>
      <c r="OWE23" s="175"/>
      <c r="OWF23" s="175"/>
      <c r="OWG23" s="175"/>
      <c r="OWH23" s="175"/>
      <c r="OWI23" s="175"/>
      <c r="OWJ23" s="175"/>
      <c r="OWK23" s="175"/>
      <c r="OWL23" s="175"/>
      <c r="OWM23" s="175"/>
      <c r="OWN23" s="175"/>
      <c r="OWO23" s="175"/>
      <c r="OWP23" s="175"/>
      <c r="OWQ23" s="175"/>
      <c r="OWR23" s="175"/>
      <c r="OWS23" s="175"/>
      <c r="OWT23" s="175"/>
      <c r="OWU23" s="175"/>
      <c r="OWV23" s="175"/>
      <c r="OWW23" s="175"/>
      <c r="OWX23" s="175"/>
      <c r="OWY23" s="175"/>
      <c r="OWZ23" s="175"/>
      <c r="OXA23" s="175"/>
      <c r="OXB23" s="175"/>
      <c r="OXC23" s="175"/>
      <c r="OXD23" s="175"/>
      <c r="OXE23" s="175"/>
      <c r="OXF23" s="175"/>
      <c r="OXG23" s="175"/>
      <c r="OXH23" s="175"/>
      <c r="OXI23" s="175"/>
      <c r="OXJ23" s="175"/>
      <c r="OXK23" s="175"/>
      <c r="OXL23" s="175"/>
      <c r="OXM23" s="175"/>
      <c r="OXN23" s="175"/>
      <c r="OXO23" s="175"/>
      <c r="OXP23" s="175"/>
      <c r="OXQ23" s="175"/>
      <c r="OXR23" s="175"/>
      <c r="OXS23" s="175"/>
      <c r="OXT23" s="175"/>
      <c r="OXU23" s="175"/>
      <c r="OXV23" s="175"/>
      <c r="OXW23" s="175"/>
      <c r="OXX23" s="175"/>
      <c r="OXY23" s="175"/>
      <c r="OXZ23" s="175"/>
      <c r="OYA23" s="175"/>
      <c r="OYB23" s="175"/>
      <c r="OYC23" s="175"/>
      <c r="OYD23" s="175"/>
      <c r="OYE23" s="175"/>
      <c r="OYF23" s="175"/>
      <c r="OYG23" s="175"/>
      <c r="OYH23" s="175"/>
      <c r="OYI23" s="175"/>
      <c r="OYJ23" s="175"/>
      <c r="OYK23" s="175"/>
      <c r="OYL23" s="175"/>
      <c r="OYM23" s="175"/>
      <c r="OYN23" s="175"/>
      <c r="OYO23" s="175"/>
      <c r="OYP23" s="175"/>
      <c r="OYQ23" s="175"/>
      <c r="OYR23" s="175"/>
      <c r="OYS23" s="175"/>
      <c r="OYT23" s="175"/>
      <c r="OYU23" s="175"/>
      <c r="OYV23" s="175"/>
      <c r="OYW23" s="175"/>
      <c r="OYX23" s="175"/>
      <c r="OYY23" s="175"/>
      <c r="OYZ23" s="175"/>
      <c r="OZA23" s="175"/>
      <c r="OZB23" s="175"/>
      <c r="OZC23" s="175"/>
      <c r="OZD23" s="175"/>
      <c r="OZE23" s="175"/>
      <c r="OZF23" s="175"/>
      <c r="OZG23" s="175"/>
      <c r="OZH23" s="175"/>
      <c r="OZI23" s="175"/>
      <c r="OZJ23" s="175"/>
      <c r="OZK23" s="175"/>
      <c r="OZL23" s="175"/>
      <c r="OZM23" s="175"/>
      <c r="OZN23" s="175"/>
      <c r="OZO23" s="175"/>
      <c r="OZP23" s="175"/>
      <c r="OZQ23" s="175"/>
      <c r="OZR23" s="175"/>
      <c r="OZS23" s="175"/>
      <c r="OZT23" s="175"/>
      <c r="OZU23" s="175"/>
      <c r="OZV23" s="175"/>
      <c r="OZW23" s="175"/>
      <c r="OZX23" s="175"/>
      <c r="OZY23" s="175"/>
      <c r="OZZ23" s="175"/>
      <c r="PAA23" s="175"/>
      <c r="PAB23" s="175"/>
      <c r="PAC23" s="175"/>
      <c r="PAD23" s="175"/>
      <c r="PAE23" s="175"/>
      <c r="PAF23" s="175"/>
      <c r="PAG23" s="175"/>
      <c r="PAH23" s="175"/>
      <c r="PAI23" s="175"/>
      <c r="PAJ23" s="175"/>
      <c r="PAK23" s="175"/>
      <c r="PAL23" s="175"/>
      <c r="PAM23" s="175"/>
      <c r="PAN23" s="175"/>
      <c r="PAO23" s="175"/>
      <c r="PAP23" s="175"/>
      <c r="PAQ23" s="175"/>
      <c r="PAR23" s="175"/>
      <c r="PAS23" s="175"/>
      <c r="PAT23" s="175"/>
      <c r="PAU23" s="175"/>
      <c r="PAV23" s="175"/>
      <c r="PAW23" s="175"/>
      <c r="PAX23" s="175"/>
      <c r="PAY23" s="175"/>
      <c r="PAZ23" s="175"/>
      <c r="PBA23" s="175"/>
      <c r="PBB23" s="175"/>
      <c r="PBC23" s="175"/>
      <c r="PBD23" s="175"/>
      <c r="PBE23" s="175"/>
      <c r="PBF23" s="175"/>
      <c r="PBG23" s="175"/>
      <c r="PBH23" s="175"/>
      <c r="PBI23" s="175"/>
      <c r="PBJ23" s="175"/>
      <c r="PBK23" s="175"/>
      <c r="PBL23" s="175"/>
      <c r="PBM23" s="175"/>
      <c r="PBN23" s="175"/>
      <c r="PBO23" s="175"/>
      <c r="PBP23" s="175"/>
      <c r="PBQ23" s="175"/>
      <c r="PBR23" s="175"/>
      <c r="PBS23" s="175"/>
      <c r="PBT23" s="175"/>
      <c r="PBU23" s="175"/>
      <c r="PBV23" s="175"/>
      <c r="PBW23" s="175"/>
      <c r="PBX23" s="175"/>
      <c r="PBY23" s="175"/>
      <c r="PBZ23" s="175"/>
      <c r="PCA23" s="175"/>
      <c r="PCB23" s="175"/>
      <c r="PCC23" s="175"/>
      <c r="PCD23" s="175"/>
      <c r="PCE23" s="175"/>
      <c r="PCF23" s="175"/>
      <c r="PCG23" s="175"/>
      <c r="PCH23" s="175"/>
      <c r="PCI23" s="175"/>
      <c r="PCJ23" s="175"/>
      <c r="PCK23" s="175"/>
      <c r="PCL23" s="175"/>
      <c r="PCM23" s="175"/>
      <c r="PCN23" s="175"/>
      <c r="PCO23" s="175"/>
      <c r="PCP23" s="175"/>
      <c r="PCQ23" s="175"/>
      <c r="PCR23" s="175"/>
      <c r="PCS23" s="175"/>
      <c r="PCT23" s="175"/>
      <c r="PCU23" s="175"/>
      <c r="PCV23" s="175"/>
      <c r="PCW23" s="175"/>
      <c r="PCX23" s="175"/>
      <c r="PCY23" s="175"/>
      <c r="PCZ23" s="175"/>
      <c r="PDA23" s="175"/>
      <c r="PDB23" s="175"/>
      <c r="PDC23" s="175"/>
      <c r="PDD23" s="175"/>
      <c r="PDE23" s="175"/>
      <c r="PDF23" s="175"/>
      <c r="PDG23" s="175"/>
      <c r="PDH23" s="175"/>
      <c r="PDI23" s="175"/>
      <c r="PDJ23" s="175"/>
      <c r="PDK23" s="175"/>
      <c r="PDL23" s="175"/>
      <c r="PDM23" s="175"/>
      <c r="PDN23" s="175"/>
      <c r="PDO23" s="175"/>
      <c r="PDP23" s="175"/>
      <c r="PDQ23" s="175"/>
      <c r="PDR23" s="175"/>
      <c r="PDS23" s="175"/>
      <c r="PDT23" s="175"/>
      <c r="PDU23" s="175"/>
      <c r="PDV23" s="175"/>
      <c r="PDW23" s="175"/>
      <c r="PDX23" s="175"/>
      <c r="PDY23" s="175"/>
      <c r="PDZ23" s="175"/>
      <c r="PEA23" s="175"/>
      <c r="PEB23" s="175"/>
      <c r="PEC23" s="175"/>
      <c r="PED23" s="175"/>
      <c r="PEE23" s="175"/>
      <c r="PEF23" s="175"/>
      <c r="PEG23" s="175"/>
      <c r="PEH23" s="175"/>
      <c r="PEI23" s="175"/>
      <c r="PEJ23" s="175"/>
      <c r="PEK23" s="175"/>
      <c r="PEL23" s="175"/>
      <c r="PEM23" s="175"/>
      <c r="PEN23" s="175"/>
      <c r="PEO23" s="175"/>
      <c r="PEP23" s="175"/>
      <c r="PEQ23" s="175"/>
      <c r="PER23" s="175"/>
      <c r="PES23" s="175"/>
      <c r="PET23" s="175"/>
      <c r="PEU23" s="175"/>
      <c r="PEV23" s="175"/>
      <c r="PEW23" s="175"/>
      <c r="PEX23" s="175"/>
      <c r="PEY23" s="175"/>
      <c r="PEZ23" s="175"/>
      <c r="PFA23" s="175"/>
      <c r="PFB23" s="175"/>
      <c r="PFC23" s="175"/>
      <c r="PFD23" s="175"/>
      <c r="PFE23" s="175"/>
      <c r="PFF23" s="175"/>
      <c r="PFG23" s="175"/>
      <c r="PFH23" s="175"/>
      <c r="PFI23" s="175"/>
      <c r="PFJ23" s="175"/>
      <c r="PFK23" s="175"/>
      <c r="PFL23" s="175"/>
      <c r="PFM23" s="175"/>
      <c r="PFN23" s="175"/>
      <c r="PFO23" s="175"/>
      <c r="PFP23" s="175"/>
      <c r="PFQ23" s="175"/>
      <c r="PFR23" s="175"/>
      <c r="PFS23" s="175"/>
      <c r="PFT23" s="175"/>
      <c r="PFU23" s="175"/>
      <c r="PFV23" s="175"/>
      <c r="PFW23" s="175"/>
      <c r="PFX23" s="175"/>
      <c r="PFY23" s="175"/>
      <c r="PFZ23" s="175"/>
      <c r="PGA23" s="175"/>
      <c r="PGB23" s="175"/>
      <c r="PGC23" s="175"/>
      <c r="PGD23" s="175"/>
      <c r="PGE23" s="175"/>
      <c r="PGF23" s="175"/>
      <c r="PGG23" s="175"/>
      <c r="PGH23" s="175"/>
      <c r="PGI23" s="175"/>
      <c r="PGJ23" s="175"/>
      <c r="PGK23" s="175"/>
      <c r="PGL23" s="175"/>
      <c r="PGM23" s="175"/>
      <c r="PGN23" s="175"/>
      <c r="PGO23" s="175"/>
      <c r="PGP23" s="175"/>
      <c r="PGQ23" s="175"/>
      <c r="PGR23" s="175"/>
      <c r="PGS23" s="175"/>
      <c r="PGT23" s="175"/>
      <c r="PGU23" s="175"/>
      <c r="PGV23" s="175"/>
      <c r="PGW23" s="175"/>
      <c r="PGX23" s="175"/>
      <c r="PGY23" s="175"/>
      <c r="PGZ23" s="175"/>
      <c r="PHA23" s="175"/>
      <c r="PHB23" s="175"/>
      <c r="PHC23" s="175"/>
      <c r="PHD23" s="175"/>
      <c r="PHE23" s="175"/>
      <c r="PHF23" s="175"/>
      <c r="PHG23" s="175"/>
      <c r="PHH23" s="175"/>
      <c r="PHI23" s="175"/>
      <c r="PHJ23" s="175"/>
      <c r="PHK23" s="175"/>
      <c r="PHL23" s="175"/>
      <c r="PHM23" s="175"/>
      <c r="PHN23" s="175"/>
      <c r="PHO23" s="175"/>
      <c r="PHP23" s="175"/>
      <c r="PHQ23" s="175"/>
      <c r="PHR23" s="175"/>
      <c r="PHS23" s="175"/>
      <c r="PHT23" s="175"/>
      <c r="PHU23" s="175"/>
      <c r="PHV23" s="175"/>
      <c r="PHW23" s="175"/>
      <c r="PHX23" s="175"/>
      <c r="PHY23" s="175"/>
      <c r="PHZ23" s="175"/>
      <c r="PIA23" s="175"/>
      <c r="PIB23" s="175"/>
      <c r="PIC23" s="175"/>
      <c r="PID23" s="175"/>
      <c r="PIE23" s="175"/>
      <c r="PIF23" s="175"/>
      <c r="PIG23" s="175"/>
      <c r="PIH23" s="175"/>
      <c r="PII23" s="175"/>
      <c r="PIJ23" s="175"/>
      <c r="PIK23" s="175"/>
      <c r="PIL23" s="175"/>
      <c r="PIM23" s="175"/>
      <c r="PIN23" s="175"/>
      <c r="PIO23" s="175"/>
      <c r="PIP23" s="175"/>
      <c r="PIQ23" s="175"/>
      <c r="PIR23" s="175"/>
      <c r="PIS23" s="175"/>
      <c r="PIT23" s="175"/>
      <c r="PIU23" s="175"/>
      <c r="PIV23" s="175"/>
      <c r="PIW23" s="175"/>
      <c r="PIX23" s="175"/>
      <c r="PIY23" s="175"/>
      <c r="PIZ23" s="175"/>
      <c r="PJA23" s="175"/>
      <c r="PJB23" s="175"/>
      <c r="PJC23" s="175"/>
      <c r="PJD23" s="175"/>
      <c r="PJE23" s="175"/>
      <c r="PJF23" s="175"/>
      <c r="PJG23" s="175"/>
      <c r="PJH23" s="175"/>
      <c r="PJI23" s="175"/>
      <c r="PJJ23" s="175"/>
      <c r="PJK23" s="175"/>
      <c r="PJL23" s="175"/>
      <c r="PJM23" s="175"/>
      <c r="PJN23" s="175"/>
      <c r="PJO23" s="175"/>
      <c r="PJP23" s="175"/>
      <c r="PJQ23" s="175"/>
      <c r="PJR23" s="175"/>
      <c r="PJS23" s="175"/>
      <c r="PJT23" s="175"/>
      <c r="PJU23" s="175"/>
      <c r="PJV23" s="175"/>
      <c r="PJW23" s="175"/>
      <c r="PJX23" s="175"/>
      <c r="PJY23" s="175"/>
      <c r="PJZ23" s="175"/>
      <c r="PKA23" s="175"/>
      <c r="PKB23" s="175"/>
      <c r="PKC23" s="175"/>
      <c r="PKD23" s="175"/>
      <c r="PKE23" s="175"/>
      <c r="PKF23" s="175"/>
      <c r="PKG23" s="175"/>
      <c r="PKH23" s="175"/>
      <c r="PKI23" s="175"/>
      <c r="PKJ23" s="175"/>
      <c r="PKK23" s="175"/>
      <c r="PKL23" s="175"/>
      <c r="PKM23" s="175"/>
      <c r="PKN23" s="175"/>
      <c r="PKO23" s="175"/>
      <c r="PKP23" s="175"/>
      <c r="PKQ23" s="175"/>
      <c r="PKR23" s="175"/>
      <c r="PKS23" s="175"/>
      <c r="PKT23" s="175"/>
      <c r="PKU23" s="175"/>
      <c r="PKV23" s="175"/>
      <c r="PKW23" s="175"/>
      <c r="PKX23" s="175"/>
      <c r="PKY23" s="175"/>
      <c r="PKZ23" s="175"/>
      <c r="PLA23" s="175"/>
      <c r="PLB23" s="175"/>
      <c r="PLC23" s="175"/>
      <c r="PLD23" s="175"/>
      <c r="PLE23" s="175"/>
      <c r="PLF23" s="175"/>
      <c r="PLG23" s="175"/>
      <c r="PLH23" s="175"/>
      <c r="PLI23" s="175"/>
      <c r="PLJ23" s="175"/>
      <c r="PLK23" s="175"/>
      <c r="PLL23" s="175"/>
      <c r="PLM23" s="175"/>
      <c r="PLN23" s="175"/>
      <c r="PLO23" s="175"/>
      <c r="PLP23" s="175"/>
      <c r="PLQ23" s="175"/>
      <c r="PLR23" s="175"/>
      <c r="PLS23" s="175"/>
      <c r="PLT23" s="175"/>
      <c r="PLU23" s="175"/>
      <c r="PLV23" s="175"/>
      <c r="PLW23" s="175"/>
      <c r="PLX23" s="175"/>
      <c r="PLY23" s="175"/>
      <c r="PLZ23" s="175"/>
      <c r="PMA23" s="175"/>
      <c r="PMB23" s="175"/>
      <c r="PMC23" s="175"/>
      <c r="PMD23" s="175"/>
      <c r="PME23" s="175"/>
      <c r="PMF23" s="175"/>
      <c r="PMG23" s="175"/>
      <c r="PMH23" s="175"/>
      <c r="PMI23" s="175"/>
      <c r="PMJ23" s="175"/>
      <c r="PMK23" s="175"/>
      <c r="PML23" s="175"/>
      <c r="PMM23" s="175"/>
      <c r="PMN23" s="175"/>
      <c r="PMO23" s="175"/>
      <c r="PMP23" s="175"/>
      <c r="PMQ23" s="175"/>
      <c r="PMR23" s="175"/>
      <c r="PMS23" s="175"/>
      <c r="PMT23" s="175"/>
      <c r="PMU23" s="175"/>
      <c r="PMV23" s="175"/>
      <c r="PMW23" s="175"/>
      <c r="PMX23" s="175"/>
      <c r="PMY23" s="175"/>
      <c r="PMZ23" s="175"/>
      <c r="PNA23" s="175"/>
      <c r="PNB23" s="175"/>
      <c r="PNC23" s="175"/>
      <c r="PND23" s="175"/>
      <c r="PNE23" s="175"/>
      <c r="PNF23" s="175"/>
      <c r="PNG23" s="175"/>
      <c r="PNH23" s="175"/>
      <c r="PNI23" s="175"/>
      <c r="PNJ23" s="175"/>
      <c r="PNK23" s="175"/>
      <c r="PNL23" s="175"/>
      <c r="PNM23" s="175"/>
      <c r="PNN23" s="175"/>
      <c r="PNO23" s="175"/>
      <c r="PNP23" s="175"/>
      <c r="PNQ23" s="175"/>
      <c r="PNR23" s="175"/>
      <c r="PNS23" s="175"/>
      <c r="PNT23" s="175"/>
      <c r="PNU23" s="175"/>
      <c r="PNV23" s="175"/>
      <c r="PNW23" s="175"/>
      <c r="PNX23" s="175"/>
      <c r="PNY23" s="175"/>
      <c r="PNZ23" s="175"/>
      <c r="POA23" s="175"/>
      <c r="POB23" s="175"/>
      <c r="POC23" s="175"/>
      <c r="POD23" s="175"/>
      <c r="POE23" s="175"/>
      <c r="POF23" s="175"/>
      <c r="POG23" s="175"/>
      <c r="POH23" s="175"/>
      <c r="POI23" s="175"/>
      <c r="POJ23" s="175"/>
      <c r="POK23" s="175"/>
      <c r="POL23" s="175"/>
      <c r="POM23" s="175"/>
      <c r="PON23" s="175"/>
      <c r="POO23" s="175"/>
      <c r="POP23" s="175"/>
      <c r="POQ23" s="175"/>
      <c r="POR23" s="175"/>
      <c r="POS23" s="175"/>
      <c r="POT23" s="175"/>
      <c r="POU23" s="175"/>
      <c r="POV23" s="175"/>
      <c r="POW23" s="175"/>
      <c r="POX23" s="175"/>
      <c r="POY23" s="175"/>
      <c r="POZ23" s="175"/>
      <c r="PPA23" s="175"/>
      <c r="PPB23" s="175"/>
      <c r="PPC23" s="175"/>
      <c r="PPD23" s="175"/>
      <c r="PPE23" s="175"/>
      <c r="PPF23" s="175"/>
      <c r="PPG23" s="175"/>
      <c r="PPH23" s="175"/>
      <c r="PPI23" s="175"/>
      <c r="PPJ23" s="175"/>
      <c r="PPK23" s="175"/>
      <c r="PPL23" s="175"/>
      <c r="PPM23" s="175"/>
      <c r="PPN23" s="175"/>
      <c r="PPO23" s="175"/>
      <c r="PPP23" s="175"/>
      <c r="PPQ23" s="175"/>
      <c r="PPR23" s="175"/>
      <c r="PPS23" s="175"/>
      <c r="PPT23" s="175"/>
      <c r="PPU23" s="175"/>
      <c r="PPV23" s="175"/>
      <c r="PPW23" s="175"/>
      <c r="PPX23" s="175"/>
      <c r="PPY23" s="175"/>
      <c r="PPZ23" s="175"/>
      <c r="PQA23" s="175"/>
      <c r="PQB23" s="175"/>
      <c r="PQC23" s="175"/>
      <c r="PQD23" s="175"/>
      <c r="PQE23" s="175"/>
      <c r="PQF23" s="175"/>
      <c r="PQG23" s="175"/>
      <c r="PQH23" s="175"/>
      <c r="PQI23" s="175"/>
      <c r="PQJ23" s="175"/>
      <c r="PQK23" s="175"/>
      <c r="PQL23" s="175"/>
      <c r="PQM23" s="175"/>
      <c r="PQN23" s="175"/>
      <c r="PQO23" s="175"/>
      <c r="PQP23" s="175"/>
      <c r="PQQ23" s="175"/>
      <c r="PQR23" s="175"/>
      <c r="PQS23" s="175"/>
      <c r="PQT23" s="175"/>
      <c r="PQU23" s="175"/>
      <c r="PQV23" s="175"/>
      <c r="PQW23" s="175"/>
      <c r="PQX23" s="175"/>
      <c r="PQY23" s="175"/>
      <c r="PQZ23" s="175"/>
      <c r="PRA23" s="175"/>
      <c r="PRB23" s="175"/>
      <c r="PRC23" s="175"/>
      <c r="PRD23" s="175"/>
      <c r="PRE23" s="175"/>
      <c r="PRF23" s="175"/>
      <c r="PRG23" s="175"/>
      <c r="PRH23" s="175"/>
      <c r="PRI23" s="175"/>
      <c r="PRJ23" s="175"/>
      <c r="PRK23" s="175"/>
      <c r="PRL23" s="175"/>
      <c r="PRM23" s="175"/>
      <c r="PRN23" s="175"/>
      <c r="PRO23" s="175"/>
      <c r="PRP23" s="175"/>
      <c r="PRQ23" s="175"/>
      <c r="PRR23" s="175"/>
      <c r="PRS23" s="175"/>
      <c r="PRT23" s="175"/>
      <c r="PRU23" s="175"/>
      <c r="PRV23" s="175"/>
      <c r="PRW23" s="175"/>
      <c r="PRX23" s="175"/>
      <c r="PRY23" s="175"/>
      <c r="PRZ23" s="175"/>
      <c r="PSA23" s="175"/>
      <c r="PSB23" s="175"/>
      <c r="PSC23" s="175"/>
      <c r="PSD23" s="175"/>
      <c r="PSE23" s="175"/>
      <c r="PSF23" s="175"/>
      <c r="PSG23" s="175"/>
      <c r="PSH23" s="175"/>
      <c r="PSI23" s="175"/>
      <c r="PSJ23" s="175"/>
      <c r="PSK23" s="175"/>
      <c r="PSL23" s="175"/>
      <c r="PSM23" s="175"/>
      <c r="PSN23" s="175"/>
      <c r="PSO23" s="175"/>
      <c r="PSP23" s="175"/>
      <c r="PSQ23" s="175"/>
      <c r="PSR23" s="175"/>
      <c r="PSS23" s="175"/>
      <c r="PST23" s="175"/>
      <c r="PSU23" s="175"/>
      <c r="PSV23" s="175"/>
      <c r="PSW23" s="175"/>
      <c r="PSX23" s="175"/>
      <c r="PSY23" s="175"/>
      <c r="PSZ23" s="175"/>
      <c r="PTA23" s="175"/>
      <c r="PTB23" s="175"/>
      <c r="PTC23" s="175"/>
      <c r="PTD23" s="175"/>
      <c r="PTE23" s="175"/>
      <c r="PTF23" s="175"/>
      <c r="PTG23" s="175"/>
      <c r="PTH23" s="175"/>
      <c r="PTI23" s="175"/>
      <c r="PTJ23" s="175"/>
      <c r="PTK23" s="175"/>
      <c r="PTL23" s="175"/>
      <c r="PTM23" s="175"/>
      <c r="PTN23" s="175"/>
      <c r="PTO23" s="175"/>
      <c r="PTP23" s="175"/>
      <c r="PTQ23" s="175"/>
      <c r="PTR23" s="175"/>
      <c r="PTS23" s="175"/>
      <c r="PTT23" s="175"/>
      <c r="PTU23" s="175"/>
      <c r="PTV23" s="175"/>
      <c r="PTW23" s="175"/>
      <c r="PTX23" s="175"/>
      <c r="PTY23" s="175"/>
      <c r="PTZ23" s="175"/>
      <c r="PUA23" s="175"/>
      <c r="PUB23" s="175"/>
      <c r="PUC23" s="175"/>
      <c r="PUD23" s="175"/>
      <c r="PUE23" s="175"/>
      <c r="PUF23" s="175"/>
      <c r="PUG23" s="175"/>
      <c r="PUH23" s="175"/>
      <c r="PUI23" s="175"/>
      <c r="PUJ23" s="175"/>
      <c r="PUK23" s="175"/>
      <c r="PUL23" s="175"/>
      <c r="PUM23" s="175"/>
      <c r="PUN23" s="175"/>
      <c r="PUO23" s="175"/>
      <c r="PUP23" s="175"/>
      <c r="PUQ23" s="175"/>
      <c r="PUR23" s="175"/>
      <c r="PUS23" s="175"/>
      <c r="PUT23" s="175"/>
      <c r="PUU23" s="175"/>
      <c r="PUV23" s="175"/>
      <c r="PUW23" s="175"/>
      <c r="PUX23" s="175"/>
      <c r="PUY23" s="175"/>
      <c r="PUZ23" s="175"/>
      <c r="PVA23" s="175"/>
      <c r="PVB23" s="175"/>
      <c r="PVC23" s="175"/>
      <c r="PVD23" s="175"/>
      <c r="PVE23" s="175"/>
      <c r="PVF23" s="175"/>
      <c r="PVG23" s="175"/>
      <c r="PVH23" s="175"/>
      <c r="PVI23" s="175"/>
      <c r="PVJ23" s="175"/>
      <c r="PVK23" s="175"/>
      <c r="PVL23" s="175"/>
      <c r="PVM23" s="175"/>
      <c r="PVN23" s="175"/>
      <c r="PVO23" s="175"/>
      <c r="PVP23" s="175"/>
      <c r="PVQ23" s="175"/>
      <c r="PVR23" s="175"/>
      <c r="PVS23" s="175"/>
      <c r="PVT23" s="175"/>
      <c r="PVU23" s="175"/>
      <c r="PVV23" s="175"/>
      <c r="PVW23" s="175"/>
      <c r="PVX23" s="175"/>
      <c r="PVY23" s="175"/>
      <c r="PVZ23" s="175"/>
      <c r="PWA23" s="175"/>
      <c r="PWB23" s="175"/>
      <c r="PWC23" s="175"/>
      <c r="PWD23" s="175"/>
      <c r="PWE23" s="175"/>
      <c r="PWF23" s="175"/>
      <c r="PWG23" s="175"/>
      <c r="PWH23" s="175"/>
      <c r="PWI23" s="175"/>
      <c r="PWJ23" s="175"/>
      <c r="PWK23" s="175"/>
      <c r="PWL23" s="175"/>
      <c r="PWM23" s="175"/>
      <c r="PWN23" s="175"/>
      <c r="PWO23" s="175"/>
      <c r="PWP23" s="175"/>
      <c r="PWQ23" s="175"/>
      <c r="PWR23" s="175"/>
      <c r="PWS23" s="175"/>
      <c r="PWT23" s="175"/>
      <c r="PWU23" s="175"/>
      <c r="PWV23" s="175"/>
      <c r="PWW23" s="175"/>
      <c r="PWX23" s="175"/>
      <c r="PWY23" s="175"/>
      <c r="PWZ23" s="175"/>
      <c r="PXA23" s="175"/>
      <c r="PXB23" s="175"/>
      <c r="PXC23" s="175"/>
      <c r="PXD23" s="175"/>
      <c r="PXE23" s="175"/>
      <c r="PXF23" s="175"/>
      <c r="PXG23" s="175"/>
      <c r="PXH23" s="175"/>
      <c r="PXI23" s="175"/>
      <c r="PXJ23" s="175"/>
      <c r="PXK23" s="175"/>
      <c r="PXL23" s="175"/>
      <c r="PXM23" s="175"/>
      <c r="PXN23" s="175"/>
      <c r="PXO23" s="175"/>
      <c r="PXP23" s="175"/>
      <c r="PXQ23" s="175"/>
      <c r="PXR23" s="175"/>
      <c r="PXS23" s="175"/>
      <c r="PXT23" s="175"/>
      <c r="PXU23" s="175"/>
      <c r="PXV23" s="175"/>
      <c r="PXW23" s="175"/>
      <c r="PXX23" s="175"/>
      <c r="PXY23" s="175"/>
      <c r="PXZ23" s="175"/>
      <c r="PYA23" s="175"/>
      <c r="PYB23" s="175"/>
      <c r="PYC23" s="175"/>
      <c r="PYD23" s="175"/>
      <c r="PYE23" s="175"/>
      <c r="PYF23" s="175"/>
      <c r="PYG23" s="175"/>
      <c r="PYH23" s="175"/>
      <c r="PYI23" s="175"/>
      <c r="PYJ23" s="175"/>
      <c r="PYK23" s="175"/>
      <c r="PYL23" s="175"/>
      <c r="PYM23" s="175"/>
      <c r="PYN23" s="175"/>
      <c r="PYO23" s="175"/>
      <c r="PYP23" s="175"/>
      <c r="PYQ23" s="175"/>
      <c r="PYR23" s="175"/>
      <c r="PYS23" s="175"/>
      <c r="PYT23" s="175"/>
      <c r="PYU23" s="175"/>
      <c r="PYV23" s="175"/>
      <c r="PYW23" s="175"/>
      <c r="PYX23" s="175"/>
      <c r="PYY23" s="175"/>
      <c r="PYZ23" s="175"/>
      <c r="PZA23" s="175"/>
      <c r="PZB23" s="175"/>
      <c r="PZC23" s="175"/>
      <c r="PZD23" s="175"/>
      <c r="PZE23" s="175"/>
      <c r="PZF23" s="175"/>
      <c r="PZG23" s="175"/>
      <c r="PZH23" s="175"/>
      <c r="PZI23" s="175"/>
      <c r="PZJ23" s="175"/>
      <c r="PZK23" s="175"/>
      <c r="PZL23" s="175"/>
      <c r="PZM23" s="175"/>
      <c r="PZN23" s="175"/>
      <c r="PZO23" s="175"/>
      <c r="PZP23" s="175"/>
      <c r="PZQ23" s="175"/>
      <c r="PZR23" s="175"/>
      <c r="PZS23" s="175"/>
      <c r="PZT23" s="175"/>
      <c r="PZU23" s="175"/>
      <c r="PZV23" s="175"/>
      <c r="PZW23" s="175"/>
      <c r="PZX23" s="175"/>
      <c r="PZY23" s="175"/>
      <c r="PZZ23" s="175"/>
      <c r="QAA23" s="175"/>
      <c r="QAB23" s="175"/>
      <c r="QAC23" s="175"/>
      <c r="QAD23" s="175"/>
      <c r="QAE23" s="175"/>
      <c r="QAF23" s="175"/>
      <c r="QAG23" s="175"/>
      <c r="QAH23" s="175"/>
      <c r="QAI23" s="175"/>
      <c r="QAJ23" s="175"/>
      <c r="QAK23" s="175"/>
      <c r="QAL23" s="175"/>
      <c r="QAM23" s="175"/>
      <c r="QAN23" s="175"/>
      <c r="QAO23" s="175"/>
      <c r="QAP23" s="175"/>
      <c r="QAQ23" s="175"/>
      <c r="QAR23" s="175"/>
      <c r="QAS23" s="175"/>
      <c r="QAT23" s="175"/>
      <c r="QAU23" s="175"/>
      <c r="QAV23" s="175"/>
      <c r="QAW23" s="175"/>
      <c r="QAX23" s="175"/>
      <c r="QAY23" s="175"/>
      <c r="QAZ23" s="175"/>
      <c r="QBA23" s="175"/>
      <c r="QBB23" s="175"/>
      <c r="QBC23" s="175"/>
      <c r="QBD23" s="175"/>
      <c r="QBE23" s="175"/>
      <c r="QBF23" s="175"/>
      <c r="QBG23" s="175"/>
      <c r="QBH23" s="175"/>
      <c r="QBI23" s="175"/>
      <c r="QBJ23" s="175"/>
      <c r="QBK23" s="175"/>
      <c r="QBL23" s="175"/>
      <c r="QBM23" s="175"/>
      <c r="QBN23" s="175"/>
      <c r="QBO23" s="175"/>
      <c r="QBP23" s="175"/>
      <c r="QBQ23" s="175"/>
      <c r="QBR23" s="175"/>
      <c r="QBS23" s="175"/>
      <c r="QBT23" s="175"/>
      <c r="QBU23" s="175"/>
      <c r="QBV23" s="175"/>
      <c r="QBW23" s="175"/>
      <c r="QBX23" s="175"/>
      <c r="QBY23" s="175"/>
      <c r="QBZ23" s="175"/>
      <c r="QCA23" s="175"/>
      <c r="QCB23" s="175"/>
      <c r="QCC23" s="175"/>
      <c r="QCD23" s="175"/>
      <c r="QCE23" s="175"/>
      <c r="QCF23" s="175"/>
      <c r="QCG23" s="175"/>
      <c r="QCH23" s="175"/>
      <c r="QCI23" s="175"/>
      <c r="QCJ23" s="175"/>
      <c r="QCK23" s="175"/>
      <c r="QCL23" s="175"/>
      <c r="QCM23" s="175"/>
      <c r="QCN23" s="175"/>
      <c r="QCO23" s="175"/>
      <c r="QCP23" s="175"/>
      <c r="QCQ23" s="175"/>
      <c r="QCR23" s="175"/>
      <c r="QCS23" s="175"/>
      <c r="QCT23" s="175"/>
      <c r="QCU23" s="175"/>
      <c r="QCV23" s="175"/>
      <c r="QCW23" s="175"/>
      <c r="QCX23" s="175"/>
      <c r="QCY23" s="175"/>
      <c r="QCZ23" s="175"/>
      <c r="QDA23" s="175"/>
      <c r="QDB23" s="175"/>
      <c r="QDC23" s="175"/>
      <c r="QDD23" s="175"/>
      <c r="QDE23" s="175"/>
      <c r="QDF23" s="175"/>
      <c r="QDG23" s="175"/>
      <c r="QDH23" s="175"/>
      <c r="QDI23" s="175"/>
      <c r="QDJ23" s="175"/>
      <c r="QDK23" s="175"/>
      <c r="QDL23" s="175"/>
      <c r="QDM23" s="175"/>
      <c r="QDN23" s="175"/>
      <c r="QDO23" s="175"/>
      <c r="QDP23" s="175"/>
      <c r="QDQ23" s="175"/>
      <c r="QDR23" s="175"/>
      <c r="QDS23" s="175"/>
      <c r="QDT23" s="175"/>
      <c r="QDU23" s="175"/>
      <c r="QDV23" s="175"/>
      <c r="QDW23" s="175"/>
      <c r="QDX23" s="175"/>
      <c r="QDY23" s="175"/>
      <c r="QDZ23" s="175"/>
      <c r="QEA23" s="175"/>
      <c r="QEB23" s="175"/>
      <c r="QEC23" s="175"/>
      <c r="QED23" s="175"/>
      <c r="QEE23" s="175"/>
      <c r="QEF23" s="175"/>
      <c r="QEG23" s="175"/>
      <c r="QEH23" s="175"/>
      <c r="QEI23" s="175"/>
      <c r="QEJ23" s="175"/>
      <c r="QEK23" s="175"/>
      <c r="QEL23" s="175"/>
      <c r="QEM23" s="175"/>
      <c r="QEN23" s="175"/>
      <c r="QEO23" s="175"/>
      <c r="QEP23" s="175"/>
      <c r="QEQ23" s="175"/>
      <c r="QER23" s="175"/>
      <c r="QES23" s="175"/>
      <c r="QET23" s="175"/>
      <c r="QEU23" s="175"/>
      <c r="QEV23" s="175"/>
      <c r="QEW23" s="175"/>
      <c r="QEX23" s="175"/>
      <c r="QEY23" s="175"/>
      <c r="QEZ23" s="175"/>
      <c r="QFA23" s="175"/>
      <c r="QFB23" s="175"/>
      <c r="QFC23" s="175"/>
      <c r="QFD23" s="175"/>
      <c r="QFE23" s="175"/>
      <c r="QFF23" s="175"/>
      <c r="QFG23" s="175"/>
      <c r="QFH23" s="175"/>
      <c r="QFI23" s="175"/>
      <c r="QFJ23" s="175"/>
      <c r="QFK23" s="175"/>
      <c r="QFL23" s="175"/>
      <c r="QFM23" s="175"/>
      <c r="QFN23" s="175"/>
      <c r="QFO23" s="175"/>
      <c r="QFP23" s="175"/>
      <c r="QFQ23" s="175"/>
      <c r="QFR23" s="175"/>
      <c r="QFS23" s="175"/>
      <c r="QFT23" s="175"/>
      <c r="QFU23" s="175"/>
      <c r="QFV23" s="175"/>
      <c r="QFW23" s="175"/>
      <c r="QFX23" s="175"/>
      <c r="QFY23" s="175"/>
      <c r="QFZ23" s="175"/>
      <c r="QGA23" s="175"/>
      <c r="QGB23" s="175"/>
      <c r="QGC23" s="175"/>
      <c r="QGD23" s="175"/>
      <c r="QGE23" s="175"/>
      <c r="QGF23" s="175"/>
      <c r="QGG23" s="175"/>
      <c r="QGH23" s="175"/>
      <c r="QGI23" s="175"/>
      <c r="QGJ23" s="175"/>
      <c r="QGK23" s="175"/>
      <c r="QGL23" s="175"/>
      <c r="QGM23" s="175"/>
      <c r="QGN23" s="175"/>
      <c r="QGO23" s="175"/>
      <c r="QGP23" s="175"/>
      <c r="QGQ23" s="175"/>
      <c r="QGR23" s="175"/>
      <c r="QGS23" s="175"/>
      <c r="QGT23" s="175"/>
      <c r="QGU23" s="175"/>
      <c r="QGV23" s="175"/>
      <c r="QGW23" s="175"/>
      <c r="QGX23" s="175"/>
      <c r="QGY23" s="175"/>
      <c r="QGZ23" s="175"/>
      <c r="QHA23" s="175"/>
      <c r="QHB23" s="175"/>
      <c r="QHC23" s="175"/>
      <c r="QHD23" s="175"/>
      <c r="QHE23" s="175"/>
      <c r="QHF23" s="175"/>
      <c r="QHG23" s="175"/>
      <c r="QHH23" s="175"/>
      <c r="QHI23" s="175"/>
      <c r="QHJ23" s="175"/>
      <c r="QHK23" s="175"/>
      <c r="QHL23" s="175"/>
      <c r="QHM23" s="175"/>
      <c r="QHN23" s="175"/>
      <c r="QHO23" s="175"/>
      <c r="QHP23" s="175"/>
      <c r="QHQ23" s="175"/>
      <c r="QHR23" s="175"/>
      <c r="QHS23" s="175"/>
      <c r="QHT23" s="175"/>
      <c r="QHU23" s="175"/>
      <c r="QHV23" s="175"/>
      <c r="QHW23" s="175"/>
      <c r="QHX23" s="175"/>
      <c r="QHY23" s="175"/>
      <c r="QHZ23" s="175"/>
      <c r="QIA23" s="175"/>
      <c r="QIB23" s="175"/>
      <c r="QIC23" s="175"/>
      <c r="QID23" s="175"/>
      <c r="QIE23" s="175"/>
      <c r="QIF23" s="175"/>
      <c r="QIG23" s="175"/>
      <c r="QIH23" s="175"/>
      <c r="QII23" s="175"/>
      <c r="QIJ23" s="175"/>
      <c r="QIK23" s="175"/>
      <c r="QIL23" s="175"/>
      <c r="QIM23" s="175"/>
      <c r="QIN23" s="175"/>
      <c r="QIO23" s="175"/>
      <c r="QIP23" s="175"/>
      <c r="QIQ23" s="175"/>
      <c r="QIR23" s="175"/>
      <c r="QIS23" s="175"/>
      <c r="QIT23" s="175"/>
      <c r="QIU23" s="175"/>
      <c r="QIV23" s="175"/>
      <c r="QIW23" s="175"/>
      <c r="QIX23" s="175"/>
      <c r="QIY23" s="175"/>
      <c r="QIZ23" s="175"/>
      <c r="QJA23" s="175"/>
      <c r="QJB23" s="175"/>
      <c r="QJC23" s="175"/>
      <c r="QJD23" s="175"/>
      <c r="QJE23" s="175"/>
      <c r="QJF23" s="175"/>
      <c r="QJG23" s="175"/>
      <c r="QJH23" s="175"/>
      <c r="QJI23" s="175"/>
      <c r="QJJ23" s="175"/>
      <c r="QJK23" s="175"/>
      <c r="QJL23" s="175"/>
      <c r="QJM23" s="175"/>
      <c r="QJN23" s="175"/>
      <c r="QJO23" s="175"/>
      <c r="QJP23" s="175"/>
      <c r="QJQ23" s="175"/>
      <c r="QJR23" s="175"/>
      <c r="QJS23" s="175"/>
      <c r="QJT23" s="175"/>
      <c r="QJU23" s="175"/>
      <c r="QJV23" s="175"/>
      <c r="QJW23" s="175"/>
      <c r="QJX23" s="175"/>
      <c r="QJY23" s="175"/>
      <c r="QJZ23" s="175"/>
      <c r="QKA23" s="175"/>
      <c r="QKB23" s="175"/>
      <c r="QKC23" s="175"/>
      <c r="QKD23" s="175"/>
      <c r="QKE23" s="175"/>
      <c r="QKF23" s="175"/>
      <c r="QKG23" s="175"/>
      <c r="QKH23" s="175"/>
      <c r="QKI23" s="175"/>
      <c r="QKJ23" s="175"/>
      <c r="QKK23" s="175"/>
      <c r="QKL23" s="175"/>
      <c r="QKM23" s="175"/>
      <c r="QKN23" s="175"/>
      <c r="QKO23" s="175"/>
      <c r="QKP23" s="175"/>
      <c r="QKQ23" s="175"/>
      <c r="QKR23" s="175"/>
      <c r="QKS23" s="175"/>
      <c r="QKT23" s="175"/>
      <c r="QKU23" s="175"/>
      <c r="QKV23" s="175"/>
      <c r="QKW23" s="175"/>
      <c r="QKX23" s="175"/>
      <c r="QKY23" s="175"/>
      <c r="QKZ23" s="175"/>
      <c r="QLA23" s="175"/>
      <c r="QLB23" s="175"/>
      <c r="QLC23" s="175"/>
      <c r="QLD23" s="175"/>
      <c r="QLE23" s="175"/>
      <c r="QLF23" s="175"/>
      <c r="QLG23" s="175"/>
      <c r="QLH23" s="175"/>
      <c r="QLI23" s="175"/>
      <c r="QLJ23" s="175"/>
      <c r="QLK23" s="175"/>
      <c r="QLL23" s="175"/>
      <c r="QLM23" s="175"/>
      <c r="QLN23" s="175"/>
      <c r="QLO23" s="175"/>
      <c r="QLP23" s="175"/>
      <c r="QLQ23" s="175"/>
      <c r="QLR23" s="175"/>
      <c r="QLS23" s="175"/>
      <c r="QLT23" s="175"/>
      <c r="QLU23" s="175"/>
      <c r="QLV23" s="175"/>
      <c r="QLW23" s="175"/>
      <c r="QLX23" s="175"/>
      <c r="QLY23" s="175"/>
      <c r="QLZ23" s="175"/>
      <c r="QMA23" s="175"/>
      <c r="QMB23" s="175"/>
      <c r="QMC23" s="175"/>
      <c r="QMD23" s="175"/>
      <c r="QME23" s="175"/>
      <c r="QMF23" s="175"/>
      <c r="QMG23" s="175"/>
      <c r="QMH23" s="175"/>
      <c r="QMI23" s="175"/>
      <c r="QMJ23" s="175"/>
      <c r="QMK23" s="175"/>
      <c r="QML23" s="175"/>
      <c r="QMM23" s="175"/>
      <c r="QMN23" s="175"/>
      <c r="QMO23" s="175"/>
      <c r="QMP23" s="175"/>
      <c r="QMQ23" s="175"/>
      <c r="QMR23" s="175"/>
      <c r="QMS23" s="175"/>
      <c r="QMT23" s="175"/>
      <c r="QMU23" s="175"/>
      <c r="QMV23" s="175"/>
      <c r="QMW23" s="175"/>
      <c r="QMX23" s="175"/>
      <c r="QMY23" s="175"/>
      <c r="QMZ23" s="175"/>
      <c r="QNA23" s="175"/>
      <c r="QNB23" s="175"/>
      <c r="QNC23" s="175"/>
      <c r="QND23" s="175"/>
      <c r="QNE23" s="175"/>
      <c r="QNF23" s="175"/>
      <c r="QNG23" s="175"/>
      <c r="QNH23" s="175"/>
      <c r="QNI23" s="175"/>
      <c r="QNJ23" s="175"/>
      <c r="QNK23" s="175"/>
      <c r="QNL23" s="175"/>
      <c r="QNM23" s="175"/>
      <c r="QNN23" s="175"/>
      <c r="QNO23" s="175"/>
      <c r="QNP23" s="175"/>
      <c r="QNQ23" s="175"/>
      <c r="QNR23" s="175"/>
      <c r="QNS23" s="175"/>
      <c r="QNT23" s="175"/>
      <c r="QNU23" s="175"/>
      <c r="QNV23" s="175"/>
      <c r="QNW23" s="175"/>
      <c r="QNX23" s="175"/>
      <c r="QNY23" s="175"/>
      <c r="QNZ23" s="175"/>
      <c r="QOA23" s="175"/>
      <c r="QOB23" s="175"/>
      <c r="QOC23" s="175"/>
      <c r="QOD23" s="175"/>
      <c r="QOE23" s="175"/>
      <c r="QOF23" s="175"/>
      <c r="QOG23" s="175"/>
      <c r="QOH23" s="175"/>
      <c r="QOI23" s="175"/>
      <c r="QOJ23" s="175"/>
      <c r="QOK23" s="175"/>
      <c r="QOL23" s="175"/>
      <c r="QOM23" s="175"/>
      <c r="QON23" s="175"/>
      <c r="QOO23" s="175"/>
      <c r="QOP23" s="175"/>
      <c r="QOQ23" s="175"/>
      <c r="QOR23" s="175"/>
      <c r="QOS23" s="175"/>
      <c r="QOT23" s="175"/>
      <c r="QOU23" s="175"/>
      <c r="QOV23" s="175"/>
      <c r="QOW23" s="175"/>
      <c r="QOX23" s="175"/>
      <c r="QOY23" s="175"/>
      <c r="QOZ23" s="175"/>
      <c r="QPA23" s="175"/>
      <c r="QPB23" s="175"/>
      <c r="QPC23" s="175"/>
      <c r="QPD23" s="175"/>
      <c r="QPE23" s="175"/>
      <c r="QPF23" s="175"/>
      <c r="QPG23" s="175"/>
      <c r="QPH23" s="175"/>
      <c r="QPI23" s="175"/>
      <c r="QPJ23" s="175"/>
      <c r="QPK23" s="175"/>
      <c r="QPL23" s="175"/>
      <c r="QPM23" s="175"/>
      <c r="QPN23" s="175"/>
      <c r="QPO23" s="175"/>
      <c r="QPP23" s="175"/>
      <c r="QPQ23" s="175"/>
      <c r="QPR23" s="175"/>
      <c r="QPS23" s="175"/>
      <c r="QPT23" s="175"/>
      <c r="QPU23" s="175"/>
      <c r="QPV23" s="175"/>
      <c r="QPW23" s="175"/>
      <c r="QPX23" s="175"/>
      <c r="QPY23" s="175"/>
      <c r="QPZ23" s="175"/>
      <c r="QQA23" s="175"/>
      <c r="QQB23" s="175"/>
      <c r="QQC23" s="175"/>
      <c r="QQD23" s="175"/>
      <c r="QQE23" s="175"/>
      <c r="QQF23" s="175"/>
      <c r="QQG23" s="175"/>
      <c r="QQH23" s="175"/>
      <c r="QQI23" s="175"/>
      <c r="QQJ23" s="175"/>
      <c r="QQK23" s="175"/>
      <c r="QQL23" s="175"/>
      <c r="QQM23" s="175"/>
      <c r="QQN23" s="175"/>
      <c r="QQO23" s="175"/>
      <c r="QQP23" s="175"/>
      <c r="QQQ23" s="175"/>
      <c r="QQR23" s="175"/>
      <c r="QQS23" s="175"/>
      <c r="QQT23" s="175"/>
      <c r="QQU23" s="175"/>
      <c r="QQV23" s="175"/>
      <c r="QQW23" s="175"/>
      <c r="QQX23" s="175"/>
      <c r="QQY23" s="175"/>
      <c r="QQZ23" s="175"/>
      <c r="QRA23" s="175"/>
      <c r="QRB23" s="175"/>
      <c r="QRC23" s="175"/>
      <c r="QRD23" s="175"/>
      <c r="QRE23" s="175"/>
      <c r="QRF23" s="175"/>
      <c r="QRG23" s="175"/>
      <c r="QRH23" s="175"/>
      <c r="QRI23" s="175"/>
      <c r="QRJ23" s="175"/>
      <c r="QRK23" s="175"/>
      <c r="QRL23" s="175"/>
      <c r="QRM23" s="175"/>
      <c r="QRN23" s="175"/>
      <c r="QRO23" s="175"/>
      <c r="QRP23" s="175"/>
      <c r="QRQ23" s="175"/>
      <c r="QRR23" s="175"/>
      <c r="QRS23" s="175"/>
      <c r="QRT23" s="175"/>
      <c r="QRU23" s="175"/>
      <c r="QRV23" s="175"/>
      <c r="QRW23" s="175"/>
      <c r="QRX23" s="175"/>
      <c r="QRY23" s="175"/>
      <c r="QRZ23" s="175"/>
      <c r="QSA23" s="175"/>
      <c r="QSB23" s="175"/>
      <c r="QSC23" s="175"/>
      <c r="QSD23" s="175"/>
      <c r="QSE23" s="175"/>
      <c r="QSF23" s="175"/>
      <c r="QSG23" s="175"/>
      <c r="QSH23" s="175"/>
      <c r="QSI23" s="175"/>
      <c r="QSJ23" s="175"/>
      <c r="QSK23" s="175"/>
      <c r="QSL23" s="175"/>
      <c r="QSM23" s="175"/>
      <c r="QSN23" s="175"/>
      <c r="QSO23" s="175"/>
      <c r="QSP23" s="175"/>
      <c r="QSQ23" s="175"/>
      <c r="QSR23" s="175"/>
      <c r="QSS23" s="175"/>
      <c r="QST23" s="175"/>
      <c r="QSU23" s="175"/>
      <c r="QSV23" s="175"/>
      <c r="QSW23" s="175"/>
      <c r="QSX23" s="175"/>
      <c r="QSY23" s="175"/>
      <c r="QSZ23" s="175"/>
      <c r="QTA23" s="175"/>
      <c r="QTB23" s="175"/>
      <c r="QTC23" s="175"/>
      <c r="QTD23" s="175"/>
      <c r="QTE23" s="175"/>
      <c r="QTF23" s="175"/>
      <c r="QTG23" s="175"/>
      <c r="QTH23" s="175"/>
      <c r="QTI23" s="175"/>
      <c r="QTJ23" s="175"/>
      <c r="QTK23" s="175"/>
      <c r="QTL23" s="175"/>
      <c r="QTM23" s="175"/>
      <c r="QTN23" s="175"/>
      <c r="QTO23" s="175"/>
      <c r="QTP23" s="175"/>
      <c r="QTQ23" s="175"/>
      <c r="QTR23" s="175"/>
      <c r="QTS23" s="175"/>
      <c r="QTT23" s="175"/>
      <c r="QTU23" s="175"/>
      <c r="QTV23" s="175"/>
      <c r="QTW23" s="175"/>
      <c r="QTX23" s="175"/>
      <c r="QTY23" s="175"/>
      <c r="QTZ23" s="175"/>
      <c r="QUA23" s="175"/>
      <c r="QUB23" s="175"/>
      <c r="QUC23" s="175"/>
      <c r="QUD23" s="175"/>
      <c r="QUE23" s="175"/>
      <c r="QUF23" s="175"/>
      <c r="QUG23" s="175"/>
      <c r="QUH23" s="175"/>
      <c r="QUI23" s="175"/>
      <c r="QUJ23" s="175"/>
      <c r="QUK23" s="175"/>
      <c r="QUL23" s="175"/>
      <c r="QUM23" s="175"/>
      <c r="QUN23" s="175"/>
      <c r="QUO23" s="175"/>
      <c r="QUP23" s="175"/>
      <c r="QUQ23" s="175"/>
      <c r="QUR23" s="175"/>
      <c r="QUS23" s="175"/>
      <c r="QUT23" s="175"/>
      <c r="QUU23" s="175"/>
      <c r="QUV23" s="175"/>
      <c r="QUW23" s="175"/>
      <c r="QUX23" s="175"/>
      <c r="QUY23" s="175"/>
      <c r="QUZ23" s="175"/>
      <c r="QVA23" s="175"/>
      <c r="QVB23" s="175"/>
      <c r="QVC23" s="175"/>
      <c r="QVD23" s="175"/>
      <c r="QVE23" s="175"/>
      <c r="QVF23" s="175"/>
      <c r="QVG23" s="175"/>
      <c r="QVH23" s="175"/>
      <c r="QVI23" s="175"/>
      <c r="QVJ23" s="175"/>
      <c r="QVK23" s="175"/>
      <c r="QVL23" s="175"/>
      <c r="QVM23" s="175"/>
      <c r="QVN23" s="175"/>
      <c r="QVO23" s="175"/>
      <c r="QVP23" s="175"/>
      <c r="QVQ23" s="175"/>
      <c r="QVR23" s="175"/>
      <c r="QVS23" s="175"/>
      <c r="QVT23" s="175"/>
      <c r="QVU23" s="175"/>
      <c r="QVV23" s="175"/>
      <c r="QVW23" s="175"/>
      <c r="QVX23" s="175"/>
      <c r="QVY23" s="175"/>
      <c r="QVZ23" s="175"/>
      <c r="QWA23" s="175"/>
      <c r="QWB23" s="175"/>
      <c r="QWC23" s="175"/>
      <c r="QWD23" s="175"/>
      <c r="QWE23" s="175"/>
      <c r="QWF23" s="175"/>
      <c r="QWG23" s="175"/>
      <c r="QWH23" s="175"/>
      <c r="QWI23" s="175"/>
      <c r="QWJ23" s="175"/>
      <c r="QWK23" s="175"/>
      <c r="QWL23" s="175"/>
      <c r="QWM23" s="175"/>
      <c r="QWN23" s="175"/>
      <c r="QWO23" s="175"/>
      <c r="QWP23" s="175"/>
      <c r="QWQ23" s="175"/>
      <c r="QWR23" s="175"/>
      <c r="QWS23" s="175"/>
      <c r="QWT23" s="175"/>
      <c r="QWU23" s="175"/>
      <c r="QWV23" s="175"/>
      <c r="QWW23" s="175"/>
      <c r="QWX23" s="175"/>
      <c r="QWY23" s="175"/>
      <c r="QWZ23" s="175"/>
      <c r="QXA23" s="175"/>
      <c r="QXB23" s="175"/>
      <c r="QXC23" s="175"/>
      <c r="QXD23" s="175"/>
      <c r="QXE23" s="175"/>
      <c r="QXF23" s="175"/>
      <c r="QXG23" s="175"/>
      <c r="QXH23" s="175"/>
      <c r="QXI23" s="175"/>
      <c r="QXJ23" s="175"/>
      <c r="QXK23" s="175"/>
      <c r="QXL23" s="175"/>
      <c r="QXM23" s="175"/>
      <c r="QXN23" s="175"/>
      <c r="QXO23" s="175"/>
      <c r="QXP23" s="175"/>
      <c r="QXQ23" s="175"/>
      <c r="QXR23" s="175"/>
      <c r="QXS23" s="175"/>
      <c r="QXT23" s="175"/>
      <c r="QXU23" s="175"/>
      <c r="QXV23" s="175"/>
      <c r="QXW23" s="175"/>
      <c r="QXX23" s="175"/>
      <c r="QXY23" s="175"/>
      <c r="QXZ23" s="175"/>
      <c r="QYA23" s="175"/>
      <c r="QYB23" s="175"/>
      <c r="QYC23" s="175"/>
      <c r="QYD23" s="175"/>
      <c r="QYE23" s="175"/>
      <c r="QYF23" s="175"/>
      <c r="QYG23" s="175"/>
      <c r="QYH23" s="175"/>
      <c r="QYI23" s="175"/>
      <c r="QYJ23" s="175"/>
      <c r="QYK23" s="175"/>
      <c r="QYL23" s="175"/>
      <c r="QYM23" s="175"/>
      <c r="QYN23" s="175"/>
      <c r="QYO23" s="175"/>
      <c r="QYP23" s="175"/>
      <c r="QYQ23" s="175"/>
      <c r="QYR23" s="175"/>
      <c r="QYS23" s="175"/>
      <c r="QYT23" s="175"/>
      <c r="QYU23" s="175"/>
      <c r="QYV23" s="175"/>
      <c r="QYW23" s="175"/>
      <c r="QYX23" s="175"/>
      <c r="QYY23" s="175"/>
      <c r="QYZ23" s="175"/>
      <c r="QZA23" s="175"/>
      <c r="QZB23" s="175"/>
      <c r="QZC23" s="175"/>
      <c r="QZD23" s="175"/>
      <c r="QZE23" s="175"/>
      <c r="QZF23" s="175"/>
      <c r="QZG23" s="175"/>
      <c r="QZH23" s="175"/>
      <c r="QZI23" s="175"/>
      <c r="QZJ23" s="175"/>
      <c r="QZK23" s="175"/>
      <c r="QZL23" s="175"/>
      <c r="QZM23" s="175"/>
      <c r="QZN23" s="175"/>
      <c r="QZO23" s="175"/>
      <c r="QZP23" s="175"/>
      <c r="QZQ23" s="175"/>
      <c r="QZR23" s="175"/>
      <c r="QZS23" s="175"/>
      <c r="QZT23" s="175"/>
      <c r="QZU23" s="175"/>
      <c r="QZV23" s="175"/>
      <c r="QZW23" s="175"/>
      <c r="QZX23" s="175"/>
      <c r="QZY23" s="175"/>
      <c r="QZZ23" s="175"/>
      <c r="RAA23" s="175"/>
      <c r="RAB23" s="175"/>
      <c r="RAC23" s="175"/>
      <c r="RAD23" s="175"/>
      <c r="RAE23" s="175"/>
      <c r="RAF23" s="175"/>
      <c r="RAG23" s="175"/>
      <c r="RAH23" s="175"/>
      <c r="RAI23" s="175"/>
      <c r="RAJ23" s="175"/>
      <c r="RAK23" s="175"/>
      <c r="RAL23" s="175"/>
      <c r="RAM23" s="175"/>
      <c r="RAN23" s="175"/>
      <c r="RAO23" s="175"/>
      <c r="RAP23" s="175"/>
      <c r="RAQ23" s="175"/>
      <c r="RAR23" s="175"/>
      <c r="RAS23" s="175"/>
      <c r="RAT23" s="175"/>
      <c r="RAU23" s="175"/>
      <c r="RAV23" s="175"/>
      <c r="RAW23" s="175"/>
      <c r="RAX23" s="175"/>
      <c r="RAY23" s="175"/>
      <c r="RAZ23" s="175"/>
      <c r="RBA23" s="175"/>
      <c r="RBB23" s="175"/>
      <c r="RBC23" s="175"/>
      <c r="RBD23" s="175"/>
      <c r="RBE23" s="175"/>
      <c r="RBF23" s="175"/>
      <c r="RBG23" s="175"/>
      <c r="RBH23" s="175"/>
      <c r="RBI23" s="175"/>
      <c r="RBJ23" s="175"/>
      <c r="RBK23" s="175"/>
      <c r="RBL23" s="175"/>
      <c r="RBM23" s="175"/>
      <c r="RBN23" s="175"/>
      <c r="RBO23" s="175"/>
      <c r="RBP23" s="175"/>
      <c r="RBQ23" s="175"/>
      <c r="RBR23" s="175"/>
      <c r="RBS23" s="175"/>
      <c r="RBT23" s="175"/>
      <c r="RBU23" s="175"/>
      <c r="RBV23" s="175"/>
      <c r="RBW23" s="175"/>
      <c r="RBX23" s="175"/>
      <c r="RBY23" s="175"/>
      <c r="RBZ23" s="175"/>
      <c r="RCA23" s="175"/>
      <c r="RCB23" s="175"/>
      <c r="RCC23" s="175"/>
      <c r="RCD23" s="175"/>
      <c r="RCE23" s="175"/>
      <c r="RCF23" s="175"/>
      <c r="RCG23" s="175"/>
      <c r="RCH23" s="175"/>
      <c r="RCI23" s="175"/>
      <c r="RCJ23" s="175"/>
      <c r="RCK23" s="175"/>
      <c r="RCL23" s="175"/>
      <c r="RCM23" s="175"/>
      <c r="RCN23" s="175"/>
      <c r="RCO23" s="175"/>
      <c r="RCP23" s="175"/>
      <c r="RCQ23" s="175"/>
      <c r="RCR23" s="175"/>
      <c r="RCS23" s="175"/>
      <c r="RCT23" s="175"/>
      <c r="RCU23" s="175"/>
      <c r="RCV23" s="175"/>
      <c r="RCW23" s="175"/>
      <c r="RCX23" s="175"/>
      <c r="RCY23" s="175"/>
      <c r="RCZ23" s="175"/>
      <c r="RDA23" s="175"/>
      <c r="RDB23" s="175"/>
      <c r="RDC23" s="175"/>
      <c r="RDD23" s="175"/>
      <c r="RDE23" s="175"/>
      <c r="RDF23" s="175"/>
      <c r="RDG23" s="175"/>
      <c r="RDH23" s="175"/>
      <c r="RDI23" s="175"/>
      <c r="RDJ23" s="175"/>
      <c r="RDK23" s="175"/>
      <c r="RDL23" s="175"/>
      <c r="RDM23" s="175"/>
      <c r="RDN23" s="175"/>
      <c r="RDO23" s="175"/>
      <c r="RDP23" s="175"/>
      <c r="RDQ23" s="175"/>
      <c r="RDR23" s="175"/>
      <c r="RDS23" s="175"/>
      <c r="RDT23" s="175"/>
      <c r="RDU23" s="175"/>
      <c r="RDV23" s="175"/>
      <c r="RDW23" s="175"/>
      <c r="RDX23" s="175"/>
      <c r="RDY23" s="175"/>
      <c r="RDZ23" s="175"/>
      <c r="REA23" s="175"/>
      <c r="REB23" s="175"/>
      <c r="REC23" s="175"/>
      <c r="RED23" s="175"/>
      <c r="REE23" s="175"/>
      <c r="REF23" s="175"/>
      <c r="REG23" s="175"/>
      <c r="REH23" s="175"/>
      <c r="REI23" s="175"/>
      <c r="REJ23" s="175"/>
      <c r="REK23" s="175"/>
      <c r="REL23" s="175"/>
      <c r="REM23" s="175"/>
      <c r="REN23" s="175"/>
      <c r="REO23" s="175"/>
      <c r="REP23" s="175"/>
      <c r="REQ23" s="175"/>
      <c r="RER23" s="175"/>
      <c r="RES23" s="175"/>
      <c r="RET23" s="175"/>
      <c r="REU23" s="175"/>
      <c r="REV23" s="175"/>
      <c r="REW23" s="175"/>
      <c r="REX23" s="175"/>
      <c r="REY23" s="175"/>
      <c r="REZ23" s="175"/>
      <c r="RFA23" s="175"/>
      <c r="RFB23" s="175"/>
      <c r="RFC23" s="175"/>
      <c r="RFD23" s="175"/>
      <c r="RFE23" s="175"/>
      <c r="RFF23" s="175"/>
      <c r="RFG23" s="175"/>
      <c r="RFH23" s="175"/>
      <c r="RFI23" s="175"/>
      <c r="RFJ23" s="175"/>
      <c r="RFK23" s="175"/>
      <c r="RFL23" s="175"/>
      <c r="RFM23" s="175"/>
      <c r="RFN23" s="175"/>
      <c r="RFO23" s="175"/>
      <c r="RFP23" s="175"/>
      <c r="RFQ23" s="175"/>
      <c r="RFR23" s="175"/>
      <c r="RFS23" s="175"/>
      <c r="RFT23" s="175"/>
      <c r="RFU23" s="175"/>
      <c r="RFV23" s="175"/>
      <c r="RFW23" s="175"/>
      <c r="RFX23" s="175"/>
      <c r="RFY23" s="175"/>
      <c r="RFZ23" s="175"/>
      <c r="RGA23" s="175"/>
      <c r="RGB23" s="175"/>
      <c r="RGC23" s="175"/>
      <c r="RGD23" s="175"/>
      <c r="RGE23" s="175"/>
      <c r="RGF23" s="175"/>
      <c r="RGG23" s="175"/>
      <c r="RGH23" s="175"/>
      <c r="RGI23" s="175"/>
      <c r="RGJ23" s="175"/>
      <c r="RGK23" s="175"/>
      <c r="RGL23" s="175"/>
      <c r="RGM23" s="175"/>
      <c r="RGN23" s="175"/>
      <c r="RGO23" s="175"/>
      <c r="RGP23" s="175"/>
      <c r="RGQ23" s="175"/>
      <c r="RGR23" s="175"/>
      <c r="RGS23" s="175"/>
      <c r="RGT23" s="175"/>
      <c r="RGU23" s="175"/>
      <c r="RGV23" s="175"/>
      <c r="RGW23" s="175"/>
      <c r="RGX23" s="175"/>
      <c r="RGY23" s="175"/>
      <c r="RGZ23" s="175"/>
      <c r="RHA23" s="175"/>
      <c r="RHB23" s="175"/>
      <c r="RHC23" s="175"/>
      <c r="RHD23" s="175"/>
      <c r="RHE23" s="175"/>
      <c r="RHF23" s="175"/>
      <c r="RHG23" s="175"/>
      <c r="RHH23" s="175"/>
      <c r="RHI23" s="175"/>
      <c r="RHJ23" s="175"/>
      <c r="RHK23" s="175"/>
      <c r="RHL23" s="175"/>
      <c r="RHM23" s="175"/>
      <c r="RHN23" s="175"/>
      <c r="RHO23" s="175"/>
      <c r="RHP23" s="175"/>
      <c r="RHQ23" s="175"/>
      <c r="RHR23" s="175"/>
      <c r="RHS23" s="175"/>
      <c r="RHT23" s="175"/>
      <c r="RHU23" s="175"/>
      <c r="RHV23" s="175"/>
      <c r="RHW23" s="175"/>
      <c r="RHX23" s="175"/>
      <c r="RHY23" s="175"/>
      <c r="RHZ23" s="175"/>
      <c r="RIA23" s="175"/>
      <c r="RIB23" s="175"/>
      <c r="RIC23" s="175"/>
      <c r="RID23" s="175"/>
      <c r="RIE23" s="175"/>
      <c r="RIF23" s="175"/>
      <c r="RIG23" s="175"/>
      <c r="RIH23" s="175"/>
      <c r="RII23" s="175"/>
      <c r="RIJ23" s="175"/>
      <c r="RIK23" s="175"/>
      <c r="RIL23" s="175"/>
      <c r="RIM23" s="175"/>
      <c r="RIN23" s="175"/>
      <c r="RIO23" s="175"/>
      <c r="RIP23" s="175"/>
      <c r="RIQ23" s="175"/>
      <c r="RIR23" s="175"/>
      <c r="RIS23" s="175"/>
      <c r="RIT23" s="175"/>
      <c r="RIU23" s="175"/>
      <c r="RIV23" s="175"/>
      <c r="RIW23" s="175"/>
      <c r="RIX23" s="175"/>
      <c r="RIY23" s="175"/>
      <c r="RIZ23" s="175"/>
      <c r="RJA23" s="175"/>
      <c r="RJB23" s="175"/>
      <c r="RJC23" s="175"/>
      <c r="RJD23" s="175"/>
      <c r="RJE23" s="175"/>
      <c r="RJF23" s="175"/>
      <c r="RJG23" s="175"/>
      <c r="RJH23" s="175"/>
      <c r="RJI23" s="175"/>
      <c r="RJJ23" s="175"/>
      <c r="RJK23" s="175"/>
      <c r="RJL23" s="175"/>
      <c r="RJM23" s="175"/>
      <c r="RJN23" s="175"/>
      <c r="RJO23" s="175"/>
      <c r="RJP23" s="175"/>
      <c r="RJQ23" s="175"/>
      <c r="RJR23" s="175"/>
      <c r="RJS23" s="175"/>
      <c r="RJT23" s="175"/>
      <c r="RJU23" s="175"/>
      <c r="RJV23" s="175"/>
      <c r="RJW23" s="175"/>
      <c r="RJX23" s="175"/>
      <c r="RJY23" s="175"/>
      <c r="RJZ23" s="175"/>
      <c r="RKA23" s="175"/>
      <c r="RKB23" s="175"/>
      <c r="RKC23" s="175"/>
      <c r="RKD23" s="175"/>
      <c r="RKE23" s="175"/>
      <c r="RKF23" s="175"/>
      <c r="RKG23" s="175"/>
      <c r="RKH23" s="175"/>
      <c r="RKI23" s="175"/>
      <c r="RKJ23" s="175"/>
      <c r="RKK23" s="175"/>
      <c r="RKL23" s="175"/>
      <c r="RKM23" s="175"/>
      <c r="RKN23" s="175"/>
      <c r="RKO23" s="175"/>
      <c r="RKP23" s="175"/>
      <c r="RKQ23" s="175"/>
      <c r="RKR23" s="175"/>
      <c r="RKS23" s="175"/>
      <c r="RKT23" s="175"/>
      <c r="RKU23" s="175"/>
      <c r="RKV23" s="175"/>
      <c r="RKW23" s="175"/>
      <c r="RKX23" s="175"/>
      <c r="RKY23" s="175"/>
      <c r="RKZ23" s="175"/>
      <c r="RLA23" s="175"/>
      <c r="RLB23" s="175"/>
      <c r="RLC23" s="175"/>
      <c r="RLD23" s="175"/>
      <c r="RLE23" s="175"/>
      <c r="RLF23" s="175"/>
      <c r="RLG23" s="175"/>
      <c r="RLH23" s="175"/>
      <c r="RLI23" s="175"/>
      <c r="RLJ23" s="175"/>
      <c r="RLK23" s="175"/>
      <c r="RLL23" s="175"/>
      <c r="RLM23" s="175"/>
      <c r="RLN23" s="175"/>
      <c r="RLO23" s="175"/>
      <c r="RLP23" s="175"/>
      <c r="RLQ23" s="175"/>
      <c r="RLR23" s="175"/>
      <c r="RLS23" s="175"/>
      <c r="RLT23" s="175"/>
      <c r="RLU23" s="175"/>
      <c r="RLV23" s="175"/>
      <c r="RLW23" s="175"/>
      <c r="RLX23" s="175"/>
      <c r="RLY23" s="175"/>
      <c r="RLZ23" s="175"/>
      <c r="RMA23" s="175"/>
      <c r="RMB23" s="175"/>
      <c r="RMC23" s="175"/>
      <c r="RMD23" s="175"/>
      <c r="RME23" s="175"/>
      <c r="RMF23" s="175"/>
      <c r="RMG23" s="175"/>
      <c r="RMH23" s="175"/>
      <c r="RMI23" s="175"/>
      <c r="RMJ23" s="175"/>
      <c r="RMK23" s="175"/>
      <c r="RML23" s="175"/>
      <c r="RMM23" s="175"/>
      <c r="RMN23" s="175"/>
      <c r="RMO23" s="175"/>
      <c r="RMP23" s="175"/>
      <c r="RMQ23" s="175"/>
      <c r="RMR23" s="175"/>
      <c r="RMS23" s="175"/>
      <c r="RMT23" s="175"/>
      <c r="RMU23" s="175"/>
      <c r="RMV23" s="175"/>
      <c r="RMW23" s="175"/>
      <c r="RMX23" s="175"/>
      <c r="RMY23" s="175"/>
      <c r="RMZ23" s="175"/>
      <c r="RNA23" s="175"/>
      <c r="RNB23" s="175"/>
      <c r="RNC23" s="175"/>
      <c r="RND23" s="175"/>
      <c r="RNE23" s="175"/>
      <c r="RNF23" s="175"/>
      <c r="RNG23" s="175"/>
      <c r="RNH23" s="175"/>
      <c r="RNI23" s="175"/>
      <c r="RNJ23" s="175"/>
      <c r="RNK23" s="175"/>
      <c r="RNL23" s="175"/>
      <c r="RNM23" s="175"/>
      <c r="RNN23" s="175"/>
      <c r="RNO23" s="175"/>
      <c r="RNP23" s="175"/>
      <c r="RNQ23" s="175"/>
      <c r="RNR23" s="175"/>
      <c r="RNS23" s="175"/>
      <c r="RNT23" s="175"/>
      <c r="RNU23" s="175"/>
      <c r="RNV23" s="175"/>
      <c r="RNW23" s="175"/>
      <c r="RNX23" s="175"/>
      <c r="RNY23" s="175"/>
      <c r="RNZ23" s="175"/>
      <c r="ROA23" s="175"/>
      <c r="ROB23" s="175"/>
      <c r="ROC23" s="175"/>
      <c r="ROD23" s="175"/>
      <c r="ROE23" s="175"/>
      <c r="ROF23" s="175"/>
      <c r="ROG23" s="175"/>
      <c r="ROH23" s="175"/>
      <c r="ROI23" s="175"/>
      <c r="ROJ23" s="175"/>
      <c r="ROK23" s="175"/>
      <c r="ROL23" s="175"/>
      <c r="ROM23" s="175"/>
      <c r="RON23" s="175"/>
      <c r="ROO23" s="175"/>
      <c r="ROP23" s="175"/>
      <c r="ROQ23" s="175"/>
      <c r="ROR23" s="175"/>
      <c r="ROS23" s="175"/>
      <c r="ROT23" s="175"/>
      <c r="ROU23" s="175"/>
      <c r="ROV23" s="175"/>
      <c r="ROW23" s="175"/>
      <c r="ROX23" s="175"/>
      <c r="ROY23" s="175"/>
      <c r="ROZ23" s="175"/>
      <c r="RPA23" s="175"/>
      <c r="RPB23" s="175"/>
      <c r="RPC23" s="175"/>
      <c r="RPD23" s="175"/>
      <c r="RPE23" s="175"/>
      <c r="RPF23" s="175"/>
      <c r="RPG23" s="175"/>
      <c r="RPH23" s="175"/>
      <c r="RPI23" s="175"/>
      <c r="RPJ23" s="175"/>
      <c r="RPK23" s="175"/>
      <c r="RPL23" s="175"/>
      <c r="RPM23" s="175"/>
      <c r="RPN23" s="175"/>
      <c r="RPO23" s="175"/>
      <c r="RPP23" s="175"/>
      <c r="RPQ23" s="175"/>
      <c r="RPR23" s="175"/>
      <c r="RPS23" s="175"/>
      <c r="RPT23" s="175"/>
      <c r="RPU23" s="175"/>
      <c r="RPV23" s="175"/>
      <c r="RPW23" s="175"/>
      <c r="RPX23" s="175"/>
      <c r="RPY23" s="175"/>
      <c r="RPZ23" s="175"/>
      <c r="RQA23" s="175"/>
      <c r="RQB23" s="175"/>
      <c r="RQC23" s="175"/>
      <c r="RQD23" s="175"/>
      <c r="RQE23" s="175"/>
      <c r="RQF23" s="175"/>
      <c r="RQG23" s="175"/>
      <c r="RQH23" s="175"/>
      <c r="RQI23" s="175"/>
      <c r="RQJ23" s="175"/>
      <c r="RQK23" s="175"/>
      <c r="RQL23" s="175"/>
      <c r="RQM23" s="175"/>
      <c r="RQN23" s="175"/>
      <c r="RQO23" s="175"/>
      <c r="RQP23" s="175"/>
      <c r="RQQ23" s="175"/>
      <c r="RQR23" s="175"/>
      <c r="RQS23" s="175"/>
      <c r="RQT23" s="175"/>
      <c r="RQU23" s="175"/>
      <c r="RQV23" s="175"/>
      <c r="RQW23" s="175"/>
      <c r="RQX23" s="175"/>
      <c r="RQY23" s="175"/>
      <c r="RQZ23" s="175"/>
      <c r="RRA23" s="175"/>
      <c r="RRB23" s="175"/>
      <c r="RRC23" s="175"/>
      <c r="RRD23" s="175"/>
      <c r="RRE23" s="175"/>
      <c r="RRF23" s="175"/>
      <c r="RRG23" s="175"/>
      <c r="RRH23" s="175"/>
      <c r="RRI23" s="175"/>
      <c r="RRJ23" s="175"/>
      <c r="RRK23" s="175"/>
      <c r="RRL23" s="175"/>
      <c r="RRM23" s="175"/>
      <c r="RRN23" s="175"/>
      <c r="RRO23" s="175"/>
      <c r="RRP23" s="175"/>
      <c r="RRQ23" s="175"/>
      <c r="RRR23" s="175"/>
      <c r="RRS23" s="175"/>
      <c r="RRT23" s="175"/>
      <c r="RRU23" s="175"/>
      <c r="RRV23" s="175"/>
      <c r="RRW23" s="175"/>
      <c r="RRX23" s="175"/>
      <c r="RRY23" s="175"/>
      <c r="RRZ23" s="175"/>
      <c r="RSA23" s="175"/>
      <c r="RSB23" s="175"/>
      <c r="RSC23" s="175"/>
      <c r="RSD23" s="175"/>
      <c r="RSE23" s="175"/>
      <c r="RSF23" s="175"/>
      <c r="RSG23" s="175"/>
      <c r="RSH23" s="175"/>
      <c r="RSI23" s="175"/>
      <c r="RSJ23" s="175"/>
      <c r="RSK23" s="175"/>
      <c r="RSL23" s="175"/>
      <c r="RSM23" s="175"/>
      <c r="RSN23" s="175"/>
      <c r="RSO23" s="175"/>
      <c r="RSP23" s="175"/>
      <c r="RSQ23" s="175"/>
      <c r="RSR23" s="175"/>
      <c r="RSS23" s="175"/>
      <c r="RST23" s="175"/>
      <c r="RSU23" s="175"/>
      <c r="RSV23" s="175"/>
      <c r="RSW23" s="175"/>
      <c r="RSX23" s="175"/>
      <c r="RSY23" s="175"/>
      <c r="RSZ23" s="175"/>
      <c r="RTA23" s="175"/>
      <c r="RTB23" s="175"/>
      <c r="RTC23" s="175"/>
      <c r="RTD23" s="175"/>
      <c r="RTE23" s="175"/>
      <c r="RTF23" s="175"/>
      <c r="RTG23" s="175"/>
      <c r="RTH23" s="175"/>
      <c r="RTI23" s="175"/>
      <c r="RTJ23" s="175"/>
      <c r="RTK23" s="175"/>
      <c r="RTL23" s="175"/>
      <c r="RTM23" s="175"/>
      <c r="RTN23" s="175"/>
      <c r="RTO23" s="175"/>
      <c r="RTP23" s="175"/>
      <c r="RTQ23" s="175"/>
      <c r="RTR23" s="175"/>
      <c r="RTS23" s="175"/>
      <c r="RTT23" s="175"/>
      <c r="RTU23" s="175"/>
      <c r="RTV23" s="175"/>
      <c r="RTW23" s="175"/>
      <c r="RTX23" s="175"/>
      <c r="RTY23" s="175"/>
      <c r="RTZ23" s="175"/>
      <c r="RUA23" s="175"/>
      <c r="RUB23" s="175"/>
      <c r="RUC23" s="175"/>
      <c r="RUD23" s="175"/>
      <c r="RUE23" s="175"/>
      <c r="RUF23" s="175"/>
      <c r="RUG23" s="175"/>
      <c r="RUH23" s="175"/>
      <c r="RUI23" s="175"/>
      <c r="RUJ23" s="175"/>
      <c r="RUK23" s="175"/>
      <c r="RUL23" s="175"/>
      <c r="RUM23" s="175"/>
      <c r="RUN23" s="175"/>
      <c r="RUO23" s="175"/>
      <c r="RUP23" s="175"/>
      <c r="RUQ23" s="175"/>
      <c r="RUR23" s="175"/>
      <c r="RUS23" s="175"/>
      <c r="RUT23" s="175"/>
      <c r="RUU23" s="175"/>
      <c r="RUV23" s="175"/>
      <c r="RUW23" s="175"/>
      <c r="RUX23" s="175"/>
      <c r="RUY23" s="175"/>
      <c r="RUZ23" s="175"/>
      <c r="RVA23" s="175"/>
      <c r="RVB23" s="175"/>
      <c r="RVC23" s="175"/>
      <c r="RVD23" s="175"/>
      <c r="RVE23" s="175"/>
      <c r="RVF23" s="175"/>
      <c r="RVG23" s="175"/>
      <c r="RVH23" s="175"/>
      <c r="RVI23" s="175"/>
      <c r="RVJ23" s="175"/>
      <c r="RVK23" s="175"/>
      <c r="RVL23" s="175"/>
      <c r="RVM23" s="175"/>
      <c r="RVN23" s="175"/>
      <c r="RVO23" s="175"/>
      <c r="RVP23" s="175"/>
      <c r="RVQ23" s="175"/>
      <c r="RVR23" s="175"/>
      <c r="RVS23" s="175"/>
      <c r="RVT23" s="175"/>
      <c r="RVU23" s="175"/>
      <c r="RVV23" s="175"/>
      <c r="RVW23" s="175"/>
      <c r="RVX23" s="175"/>
      <c r="RVY23" s="175"/>
      <c r="RVZ23" s="175"/>
      <c r="RWA23" s="175"/>
      <c r="RWB23" s="175"/>
      <c r="RWC23" s="175"/>
      <c r="RWD23" s="175"/>
      <c r="RWE23" s="175"/>
      <c r="RWF23" s="175"/>
      <c r="RWG23" s="175"/>
      <c r="RWH23" s="175"/>
      <c r="RWI23" s="175"/>
      <c r="RWJ23" s="175"/>
      <c r="RWK23" s="175"/>
      <c r="RWL23" s="175"/>
      <c r="RWM23" s="175"/>
      <c r="RWN23" s="175"/>
      <c r="RWO23" s="175"/>
      <c r="RWP23" s="175"/>
      <c r="RWQ23" s="175"/>
      <c r="RWR23" s="175"/>
      <c r="RWS23" s="175"/>
      <c r="RWT23" s="175"/>
      <c r="RWU23" s="175"/>
      <c r="RWV23" s="175"/>
      <c r="RWW23" s="175"/>
      <c r="RWX23" s="175"/>
      <c r="RWY23" s="175"/>
      <c r="RWZ23" s="175"/>
      <c r="RXA23" s="175"/>
      <c r="RXB23" s="175"/>
      <c r="RXC23" s="175"/>
      <c r="RXD23" s="175"/>
      <c r="RXE23" s="175"/>
      <c r="RXF23" s="175"/>
      <c r="RXG23" s="175"/>
      <c r="RXH23" s="175"/>
      <c r="RXI23" s="175"/>
      <c r="RXJ23" s="175"/>
      <c r="RXK23" s="175"/>
      <c r="RXL23" s="175"/>
      <c r="RXM23" s="175"/>
      <c r="RXN23" s="175"/>
      <c r="RXO23" s="175"/>
      <c r="RXP23" s="175"/>
      <c r="RXQ23" s="175"/>
      <c r="RXR23" s="175"/>
      <c r="RXS23" s="175"/>
      <c r="RXT23" s="175"/>
      <c r="RXU23" s="175"/>
      <c r="RXV23" s="175"/>
      <c r="RXW23" s="175"/>
      <c r="RXX23" s="175"/>
      <c r="RXY23" s="175"/>
      <c r="RXZ23" s="175"/>
      <c r="RYA23" s="175"/>
      <c r="RYB23" s="175"/>
      <c r="RYC23" s="175"/>
      <c r="RYD23" s="175"/>
      <c r="RYE23" s="175"/>
      <c r="RYF23" s="175"/>
      <c r="RYG23" s="175"/>
      <c r="RYH23" s="175"/>
      <c r="RYI23" s="175"/>
      <c r="RYJ23" s="175"/>
      <c r="RYK23" s="175"/>
      <c r="RYL23" s="175"/>
      <c r="RYM23" s="175"/>
      <c r="RYN23" s="175"/>
      <c r="RYO23" s="175"/>
      <c r="RYP23" s="175"/>
      <c r="RYQ23" s="175"/>
      <c r="RYR23" s="175"/>
      <c r="RYS23" s="175"/>
      <c r="RYT23" s="175"/>
      <c r="RYU23" s="175"/>
      <c r="RYV23" s="175"/>
      <c r="RYW23" s="175"/>
      <c r="RYX23" s="175"/>
      <c r="RYY23" s="175"/>
      <c r="RYZ23" s="175"/>
      <c r="RZA23" s="175"/>
      <c r="RZB23" s="175"/>
      <c r="RZC23" s="175"/>
      <c r="RZD23" s="175"/>
      <c r="RZE23" s="175"/>
      <c r="RZF23" s="175"/>
      <c r="RZG23" s="175"/>
      <c r="RZH23" s="175"/>
      <c r="RZI23" s="175"/>
      <c r="RZJ23" s="175"/>
      <c r="RZK23" s="175"/>
      <c r="RZL23" s="175"/>
      <c r="RZM23" s="175"/>
      <c r="RZN23" s="175"/>
      <c r="RZO23" s="175"/>
      <c r="RZP23" s="175"/>
      <c r="RZQ23" s="175"/>
      <c r="RZR23" s="175"/>
      <c r="RZS23" s="175"/>
      <c r="RZT23" s="175"/>
      <c r="RZU23" s="175"/>
      <c r="RZV23" s="175"/>
      <c r="RZW23" s="175"/>
      <c r="RZX23" s="175"/>
      <c r="RZY23" s="175"/>
      <c r="RZZ23" s="175"/>
      <c r="SAA23" s="175"/>
      <c r="SAB23" s="175"/>
      <c r="SAC23" s="175"/>
      <c r="SAD23" s="175"/>
      <c r="SAE23" s="175"/>
      <c r="SAF23" s="175"/>
      <c r="SAG23" s="175"/>
      <c r="SAH23" s="175"/>
      <c r="SAI23" s="175"/>
      <c r="SAJ23" s="175"/>
      <c r="SAK23" s="175"/>
      <c r="SAL23" s="175"/>
      <c r="SAM23" s="175"/>
      <c r="SAN23" s="175"/>
      <c r="SAO23" s="175"/>
      <c r="SAP23" s="175"/>
      <c r="SAQ23" s="175"/>
      <c r="SAR23" s="175"/>
      <c r="SAS23" s="175"/>
      <c r="SAT23" s="175"/>
      <c r="SAU23" s="175"/>
      <c r="SAV23" s="175"/>
      <c r="SAW23" s="175"/>
      <c r="SAX23" s="175"/>
      <c r="SAY23" s="175"/>
      <c r="SAZ23" s="175"/>
      <c r="SBA23" s="175"/>
      <c r="SBB23" s="175"/>
      <c r="SBC23" s="175"/>
      <c r="SBD23" s="175"/>
      <c r="SBE23" s="175"/>
      <c r="SBF23" s="175"/>
      <c r="SBG23" s="175"/>
      <c r="SBH23" s="175"/>
      <c r="SBI23" s="175"/>
      <c r="SBJ23" s="175"/>
      <c r="SBK23" s="175"/>
      <c r="SBL23" s="175"/>
      <c r="SBM23" s="175"/>
      <c r="SBN23" s="175"/>
      <c r="SBO23" s="175"/>
      <c r="SBP23" s="175"/>
      <c r="SBQ23" s="175"/>
      <c r="SBR23" s="175"/>
      <c r="SBS23" s="175"/>
      <c r="SBT23" s="175"/>
      <c r="SBU23" s="175"/>
      <c r="SBV23" s="175"/>
      <c r="SBW23" s="175"/>
      <c r="SBX23" s="175"/>
      <c r="SBY23" s="175"/>
      <c r="SBZ23" s="175"/>
      <c r="SCA23" s="175"/>
      <c r="SCB23" s="175"/>
      <c r="SCC23" s="175"/>
      <c r="SCD23" s="175"/>
      <c r="SCE23" s="175"/>
      <c r="SCF23" s="175"/>
      <c r="SCG23" s="175"/>
      <c r="SCH23" s="175"/>
      <c r="SCI23" s="175"/>
      <c r="SCJ23" s="175"/>
      <c r="SCK23" s="175"/>
      <c r="SCL23" s="175"/>
      <c r="SCM23" s="175"/>
      <c r="SCN23" s="175"/>
      <c r="SCO23" s="175"/>
      <c r="SCP23" s="175"/>
      <c r="SCQ23" s="175"/>
      <c r="SCR23" s="175"/>
      <c r="SCS23" s="175"/>
      <c r="SCT23" s="175"/>
      <c r="SCU23" s="175"/>
      <c r="SCV23" s="175"/>
      <c r="SCW23" s="175"/>
      <c r="SCX23" s="175"/>
      <c r="SCY23" s="175"/>
      <c r="SCZ23" s="175"/>
      <c r="SDA23" s="175"/>
      <c r="SDB23" s="175"/>
      <c r="SDC23" s="175"/>
      <c r="SDD23" s="175"/>
      <c r="SDE23" s="175"/>
      <c r="SDF23" s="175"/>
      <c r="SDG23" s="175"/>
      <c r="SDH23" s="175"/>
      <c r="SDI23" s="175"/>
      <c r="SDJ23" s="175"/>
      <c r="SDK23" s="175"/>
      <c r="SDL23" s="175"/>
      <c r="SDM23" s="175"/>
      <c r="SDN23" s="175"/>
      <c r="SDO23" s="175"/>
      <c r="SDP23" s="175"/>
      <c r="SDQ23" s="175"/>
      <c r="SDR23" s="175"/>
      <c r="SDS23" s="175"/>
      <c r="SDT23" s="175"/>
      <c r="SDU23" s="175"/>
      <c r="SDV23" s="175"/>
      <c r="SDW23" s="175"/>
      <c r="SDX23" s="175"/>
      <c r="SDY23" s="175"/>
      <c r="SDZ23" s="175"/>
      <c r="SEA23" s="175"/>
      <c r="SEB23" s="175"/>
      <c r="SEC23" s="175"/>
      <c r="SED23" s="175"/>
      <c r="SEE23" s="175"/>
      <c r="SEF23" s="175"/>
      <c r="SEG23" s="175"/>
      <c r="SEH23" s="175"/>
      <c r="SEI23" s="175"/>
      <c r="SEJ23" s="175"/>
      <c r="SEK23" s="175"/>
      <c r="SEL23" s="175"/>
      <c r="SEM23" s="175"/>
      <c r="SEN23" s="175"/>
      <c r="SEO23" s="175"/>
      <c r="SEP23" s="175"/>
      <c r="SEQ23" s="175"/>
      <c r="SER23" s="175"/>
      <c r="SES23" s="175"/>
      <c r="SET23" s="175"/>
      <c r="SEU23" s="175"/>
      <c r="SEV23" s="175"/>
      <c r="SEW23" s="175"/>
      <c r="SEX23" s="175"/>
      <c r="SEY23" s="175"/>
      <c r="SEZ23" s="175"/>
      <c r="SFA23" s="175"/>
      <c r="SFB23" s="175"/>
      <c r="SFC23" s="175"/>
      <c r="SFD23" s="175"/>
      <c r="SFE23" s="175"/>
      <c r="SFF23" s="175"/>
      <c r="SFG23" s="175"/>
      <c r="SFH23" s="175"/>
      <c r="SFI23" s="175"/>
      <c r="SFJ23" s="175"/>
      <c r="SFK23" s="175"/>
      <c r="SFL23" s="175"/>
      <c r="SFM23" s="175"/>
      <c r="SFN23" s="175"/>
      <c r="SFO23" s="175"/>
      <c r="SFP23" s="175"/>
      <c r="SFQ23" s="175"/>
      <c r="SFR23" s="175"/>
      <c r="SFS23" s="175"/>
      <c r="SFT23" s="175"/>
      <c r="SFU23" s="175"/>
      <c r="SFV23" s="175"/>
      <c r="SFW23" s="175"/>
      <c r="SFX23" s="175"/>
      <c r="SFY23" s="175"/>
      <c r="SFZ23" s="175"/>
      <c r="SGA23" s="175"/>
      <c r="SGB23" s="175"/>
      <c r="SGC23" s="175"/>
      <c r="SGD23" s="175"/>
      <c r="SGE23" s="175"/>
      <c r="SGF23" s="175"/>
      <c r="SGG23" s="175"/>
      <c r="SGH23" s="175"/>
      <c r="SGI23" s="175"/>
      <c r="SGJ23" s="175"/>
      <c r="SGK23" s="175"/>
      <c r="SGL23" s="175"/>
      <c r="SGM23" s="175"/>
      <c r="SGN23" s="175"/>
      <c r="SGO23" s="175"/>
      <c r="SGP23" s="175"/>
      <c r="SGQ23" s="175"/>
      <c r="SGR23" s="175"/>
      <c r="SGS23" s="175"/>
      <c r="SGT23" s="175"/>
      <c r="SGU23" s="175"/>
      <c r="SGV23" s="175"/>
      <c r="SGW23" s="175"/>
      <c r="SGX23" s="175"/>
      <c r="SGY23" s="175"/>
      <c r="SGZ23" s="175"/>
      <c r="SHA23" s="175"/>
      <c r="SHB23" s="175"/>
      <c r="SHC23" s="175"/>
      <c r="SHD23" s="175"/>
      <c r="SHE23" s="175"/>
      <c r="SHF23" s="175"/>
      <c r="SHG23" s="175"/>
      <c r="SHH23" s="175"/>
      <c r="SHI23" s="175"/>
      <c r="SHJ23" s="175"/>
      <c r="SHK23" s="175"/>
      <c r="SHL23" s="175"/>
      <c r="SHM23" s="175"/>
      <c r="SHN23" s="175"/>
      <c r="SHO23" s="175"/>
      <c r="SHP23" s="175"/>
      <c r="SHQ23" s="175"/>
      <c r="SHR23" s="175"/>
      <c r="SHS23" s="175"/>
      <c r="SHT23" s="175"/>
      <c r="SHU23" s="175"/>
      <c r="SHV23" s="175"/>
      <c r="SHW23" s="175"/>
      <c r="SHX23" s="175"/>
      <c r="SHY23" s="175"/>
      <c r="SHZ23" s="175"/>
      <c r="SIA23" s="175"/>
      <c r="SIB23" s="175"/>
      <c r="SIC23" s="175"/>
      <c r="SID23" s="175"/>
      <c r="SIE23" s="175"/>
      <c r="SIF23" s="175"/>
      <c r="SIG23" s="175"/>
      <c r="SIH23" s="175"/>
      <c r="SII23" s="175"/>
      <c r="SIJ23" s="175"/>
      <c r="SIK23" s="175"/>
      <c r="SIL23" s="175"/>
      <c r="SIM23" s="175"/>
      <c r="SIN23" s="175"/>
      <c r="SIO23" s="175"/>
      <c r="SIP23" s="175"/>
      <c r="SIQ23" s="175"/>
      <c r="SIR23" s="175"/>
      <c r="SIS23" s="175"/>
      <c r="SIT23" s="175"/>
      <c r="SIU23" s="175"/>
      <c r="SIV23" s="175"/>
      <c r="SIW23" s="175"/>
      <c r="SIX23" s="175"/>
      <c r="SIY23" s="175"/>
      <c r="SIZ23" s="175"/>
      <c r="SJA23" s="175"/>
      <c r="SJB23" s="175"/>
      <c r="SJC23" s="175"/>
      <c r="SJD23" s="175"/>
      <c r="SJE23" s="175"/>
      <c r="SJF23" s="175"/>
      <c r="SJG23" s="175"/>
      <c r="SJH23" s="175"/>
      <c r="SJI23" s="175"/>
      <c r="SJJ23" s="175"/>
      <c r="SJK23" s="175"/>
      <c r="SJL23" s="175"/>
      <c r="SJM23" s="175"/>
      <c r="SJN23" s="175"/>
      <c r="SJO23" s="175"/>
      <c r="SJP23" s="175"/>
      <c r="SJQ23" s="175"/>
      <c r="SJR23" s="175"/>
      <c r="SJS23" s="175"/>
      <c r="SJT23" s="175"/>
      <c r="SJU23" s="175"/>
      <c r="SJV23" s="175"/>
      <c r="SJW23" s="175"/>
      <c r="SJX23" s="175"/>
      <c r="SJY23" s="175"/>
      <c r="SJZ23" s="175"/>
      <c r="SKA23" s="175"/>
      <c r="SKB23" s="175"/>
      <c r="SKC23" s="175"/>
      <c r="SKD23" s="175"/>
      <c r="SKE23" s="175"/>
      <c r="SKF23" s="175"/>
      <c r="SKG23" s="175"/>
      <c r="SKH23" s="175"/>
      <c r="SKI23" s="175"/>
      <c r="SKJ23" s="175"/>
      <c r="SKK23" s="175"/>
      <c r="SKL23" s="175"/>
      <c r="SKM23" s="175"/>
      <c r="SKN23" s="175"/>
      <c r="SKO23" s="175"/>
      <c r="SKP23" s="175"/>
      <c r="SKQ23" s="175"/>
      <c r="SKR23" s="175"/>
      <c r="SKS23" s="175"/>
      <c r="SKT23" s="175"/>
      <c r="SKU23" s="175"/>
      <c r="SKV23" s="175"/>
      <c r="SKW23" s="175"/>
      <c r="SKX23" s="175"/>
      <c r="SKY23" s="175"/>
      <c r="SKZ23" s="175"/>
      <c r="SLA23" s="175"/>
      <c r="SLB23" s="175"/>
      <c r="SLC23" s="175"/>
      <c r="SLD23" s="175"/>
      <c r="SLE23" s="175"/>
      <c r="SLF23" s="175"/>
      <c r="SLG23" s="175"/>
      <c r="SLH23" s="175"/>
      <c r="SLI23" s="175"/>
      <c r="SLJ23" s="175"/>
      <c r="SLK23" s="175"/>
      <c r="SLL23" s="175"/>
      <c r="SLM23" s="175"/>
      <c r="SLN23" s="175"/>
      <c r="SLO23" s="175"/>
      <c r="SLP23" s="175"/>
      <c r="SLQ23" s="175"/>
      <c r="SLR23" s="175"/>
      <c r="SLS23" s="175"/>
      <c r="SLT23" s="175"/>
      <c r="SLU23" s="175"/>
      <c r="SLV23" s="175"/>
      <c r="SLW23" s="175"/>
      <c r="SLX23" s="175"/>
      <c r="SLY23" s="175"/>
      <c r="SLZ23" s="175"/>
      <c r="SMA23" s="175"/>
      <c r="SMB23" s="175"/>
      <c r="SMC23" s="175"/>
      <c r="SMD23" s="175"/>
      <c r="SME23" s="175"/>
      <c r="SMF23" s="175"/>
      <c r="SMG23" s="175"/>
      <c r="SMH23" s="175"/>
      <c r="SMI23" s="175"/>
      <c r="SMJ23" s="175"/>
      <c r="SMK23" s="175"/>
      <c r="SML23" s="175"/>
      <c r="SMM23" s="175"/>
      <c r="SMN23" s="175"/>
      <c r="SMO23" s="175"/>
      <c r="SMP23" s="175"/>
      <c r="SMQ23" s="175"/>
      <c r="SMR23" s="175"/>
      <c r="SMS23" s="175"/>
      <c r="SMT23" s="175"/>
      <c r="SMU23" s="175"/>
      <c r="SMV23" s="175"/>
      <c r="SMW23" s="175"/>
      <c r="SMX23" s="175"/>
      <c r="SMY23" s="175"/>
      <c r="SMZ23" s="175"/>
      <c r="SNA23" s="175"/>
      <c r="SNB23" s="175"/>
      <c r="SNC23" s="175"/>
      <c r="SND23" s="175"/>
      <c r="SNE23" s="175"/>
      <c r="SNF23" s="175"/>
      <c r="SNG23" s="175"/>
      <c r="SNH23" s="175"/>
      <c r="SNI23" s="175"/>
      <c r="SNJ23" s="175"/>
      <c r="SNK23" s="175"/>
      <c r="SNL23" s="175"/>
      <c r="SNM23" s="175"/>
      <c r="SNN23" s="175"/>
      <c r="SNO23" s="175"/>
      <c r="SNP23" s="175"/>
      <c r="SNQ23" s="175"/>
      <c r="SNR23" s="175"/>
      <c r="SNS23" s="175"/>
      <c r="SNT23" s="175"/>
      <c r="SNU23" s="175"/>
      <c r="SNV23" s="175"/>
      <c r="SNW23" s="175"/>
      <c r="SNX23" s="175"/>
      <c r="SNY23" s="175"/>
      <c r="SNZ23" s="175"/>
      <c r="SOA23" s="175"/>
      <c r="SOB23" s="175"/>
      <c r="SOC23" s="175"/>
      <c r="SOD23" s="175"/>
      <c r="SOE23" s="175"/>
      <c r="SOF23" s="175"/>
      <c r="SOG23" s="175"/>
      <c r="SOH23" s="175"/>
      <c r="SOI23" s="175"/>
      <c r="SOJ23" s="175"/>
      <c r="SOK23" s="175"/>
      <c r="SOL23" s="175"/>
      <c r="SOM23" s="175"/>
      <c r="SON23" s="175"/>
      <c r="SOO23" s="175"/>
      <c r="SOP23" s="175"/>
      <c r="SOQ23" s="175"/>
      <c r="SOR23" s="175"/>
      <c r="SOS23" s="175"/>
      <c r="SOT23" s="175"/>
      <c r="SOU23" s="175"/>
      <c r="SOV23" s="175"/>
      <c r="SOW23" s="175"/>
      <c r="SOX23" s="175"/>
      <c r="SOY23" s="175"/>
      <c r="SOZ23" s="175"/>
      <c r="SPA23" s="175"/>
      <c r="SPB23" s="175"/>
      <c r="SPC23" s="175"/>
      <c r="SPD23" s="175"/>
      <c r="SPE23" s="175"/>
      <c r="SPF23" s="175"/>
      <c r="SPG23" s="175"/>
      <c r="SPH23" s="175"/>
      <c r="SPI23" s="175"/>
      <c r="SPJ23" s="175"/>
      <c r="SPK23" s="175"/>
      <c r="SPL23" s="175"/>
      <c r="SPM23" s="175"/>
      <c r="SPN23" s="175"/>
      <c r="SPO23" s="175"/>
      <c r="SPP23" s="175"/>
      <c r="SPQ23" s="175"/>
      <c r="SPR23" s="175"/>
      <c r="SPS23" s="175"/>
      <c r="SPT23" s="175"/>
      <c r="SPU23" s="175"/>
      <c r="SPV23" s="175"/>
      <c r="SPW23" s="175"/>
      <c r="SPX23" s="175"/>
      <c r="SPY23" s="175"/>
      <c r="SPZ23" s="175"/>
      <c r="SQA23" s="175"/>
      <c r="SQB23" s="175"/>
      <c r="SQC23" s="175"/>
      <c r="SQD23" s="175"/>
      <c r="SQE23" s="175"/>
      <c r="SQF23" s="175"/>
      <c r="SQG23" s="175"/>
      <c r="SQH23" s="175"/>
      <c r="SQI23" s="175"/>
      <c r="SQJ23" s="175"/>
      <c r="SQK23" s="175"/>
      <c r="SQL23" s="175"/>
      <c r="SQM23" s="175"/>
      <c r="SQN23" s="175"/>
      <c r="SQO23" s="175"/>
      <c r="SQP23" s="175"/>
      <c r="SQQ23" s="175"/>
      <c r="SQR23" s="175"/>
      <c r="SQS23" s="175"/>
      <c r="SQT23" s="175"/>
      <c r="SQU23" s="175"/>
      <c r="SQV23" s="175"/>
      <c r="SQW23" s="175"/>
      <c r="SQX23" s="175"/>
      <c r="SQY23" s="175"/>
      <c r="SQZ23" s="175"/>
      <c r="SRA23" s="175"/>
      <c r="SRB23" s="175"/>
      <c r="SRC23" s="175"/>
      <c r="SRD23" s="175"/>
      <c r="SRE23" s="175"/>
      <c r="SRF23" s="175"/>
      <c r="SRG23" s="175"/>
      <c r="SRH23" s="175"/>
      <c r="SRI23" s="175"/>
      <c r="SRJ23" s="175"/>
      <c r="SRK23" s="175"/>
      <c r="SRL23" s="175"/>
      <c r="SRM23" s="175"/>
      <c r="SRN23" s="175"/>
      <c r="SRO23" s="175"/>
      <c r="SRP23" s="175"/>
      <c r="SRQ23" s="175"/>
      <c r="SRR23" s="175"/>
      <c r="SRS23" s="175"/>
      <c r="SRT23" s="175"/>
      <c r="SRU23" s="175"/>
      <c r="SRV23" s="175"/>
      <c r="SRW23" s="175"/>
      <c r="SRX23" s="175"/>
      <c r="SRY23" s="175"/>
      <c r="SRZ23" s="175"/>
      <c r="SSA23" s="175"/>
      <c r="SSB23" s="175"/>
      <c r="SSC23" s="175"/>
      <c r="SSD23" s="175"/>
      <c r="SSE23" s="175"/>
      <c r="SSF23" s="175"/>
      <c r="SSG23" s="175"/>
      <c r="SSH23" s="175"/>
      <c r="SSI23" s="175"/>
      <c r="SSJ23" s="175"/>
      <c r="SSK23" s="175"/>
      <c r="SSL23" s="175"/>
      <c r="SSM23" s="175"/>
      <c r="SSN23" s="175"/>
      <c r="SSO23" s="175"/>
      <c r="SSP23" s="175"/>
      <c r="SSQ23" s="175"/>
      <c r="SSR23" s="175"/>
      <c r="SSS23" s="175"/>
      <c r="SST23" s="175"/>
      <c r="SSU23" s="175"/>
      <c r="SSV23" s="175"/>
      <c r="SSW23" s="175"/>
      <c r="SSX23" s="175"/>
      <c r="SSY23" s="175"/>
      <c r="SSZ23" s="175"/>
      <c r="STA23" s="175"/>
      <c r="STB23" s="175"/>
      <c r="STC23" s="175"/>
      <c r="STD23" s="175"/>
      <c r="STE23" s="175"/>
      <c r="STF23" s="175"/>
      <c r="STG23" s="175"/>
      <c r="STH23" s="175"/>
      <c r="STI23" s="175"/>
      <c r="STJ23" s="175"/>
      <c r="STK23" s="175"/>
      <c r="STL23" s="175"/>
      <c r="STM23" s="175"/>
      <c r="STN23" s="175"/>
      <c r="STO23" s="175"/>
      <c r="STP23" s="175"/>
      <c r="STQ23" s="175"/>
      <c r="STR23" s="175"/>
      <c r="STS23" s="175"/>
      <c r="STT23" s="175"/>
      <c r="STU23" s="175"/>
      <c r="STV23" s="175"/>
      <c r="STW23" s="175"/>
      <c r="STX23" s="175"/>
      <c r="STY23" s="175"/>
      <c r="STZ23" s="175"/>
      <c r="SUA23" s="175"/>
      <c r="SUB23" s="175"/>
      <c r="SUC23" s="175"/>
      <c r="SUD23" s="175"/>
      <c r="SUE23" s="175"/>
      <c r="SUF23" s="175"/>
      <c r="SUG23" s="175"/>
      <c r="SUH23" s="175"/>
      <c r="SUI23" s="175"/>
      <c r="SUJ23" s="175"/>
      <c r="SUK23" s="175"/>
      <c r="SUL23" s="175"/>
      <c r="SUM23" s="175"/>
      <c r="SUN23" s="175"/>
      <c r="SUO23" s="175"/>
      <c r="SUP23" s="175"/>
      <c r="SUQ23" s="175"/>
      <c r="SUR23" s="175"/>
      <c r="SUS23" s="175"/>
      <c r="SUT23" s="175"/>
      <c r="SUU23" s="175"/>
      <c r="SUV23" s="175"/>
      <c r="SUW23" s="175"/>
      <c r="SUX23" s="175"/>
      <c r="SUY23" s="175"/>
      <c r="SUZ23" s="175"/>
      <c r="SVA23" s="175"/>
      <c r="SVB23" s="175"/>
      <c r="SVC23" s="175"/>
      <c r="SVD23" s="175"/>
      <c r="SVE23" s="175"/>
      <c r="SVF23" s="175"/>
      <c r="SVG23" s="175"/>
      <c r="SVH23" s="175"/>
      <c r="SVI23" s="175"/>
      <c r="SVJ23" s="175"/>
      <c r="SVK23" s="175"/>
      <c r="SVL23" s="175"/>
      <c r="SVM23" s="175"/>
      <c r="SVN23" s="175"/>
      <c r="SVO23" s="175"/>
      <c r="SVP23" s="175"/>
      <c r="SVQ23" s="175"/>
      <c r="SVR23" s="175"/>
      <c r="SVS23" s="175"/>
      <c r="SVT23" s="175"/>
      <c r="SVU23" s="175"/>
      <c r="SVV23" s="175"/>
      <c r="SVW23" s="175"/>
      <c r="SVX23" s="175"/>
      <c r="SVY23" s="175"/>
      <c r="SVZ23" s="175"/>
      <c r="SWA23" s="175"/>
      <c r="SWB23" s="175"/>
      <c r="SWC23" s="175"/>
      <c r="SWD23" s="175"/>
      <c r="SWE23" s="175"/>
      <c r="SWF23" s="175"/>
      <c r="SWG23" s="175"/>
      <c r="SWH23" s="175"/>
      <c r="SWI23" s="175"/>
      <c r="SWJ23" s="175"/>
      <c r="SWK23" s="175"/>
      <c r="SWL23" s="175"/>
      <c r="SWM23" s="175"/>
      <c r="SWN23" s="175"/>
      <c r="SWO23" s="175"/>
      <c r="SWP23" s="175"/>
      <c r="SWQ23" s="175"/>
      <c r="SWR23" s="175"/>
      <c r="SWS23" s="175"/>
      <c r="SWT23" s="175"/>
      <c r="SWU23" s="175"/>
      <c r="SWV23" s="175"/>
      <c r="SWW23" s="175"/>
      <c r="SWX23" s="175"/>
      <c r="SWY23" s="175"/>
      <c r="SWZ23" s="175"/>
      <c r="SXA23" s="175"/>
      <c r="SXB23" s="175"/>
      <c r="SXC23" s="175"/>
      <c r="SXD23" s="175"/>
      <c r="SXE23" s="175"/>
      <c r="SXF23" s="175"/>
      <c r="SXG23" s="175"/>
      <c r="SXH23" s="175"/>
      <c r="SXI23" s="175"/>
      <c r="SXJ23" s="175"/>
      <c r="SXK23" s="175"/>
      <c r="SXL23" s="175"/>
      <c r="SXM23" s="175"/>
      <c r="SXN23" s="175"/>
      <c r="SXO23" s="175"/>
      <c r="SXP23" s="175"/>
      <c r="SXQ23" s="175"/>
      <c r="SXR23" s="175"/>
      <c r="SXS23" s="175"/>
      <c r="SXT23" s="175"/>
      <c r="SXU23" s="175"/>
      <c r="SXV23" s="175"/>
      <c r="SXW23" s="175"/>
      <c r="SXX23" s="175"/>
      <c r="SXY23" s="175"/>
      <c r="SXZ23" s="175"/>
      <c r="SYA23" s="175"/>
      <c r="SYB23" s="175"/>
      <c r="SYC23" s="175"/>
      <c r="SYD23" s="175"/>
      <c r="SYE23" s="175"/>
      <c r="SYF23" s="175"/>
      <c r="SYG23" s="175"/>
      <c r="SYH23" s="175"/>
      <c r="SYI23" s="175"/>
      <c r="SYJ23" s="175"/>
      <c r="SYK23" s="175"/>
      <c r="SYL23" s="175"/>
      <c r="SYM23" s="175"/>
      <c r="SYN23" s="175"/>
      <c r="SYO23" s="175"/>
      <c r="SYP23" s="175"/>
      <c r="SYQ23" s="175"/>
      <c r="SYR23" s="175"/>
      <c r="SYS23" s="175"/>
      <c r="SYT23" s="175"/>
      <c r="SYU23" s="175"/>
      <c r="SYV23" s="175"/>
      <c r="SYW23" s="175"/>
      <c r="SYX23" s="175"/>
      <c r="SYY23" s="175"/>
      <c r="SYZ23" s="175"/>
      <c r="SZA23" s="175"/>
      <c r="SZB23" s="175"/>
      <c r="SZC23" s="175"/>
      <c r="SZD23" s="175"/>
      <c r="SZE23" s="175"/>
      <c r="SZF23" s="175"/>
      <c r="SZG23" s="175"/>
      <c r="SZH23" s="175"/>
      <c r="SZI23" s="175"/>
      <c r="SZJ23" s="175"/>
      <c r="SZK23" s="175"/>
      <c r="SZL23" s="175"/>
      <c r="SZM23" s="175"/>
      <c r="SZN23" s="175"/>
      <c r="SZO23" s="175"/>
      <c r="SZP23" s="175"/>
      <c r="SZQ23" s="175"/>
      <c r="SZR23" s="175"/>
      <c r="SZS23" s="175"/>
      <c r="SZT23" s="175"/>
      <c r="SZU23" s="175"/>
      <c r="SZV23" s="175"/>
      <c r="SZW23" s="175"/>
      <c r="SZX23" s="175"/>
      <c r="SZY23" s="175"/>
      <c r="SZZ23" s="175"/>
      <c r="TAA23" s="175"/>
      <c r="TAB23" s="175"/>
      <c r="TAC23" s="175"/>
      <c r="TAD23" s="175"/>
      <c r="TAE23" s="175"/>
      <c r="TAF23" s="175"/>
      <c r="TAG23" s="175"/>
      <c r="TAH23" s="175"/>
      <c r="TAI23" s="175"/>
      <c r="TAJ23" s="175"/>
      <c r="TAK23" s="175"/>
      <c r="TAL23" s="175"/>
      <c r="TAM23" s="175"/>
      <c r="TAN23" s="175"/>
      <c r="TAO23" s="175"/>
      <c r="TAP23" s="175"/>
      <c r="TAQ23" s="175"/>
      <c r="TAR23" s="175"/>
      <c r="TAS23" s="175"/>
      <c r="TAT23" s="175"/>
      <c r="TAU23" s="175"/>
      <c r="TAV23" s="175"/>
      <c r="TAW23" s="175"/>
      <c r="TAX23" s="175"/>
      <c r="TAY23" s="175"/>
      <c r="TAZ23" s="175"/>
      <c r="TBA23" s="175"/>
      <c r="TBB23" s="175"/>
      <c r="TBC23" s="175"/>
      <c r="TBD23" s="175"/>
      <c r="TBE23" s="175"/>
      <c r="TBF23" s="175"/>
      <c r="TBG23" s="175"/>
      <c r="TBH23" s="175"/>
      <c r="TBI23" s="175"/>
      <c r="TBJ23" s="175"/>
      <c r="TBK23" s="175"/>
      <c r="TBL23" s="175"/>
      <c r="TBM23" s="175"/>
      <c r="TBN23" s="175"/>
      <c r="TBO23" s="175"/>
      <c r="TBP23" s="175"/>
      <c r="TBQ23" s="175"/>
      <c r="TBR23" s="175"/>
      <c r="TBS23" s="175"/>
      <c r="TBT23" s="175"/>
      <c r="TBU23" s="175"/>
      <c r="TBV23" s="175"/>
      <c r="TBW23" s="175"/>
      <c r="TBX23" s="175"/>
      <c r="TBY23" s="175"/>
      <c r="TBZ23" s="175"/>
      <c r="TCA23" s="175"/>
      <c r="TCB23" s="175"/>
      <c r="TCC23" s="175"/>
      <c r="TCD23" s="175"/>
      <c r="TCE23" s="175"/>
      <c r="TCF23" s="175"/>
      <c r="TCG23" s="175"/>
      <c r="TCH23" s="175"/>
      <c r="TCI23" s="175"/>
      <c r="TCJ23" s="175"/>
      <c r="TCK23" s="175"/>
      <c r="TCL23" s="175"/>
      <c r="TCM23" s="175"/>
      <c r="TCN23" s="175"/>
      <c r="TCO23" s="175"/>
      <c r="TCP23" s="175"/>
      <c r="TCQ23" s="175"/>
      <c r="TCR23" s="175"/>
      <c r="TCS23" s="175"/>
      <c r="TCT23" s="175"/>
      <c r="TCU23" s="175"/>
      <c r="TCV23" s="175"/>
      <c r="TCW23" s="175"/>
      <c r="TCX23" s="175"/>
      <c r="TCY23" s="175"/>
      <c r="TCZ23" s="175"/>
      <c r="TDA23" s="175"/>
      <c r="TDB23" s="175"/>
      <c r="TDC23" s="175"/>
      <c r="TDD23" s="175"/>
      <c r="TDE23" s="175"/>
      <c r="TDF23" s="175"/>
      <c r="TDG23" s="175"/>
      <c r="TDH23" s="175"/>
      <c r="TDI23" s="175"/>
      <c r="TDJ23" s="175"/>
      <c r="TDK23" s="175"/>
      <c r="TDL23" s="175"/>
      <c r="TDM23" s="175"/>
      <c r="TDN23" s="175"/>
      <c r="TDO23" s="175"/>
      <c r="TDP23" s="175"/>
      <c r="TDQ23" s="175"/>
      <c r="TDR23" s="175"/>
      <c r="TDS23" s="175"/>
      <c r="TDT23" s="175"/>
      <c r="TDU23" s="175"/>
      <c r="TDV23" s="175"/>
      <c r="TDW23" s="175"/>
      <c r="TDX23" s="175"/>
      <c r="TDY23" s="175"/>
      <c r="TDZ23" s="175"/>
      <c r="TEA23" s="175"/>
      <c r="TEB23" s="175"/>
      <c r="TEC23" s="175"/>
      <c r="TED23" s="175"/>
      <c r="TEE23" s="175"/>
      <c r="TEF23" s="175"/>
      <c r="TEG23" s="175"/>
      <c r="TEH23" s="175"/>
      <c r="TEI23" s="175"/>
      <c r="TEJ23" s="175"/>
      <c r="TEK23" s="175"/>
      <c r="TEL23" s="175"/>
      <c r="TEM23" s="175"/>
      <c r="TEN23" s="175"/>
      <c r="TEO23" s="175"/>
      <c r="TEP23" s="175"/>
      <c r="TEQ23" s="175"/>
      <c r="TER23" s="175"/>
      <c r="TES23" s="175"/>
      <c r="TET23" s="175"/>
      <c r="TEU23" s="175"/>
      <c r="TEV23" s="175"/>
      <c r="TEW23" s="175"/>
      <c r="TEX23" s="175"/>
      <c r="TEY23" s="175"/>
      <c r="TEZ23" s="175"/>
      <c r="TFA23" s="175"/>
      <c r="TFB23" s="175"/>
      <c r="TFC23" s="175"/>
      <c r="TFD23" s="175"/>
      <c r="TFE23" s="175"/>
      <c r="TFF23" s="175"/>
      <c r="TFG23" s="175"/>
      <c r="TFH23" s="175"/>
      <c r="TFI23" s="175"/>
      <c r="TFJ23" s="175"/>
      <c r="TFK23" s="175"/>
      <c r="TFL23" s="175"/>
      <c r="TFM23" s="175"/>
      <c r="TFN23" s="175"/>
      <c r="TFO23" s="175"/>
      <c r="TFP23" s="175"/>
      <c r="TFQ23" s="175"/>
      <c r="TFR23" s="175"/>
      <c r="TFS23" s="175"/>
      <c r="TFT23" s="175"/>
      <c r="TFU23" s="175"/>
      <c r="TFV23" s="175"/>
      <c r="TFW23" s="175"/>
      <c r="TFX23" s="175"/>
      <c r="TFY23" s="175"/>
      <c r="TFZ23" s="175"/>
      <c r="TGA23" s="175"/>
      <c r="TGB23" s="175"/>
      <c r="TGC23" s="175"/>
      <c r="TGD23" s="175"/>
      <c r="TGE23" s="175"/>
      <c r="TGF23" s="175"/>
      <c r="TGG23" s="175"/>
      <c r="TGH23" s="175"/>
      <c r="TGI23" s="175"/>
      <c r="TGJ23" s="175"/>
      <c r="TGK23" s="175"/>
      <c r="TGL23" s="175"/>
      <c r="TGM23" s="175"/>
      <c r="TGN23" s="175"/>
      <c r="TGO23" s="175"/>
      <c r="TGP23" s="175"/>
      <c r="TGQ23" s="175"/>
      <c r="TGR23" s="175"/>
      <c r="TGS23" s="175"/>
      <c r="TGT23" s="175"/>
      <c r="TGU23" s="175"/>
      <c r="TGV23" s="175"/>
      <c r="TGW23" s="175"/>
      <c r="TGX23" s="175"/>
      <c r="TGY23" s="175"/>
      <c r="TGZ23" s="175"/>
      <c r="THA23" s="175"/>
      <c r="THB23" s="175"/>
      <c r="THC23" s="175"/>
      <c r="THD23" s="175"/>
      <c r="THE23" s="175"/>
      <c r="THF23" s="175"/>
      <c r="THG23" s="175"/>
      <c r="THH23" s="175"/>
      <c r="THI23" s="175"/>
      <c r="THJ23" s="175"/>
      <c r="THK23" s="175"/>
      <c r="THL23" s="175"/>
      <c r="THM23" s="175"/>
      <c r="THN23" s="175"/>
      <c r="THO23" s="175"/>
      <c r="THP23" s="175"/>
      <c r="THQ23" s="175"/>
      <c r="THR23" s="175"/>
      <c r="THS23" s="175"/>
      <c r="THT23" s="175"/>
      <c r="THU23" s="175"/>
      <c r="THV23" s="175"/>
      <c r="THW23" s="175"/>
      <c r="THX23" s="175"/>
      <c r="THY23" s="175"/>
      <c r="THZ23" s="175"/>
      <c r="TIA23" s="175"/>
      <c r="TIB23" s="175"/>
      <c r="TIC23" s="175"/>
      <c r="TID23" s="175"/>
      <c r="TIE23" s="175"/>
      <c r="TIF23" s="175"/>
      <c r="TIG23" s="175"/>
      <c r="TIH23" s="175"/>
      <c r="TII23" s="175"/>
      <c r="TIJ23" s="175"/>
      <c r="TIK23" s="175"/>
      <c r="TIL23" s="175"/>
      <c r="TIM23" s="175"/>
      <c r="TIN23" s="175"/>
      <c r="TIO23" s="175"/>
      <c r="TIP23" s="175"/>
      <c r="TIQ23" s="175"/>
      <c r="TIR23" s="175"/>
      <c r="TIS23" s="175"/>
      <c r="TIT23" s="175"/>
      <c r="TIU23" s="175"/>
      <c r="TIV23" s="175"/>
      <c r="TIW23" s="175"/>
      <c r="TIX23" s="175"/>
      <c r="TIY23" s="175"/>
      <c r="TIZ23" s="175"/>
      <c r="TJA23" s="175"/>
      <c r="TJB23" s="175"/>
      <c r="TJC23" s="175"/>
      <c r="TJD23" s="175"/>
      <c r="TJE23" s="175"/>
      <c r="TJF23" s="175"/>
      <c r="TJG23" s="175"/>
      <c r="TJH23" s="175"/>
      <c r="TJI23" s="175"/>
      <c r="TJJ23" s="175"/>
      <c r="TJK23" s="175"/>
      <c r="TJL23" s="175"/>
      <c r="TJM23" s="175"/>
      <c r="TJN23" s="175"/>
      <c r="TJO23" s="175"/>
      <c r="TJP23" s="175"/>
      <c r="TJQ23" s="175"/>
      <c r="TJR23" s="175"/>
      <c r="TJS23" s="175"/>
      <c r="TJT23" s="175"/>
      <c r="TJU23" s="175"/>
      <c r="TJV23" s="175"/>
      <c r="TJW23" s="175"/>
      <c r="TJX23" s="175"/>
      <c r="TJY23" s="175"/>
      <c r="TJZ23" s="175"/>
      <c r="TKA23" s="175"/>
      <c r="TKB23" s="175"/>
      <c r="TKC23" s="175"/>
      <c r="TKD23" s="175"/>
      <c r="TKE23" s="175"/>
      <c r="TKF23" s="175"/>
      <c r="TKG23" s="175"/>
      <c r="TKH23" s="175"/>
      <c r="TKI23" s="175"/>
      <c r="TKJ23" s="175"/>
      <c r="TKK23" s="175"/>
      <c r="TKL23" s="175"/>
      <c r="TKM23" s="175"/>
      <c r="TKN23" s="175"/>
      <c r="TKO23" s="175"/>
      <c r="TKP23" s="175"/>
      <c r="TKQ23" s="175"/>
      <c r="TKR23" s="175"/>
      <c r="TKS23" s="175"/>
      <c r="TKT23" s="175"/>
      <c r="TKU23" s="175"/>
      <c r="TKV23" s="175"/>
      <c r="TKW23" s="175"/>
      <c r="TKX23" s="175"/>
      <c r="TKY23" s="175"/>
      <c r="TKZ23" s="175"/>
      <c r="TLA23" s="175"/>
      <c r="TLB23" s="175"/>
      <c r="TLC23" s="175"/>
      <c r="TLD23" s="175"/>
      <c r="TLE23" s="175"/>
      <c r="TLF23" s="175"/>
      <c r="TLG23" s="175"/>
      <c r="TLH23" s="175"/>
      <c r="TLI23" s="175"/>
      <c r="TLJ23" s="175"/>
      <c r="TLK23" s="175"/>
      <c r="TLL23" s="175"/>
      <c r="TLM23" s="175"/>
      <c r="TLN23" s="175"/>
      <c r="TLO23" s="175"/>
      <c r="TLP23" s="175"/>
      <c r="TLQ23" s="175"/>
      <c r="TLR23" s="175"/>
      <c r="TLS23" s="175"/>
      <c r="TLT23" s="175"/>
      <c r="TLU23" s="175"/>
      <c r="TLV23" s="175"/>
      <c r="TLW23" s="175"/>
      <c r="TLX23" s="175"/>
      <c r="TLY23" s="175"/>
      <c r="TLZ23" s="175"/>
      <c r="TMA23" s="175"/>
      <c r="TMB23" s="175"/>
      <c r="TMC23" s="175"/>
      <c r="TMD23" s="175"/>
      <c r="TME23" s="175"/>
      <c r="TMF23" s="175"/>
      <c r="TMG23" s="175"/>
      <c r="TMH23" s="175"/>
      <c r="TMI23" s="175"/>
      <c r="TMJ23" s="175"/>
      <c r="TMK23" s="175"/>
      <c r="TML23" s="175"/>
      <c r="TMM23" s="175"/>
      <c r="TMN23" s="175"/>
      <c r="TMO23" s="175"/>
      <c r="TMP23" s="175"/>
      <c r="TMQ23" s="175"/>
      <c r="TMR23" s="175"/>
      <c r="TMS23" s="175"/>
      <c r="TMT23" s="175"/>
      <c r="TMU23" s="175"/>
      <c r="TMV23" s="175"/>
      <c r="TMW23" s="175"/>
      <c r="TMX23" s="175"/>
      <c r="TMY23" s="175"/>
      <c r="TMZ23" s="175"/>
      <c r="TNA23" s="175"/>
      <c r="TNB23" s="175"/>
      <c r="TNC23" s="175"/>
      <c r="TND23" s="175"/>
      <c r="TNE23" s="175"/>
      <c r="TNF23" s="175"/>
      <c r="TNG23" s="175"/>
      <c r="TNH23" s="175"/>
      <c r="TNI23" s="175"/>
      <c r="TNJ23" s="175"/>
      <c r="TNK23" s="175"/>
      <c r="TNL23" s="175"/>
      <c r="TNM23" s="175"/>
      <c r="TNN23" s="175"/>
      <c r="TNO23" s="175"/>
      <c r="TNP23" s="175"/>
      <c r="TNQ23" s="175"/>
      <c r="TNR23" s="175"/>
      <c r="TNS23" s="175"/>
      <c r="TNT23" s="175"/>
      <c r="TNU23" s="175"/>
      <c r="TNV23" s="175"/>
      <c r="TNW23" s="175"/>
      <c r="TNX23" s="175"/>
      <c r="TNY23" s="175"/>
      <c r="TNZ23" s="175"/>
      <c r="TOA23" s="175"/>
      <c r="TOB23" s="175"/>
      <c r="TOC23" s="175"/>
      <c r="TOD23" s="175"/>
      <c r="TOE23" s="175"/>
      <c r="TOF23" s="175"/>
      <c r="TOG23" s="175"/>
      <c r="TOH23" s="175"/>
      <c r="TOI23" s="175"/>
      <c r="TOJ23" s="175"/>
      <c r="TOK23" s="175"/>
      <c r="TOL23" s="175"/>
      <c r="TOM23" s="175"/>
      <c r="TON23" s="175"/>
      <c r="TOO23" s="175"/>
      <c r="TOP23" s="175"/>
      <c r="TOQ23" s="175"/>
      <c r="TOR23" s="175"/>
      <c r="TOS23" s="175"/>
      <c r="TOT23" s="175"/>
      <c r="TOU23" s="175"/>
      <c r="TOV23" s="175"/>
      <c r="TOW23" s="175"/>
      <c r="TOX23" s="175"/>
      <c r="TOY23" s="175"/>
      <c r="TOZ23" s="175"/>
      <c r="TPA23" s="175"/>
      <c r="TPB23" s="175"/>
      <c r="TPC23" s="175"/>
      <c r="TPD23" s="175"/>
      <c r="TPE23" s="175"/>
      <c r="TPF23" s="175"/>
      <c r="TPG23" s="175"/>
      <c r="TPH23" s="175"/>
      <c r="TPI23" s="175"/>
      <c r="TPJ23" s="175"/>
      <c r="TPK23" s="175"/>
      <c r="TPL23" s="175"/>
      <c r="TPM23" s="175"/>
      <c r="TPN23" s="175"/>
      <c r="TPO23" s="175"/>
      <c r="TPP23" s="175"/>
      <c r="TPQ23" s="175"/>
      <c r="TPR23" s="175"/>
      <c r="TPS23" s="175"/>
      <c r="TPT23" s="175"/>
      <c r="TPU23" s="175"/>
      <c r="TPV23" s="175"/>
      <c r="TPW23" s="175"/>
      <c r="TPX23" s="175"/>
      <c r="TPY23" s="175"/>
      <c r="TPZ23" s="175"/>
      <c r="TQA23" s="175"/>
      <c r="TQB23" s="175"/>
      <c r="TQC23" s="175"/>
      <c r="TQD23" s="175"/>
      <c r="TQE23" s="175"/>
      <c r="TQF23" s="175"/>
      <c r="TQG23" s="175"/>
      <c r="TQH23" s="175"/>
      <c r="TQI23" s="175"/>
      <c r="TQJ23" s="175"/>
      <c r="TQK23" s="175"/>
      <c r="TQL23" s="175"/>
      <c r="TQM23" s="175"/>
      <c r="TQN23" s="175"/>
      <c r="TQO23" s="175"/>
      <c r="TQP23" s="175"/>
      <c r="TQQ23" s="175"/>
      <c r="TQR23" s="175"/>
      <c r="TQS23" s="175"/>
      <c r="TQT23" s="175"/>
      <c r="TQU23" s="175"/>
      <c r="TQV23" s="175"/>
      <c r="TQW23" s="175"/>
      <c r="TQX23" s="175"/>
      <c r="TQY23" s="175"/>
      <c r="TQZ23" s="175"/>
      <c r="TRA23" s="175"/>
      <c r="TRB23" s="175"/>
      <c r="TRC23" s="175"/>
      <c r="TRD23" s="175"/>
      <c r="TRE23" s="175"/>
      <c r="TRF23" s="175"/>
      <c r="TRG23" s="175"/>
      <c r="TRH23" s="175"/>
      <c r="TRI23" s="175"/>
      <c r="TRJ23" s="175"/>
      <c r="TRK23" s="175"/>
      <c r="TRL23" s="175"/>
      <c r="TRM23" s="175"/>
      <c r="TRN23" s="175"/>
      <c r="TRO23" s="175"/>
      <c r="TRP23" s="175"/>
      <c r="TRQ23" s="175"/>
      <c r="TRR23" s="175"/>
      <c r="TRS23" s="175"/>
      <c r="TRT23" s="175"/>
      <c r="TRU23" s="175"/>
      <c r="TRV23" s="175"/>
      <c r="TRW23" s="175"/>
      <c r="TRX23" s="175"/>
      <c r="TRY23" s="175"/>
      <c r="TRZ23" s="175"/>
      <c r="TSA23" s="175"/>
      <c r="TSB23" s="175"/>
      <c r="TSC23" s="175"/>
      <c r="TSD23" s="175"/>
      <c r="TSE23" s="175"/>
      <c r="TSF23" s="175"/>
      <c r="TSG23" s="175"/>
      <c r="TSH23" s="175"/>
      <c r="TSI23" s="175"/>
      <c r="TSJ23" s="175"/>
      <c r="TSK23" s="175"/>
      <c r="TSL23" s="175"/>
      <c r="TSM23" s="175"/>
      <c r="TSN23" s="175"/>
      <c r="TSO23" s="175"/>
      <c r="TSP23" s="175"/>
      <c r="TSQ23" s="175"/>
      <c r="TSR23" s="175"/>
      <c r="TSS23" s="175"/>
      <c r="TST23" s="175"/>
      <c r="TSU23" s="175"/>
      <c r="TSV23" s="175"/>
      <c r="TSW23" s="175"/>
      <c r="TSX23" s="175"/>
      <c r="TSY23" s="175"/>
      <c r="TSZ23" s="175"/>
      <c r="TTA23" s="175"/>
      <c r="TTB23" s="175"/>
      <c r="TTC23" s="175"/>
      <c r="TTD23" s="175"/>
      <c r="TTE23" s="175"/>
      <c r="TTF23" s="175"/>
      <c r="TTG23" s="175"/>
      <c r="TTH23" s="175"/>
      <c r="TTI23" s="175"/>
      <c r="TTJ23" s="175"/>
      <c r="TTK23" s="175"/>
      <c r="TTL23" s="175"/>
      <c r="TTM23" s="175"/>
      <c r="TTN23" s="175"/>
      <c r="TTO23" s="175"/>
      <c r="TTP23" s="175"/>
      <c r="TTQ23" s="175"/>
      <c r="TTR23" s="175"/>
      <c r="TTS23" s="175"/>
      <c r="TTT23" s="175"/>
      <c r="TTU23" s="175"/>
      <c r="TTV23" s="175"/>
      <c r="TTW23" s="175"/>
      <c r="TTX23" s="175"/>
      <c r="TTY23" s="175"/>
      <c r="TTZ23" s="175"/>
      <c r="TUA23" s="175"/>
      <c r="TUB23" s="175"/>
      <c r="TUC23" s="175"/>
      <c r="TUD23" s="175"/>
      <c r="TUE23" s="175"/>
      <c r="TUF23" s="175"/>
      <c r="TUG23" s="175"/>
      <c r="TUH23" s="175"/>
      <c r="TUI23" s="175"/>
      <c r="TUJ23" s="175"/>
      <c r="TUK23" s="175"/>
      <c r="TUL23" s="175"/>
      <c r="TUM23" s="175"/>
      <c r="TUN23" s="175"/>
      <c r="TUO23" s="175"/>
      <c r="TUP23" s="175"/>
      <c r="TUQ23" s="175"/>
      <c r="TUR23" s="175"/>
      <c r="TUS23" s="175"/>
      <c r="TUT23" s="175"/>
      <c r="TUU23" s="175"/>
      <c r="TUV23" s="175"/>
      <c r="TUW23" s="175"/>
      <c r="TUX23" s="175"/>
      <c r="TUY23" s="175"/>
      <c r="TUZ23" s="175"/>
      <c r="TVA23" s="175"/>
      <c r="TVB23" s="175"/>
      <c r="TVC23" s="175"/>
      <c r="TVD23" s="175"/>
      <c r="TVE23" s="175"/>
      <c r="TVF23" s="175"/>
      <c r="TVG23" s="175"/>
      <c r="TVH23" s="175"/>
      <c r="TVI23" s="175"/>
      <c r="TVJ23" s="175"/>
      <c r="TVK23" s="175"/>
      <c r="TVL23" s="175"/>
      <c r="TVM23" s="175"/>
      <c r="TVN23" s="175"/>
      <c r="TVO23" s="175"/>
      <c r="TVP23" s="175"/>
      <c r="TVQ23" s="175"/>
      <c r="TVR23" s="175"/>
      <c r="TVS23" s="175"/>
      <c r="TVT23" s="175"/>
      <c r="TVU23" s="175"/>
      <c r="TVV23" s="175"/>
      <c r="TVW23" s="175"/>
      <c r="TVX23" s="175"/>
      <c r="TVY23" s="175"/>
      <c r="TVZ23" s="175"/>
      <c r="TWA23" s="175"/>
      <c r="TWB23" s="175"/>
      <c r="TWC23" s="175"/>
      <c r="TWD23" s="175"/>
      <c r="TWE23" s="175"/>
      <c r="TWF23" s="175"/>
      <c r="TWG23" s="175"/>
      <c r="TWH23" s="175"/>
      <c r="TWI23" s="175"/>
      <c r="TWJ23" s="175"/>
      <c r="TWK23" s="175"/>
      <c r="TWL23" s="175"/>
      <c r="TWM23" s="175"/>
      <c r="TWN23" s="175"/>
      <c r="TWO23" s="175"/>
      <c r="TWP23" s="175"/>
      <c r="TWQ23" s="175"/>
      <c r="TWR23" s="175"/>
      <c r="TWS23" s="175"/>
      <c r="TWT23" s="175"/>
      <c r="TWU23" s="175"/>
      <c r="TWV23" s="175"/>
      <c r="TWW23" s="175"/>
      <c r="TWX23" s="175"/>
      <c r="TWY23" s="175"/>
      <c r="TWZ23" s="175"/>
      <c r="TXA23" s="175"/>
      <c r="TXB23" s="175"/>
      <c r="TXC23" s="175"/>
      <c r="TXD23" s="175"/>
      <c r="TXE23" s="175"/>
      <c r="TXF23" s="175"/>
      <c r="TXG23" s="175"/>
      <c r="TXH23" s="175"/>
      <c r="TXI23" s="175"/>
      <c r="TXJ23" s="175"/>
      <c r="TXK23" s="175"/>
      <c r="TXL23" s="175"/>
      <c r="TXM23" s="175"/>
      <c r="TXN23" s="175"/>
      <c r="TXO23" s="175"/>
      <c r="TXP23" s="175"/>
      <c r="TXQ23" s="175"/>
      <c r="TXR23" s="175"/>
      <c r="TXS23" s="175"/>
      <c r="TXT23" s="175"/>
      <c r="TXU23" s="175"/>
      <c r="TXV23" s="175"/>
      <c r="TXW23" s="175"/>
      <c r="TXX23" s="175"/>
      <c r="TXY23" s="175"/>
      <c r="TXZ23" s="175"/>
      <c r="TYA23" s="175"/>
      <c r="TYB23" s="175"/>
      <c r="TYC23" s="175"/>
      <c r="TYD23" s="175"/>
      <c r="TYE23" s="175"/>
      <c r="TYF23" s="175"/>
      <c r="TYG23" s="175"/>
      <c r="TYH23" s="175"/>
      <c r="TYI23" s="175"/>
      <c r="TYJ23" s="175"/>
      <c r="TYK23" s="175"/>
      <c r="TYL23" s="175"/>
      <c r="TYM23" s="175"/>
      <c r="TYN23" s="175"/>
      <c r="TYO23" s="175"/>
      <c r="TYP23" s="175"/>
      <c r="TYQ23" s="175"/>
      <c r="TYR23" s="175"/>
      <c r="TYS23" s="175"/>
      <c r="TYT23" s="175"/>
      <c r="TYU23" s="175"/>
      <c r="TYV23" s="175"/>
      <c r="TYW23" s="175"/>
      <c r="TYX23" s="175"/>
      <c r="TYY23" s="175"/>
      <c r="TYZ23" s="175"/>
      <c r="TZA23" s="175"/>
      <c r="TZB23" s="175"/>
      <c r="TZC23" s="175"/>
      <c r="TZD23" s="175"/>
      <c r="TZE23" s="175"/>
      <c r="TZF23" s="175"/>
      <c r="TZG23" s="175"/>
      <c r="TZH23" s="175"/>
      <c r="TZI23" s="175"/>
      <c r="TZJ23" s="175"/>
      <c r="TZK23" s="175"/>
      <c r="TZL23" s="175"/>
      <c r="TZM23" s="175"/>
      <c r="TZN23" s="175"/>
      <c r="TZO23" s="175"/>
      <c r="TZP23" s="175"/>
      <c r="TZQ23" s="175"/>
      <c r="TZR23" s="175"/>
      <c r="TZS23" s="175"/>
      <c r="TZT23" s="175"/>
      <c r="TZU23" s="175"/>
      <c r="TZV23" s="175"/>
      <c r="TZW23" s="175"/>
      <c r="TZX23" s="175"/>
      <c r="TZY23" s="175"/>
      <c r="TZZ23" s="175"/>
      <c r="UAA23" s="175"/>
      <c r="UAB23" s="175"/>
      <c r="UAC23" s="175"/>
      <c r="UAD23" s="175"/>
      <c r="UAE23" s="175"/>
      <c r="UAF23" s="175"/>
      <c r="UAG23" s="175"/>
      <c r="UAH23" s="175"/>
      <c r="UAI23" s="175"/>
      <c r="UAJ23" s="175"/>
      <c r="UAK23" s="175"/>
      <c r="UAL23" s="175"/>
      <c r="UAM23" s="175"/>
      <c r="UAN23" s="175"/>
      <c r="UAO23" s="175"/>
      <c r="UAP23" s="175"/>
      <c r="UAQ23" s="175"/>
      <c r="UAR23" s="175"/>
      <c r="UAS23" s="175"/>
      <c r="UAT23" s="175"/>
      <c r="UAU23" s="175"/>
      <c r="UAV23" s="175"/>
      <c r="UAW23" s="175"/>
      <c r="UAX23" s="175"/>
      <c r="UAY23" s="175"/>
      <c r="UAZ23" s="175"/>
      <c r="UBA23" s="175"/>
      <c r="UBB23" s="175"/>
      <c r="UBC23" s="175"/>
      <c r="UBD23" s="175"/>
      <c r="UBE23" s="175"/>
      <c r="UBF23" s="175"/>
      <c r="UBG23" s="175"/>
      <c r="UBH23" s="175"/>
      <c r="UBI23" s="175"/>
      <c r="UBJ23" s="175"/>
      <c r="UBK23" s="175"/>
      <c r="UBL23" s="175"/>
      <c r="UBM23" s="175"/>
      <c r="UBN23" s="175"/>
      <c r="UBO23" s="175"/>
      <c r="UBP23" s="175"/>
      <c r="UBQ23" s="175"/>
      <c r="UBR23" s="175"/>
      <c r="UBS23" s="175"/>
      <c r="UBT23" s="175"/>
      <c r="UBU23" s="175"/>
      <c r="UBV23" s="175"/>
      <c r="UBW23" s="175"/>
      <c r="UBX23" s="175"/>
      <c r="UBY23" s="175"/>
      <c r="UBZ23" s="175"/>
      <c r="UCA23" s="175"/>
      <c r="UCB23" s="175"/>
      <c r="UCC23" s="175"/>
      <c r="UCD23" s="175"/>
      <c r="UCE23" s="175"/>
      <c r="UCF23" s="175"/>
      <c r="UCG23" s="175"/>
      <c r="UCH23" s="175"/>
      <c r="UCI23" s="175"/>
      <c r="UCJ23" s="175"/>
      <c r="UCK23" s="175"/>
      <c r="UCL23" s="175"/>
      <c r="UCM23" s="175"/>
      <c r="UCN23" s="175"/>
      <c r="UCO23" s="175"/>
      <c r="UCP23" s="175"/>
      <c r="UCQ23" s="175"/>
      <c r="UCR23" s="175"/>
      <c r="UCS23" s="175"/>
      <c r="UCT23" s="175"/>
      <c r="UCU23" s="175"/>
      <c r="UCV23" s="175"/>
      <c r="UCW23" s="175"/>
      <c r="UCX23" s="175"/>
      <c r="UCY23" s="175"/>
      <c r="UCZ23" s="175"/>
      <c r="UDA23" s="175"/>
      <c r="UDB23" s="175"/>
      <c r="UDC23" s="175"/>
      <c r="UDD23" s="175"/>
      <c r="UDE23" s="175"/>
      <c r="UDF23" s="175"/>
      <c r="UDG23" s="175"/>
      <c r="UDH23" s="175"/>
      <c r="UDI23" s="175"/>
      <c r="UDJ23" s="175"/>
      <c r="UDK23" s="175"/>
      <c r="UDL23" s="175"/>
      <c r="UDM23" s="175"/>
      <c r="UDN23" s="175"/>
      <c r="UDO23" s="175"/>
      <c r="UDP23" s="175"/>
      <c r="UDQ23" s="175"/>
      <c r="UDR23" s="175"/>
      <c r="UDS23" s="175"/>
      <c r="UDT23" s="175"/>
      <c r="UDU23" s="175"/>
      <c r="UDV23" s="175"/>
      <c r="UDW23" s="175"/>
      <c r="UDX23" s="175"/>
      <c r="UDY23" s="175"/>
      <c r="UDZ23" s="175"/>
      <c r="UEA23" s="175"/>
      <c r="UEB23" s="175"/>
      <c r="UEC23" s="175"/>
      <c r="UED23" s="175"/>
      <c r="UEE23" s="175"/>
      <c r="UEF23" s="175"/>
      <c r="UEG23" s="175"/>
      <c r="UEH23" s="175"/>
      <c r="UEI23" s="175"/>
      <c r="UEJ23" s="175"/>
      <c r="UEK23" s="175"/>
      <c r="UEL23" s="175"/>
      <c r="UEM23" s="175"/>
      <c r="UEN23" s="175"/>
      <c r="UEO23" s="175"/>
      <c r="UEP23" s="175"/>
      <c r="UEQ23" s="175"/>
      <c r="UER23" s="175"/>
      <c r="UES23" s="175"/>
      <c r="UET23" s="175"/>
      <c r="UEU23" s="175"/>
      <c r="UEV23" s="175"/>
      <c r="UEW23" s="175"/>
      <c r="UEX23" s="175"/>
      <c r="UEY23" s="175"/>
      <c r="UEZ23" s="175"/>
      <c r="UFA23" s="175"/>
      <c r="UFB23" s="175"/>
      <c r="UFC23" s="175"/>
      <c r="UFD23" s="175"/>
      <c r="UFE23" s="175"/>
      <c r="UFF23" s="175"/>
      <c r="UFG23" s="175"/>
      <c r="UFH23" s="175"/>
      <c r="UFI23" s="175"/>
      <c r="UFJ23" s="175"/>
      <c r="UFK23" s="175"/>
      <c r="UFL23" s="175"/>
      <c r="UFM23" s="175"/>
      <c r="UFN23" s="175"/>
      <c r="UFO23" s="175"/>
      <c r="UFP23" s="175"/>
      <c r="UFQ23" s="175"/>
      <c r="UFR23" s="175"/>
      <c r="UFS23" s="175"/>
      <c r="UFT23" s="175"/>
      <c r="UFU23" s="175"/>
      <c r="UFV23" s="175"/>
      <c r="UFW23" s="175"/>
      <c r="UFX23" s="175"/>
      <c r="UFY23" s="175"/>
      <c r="UFZ23" s="175"/>
      <c r="UGA23" s="175"/>
      <c r="UGB23" s="175"/>
      <c r="UGC23" s="175"/>
      <c r="UGD23" s="175"/>
      <c r="UGE23" s="175"/>
      <c r="UGF23" s="175"/>
      <c r="UGG23" s="175"/>
      <c r="UGH23" s="175"/>
      <c r="UGI23" s="175"/>
      <c r="UGJ23" s="175"/>
      <c r="UGK23" s="175"/>
      <c r="UGL23" s="175"/>
      <c r="UGM23" s="175"/>
      <c r="UGN23" s="175"/>
      <c r="UGO23" s="175"/>
      <c r="UGP23" s="175"/>
      <c r="UGQ23" s="175"/>
      <c r="UGR23" s="175"/>
      <c r="UGS23" s="175"/>
      <c r="UGT23" s="175"/>
      <c r="UGU23" s="175"/>
      <c r="UGV23" s="175"/>
      <c r="UGW23" s="175"/>
      <c r="UGX23" s="175"/>
      <c r="UGY23" s="175"/>
      <c r="UGZ23" s="175"/>
      <c r="UHA23" s="175"/>
      <c r="UHB23" s="175"/>
      <c r="UHC23" s="175"/>
      <c r="UHD23" s="175"/>
      <c r="UHE23" s="175"/>
      <c r="UHF23" s="175"/>
      <c r="UHG23" s="175"/>
      <c r="UHH23" s="175"/>
      <c r="UHI23" s="175"/>
      <c r="UHJ23" s="175"/>
      <c r="UHK23" s="175"/>
      <c r="UHL23" s="175"/>
      <c r="UHM23" s="175"/>
      <c r="UHN23" s="175"/>
      <c r="UHO23" s="175"/>
      <c r="UHP23" s="175"/>
      <c r="UHQ23" s="175"/>
      <c r="UHR23" s="175"/>
      <c r="UHS23" s="175"/>
      <c r="UHT23" s="175"/>
      <c r="UHU23" s="175"/>
      <c r="UHV23" s="175"/>
      <c r="UHW23" s="175"/>
      <c r="UHX23" s="175"/>
      <c r="UHY23" s="175"/>
      <c r="UHZ23" s="175"/>
      <c r="UIA23" s="175"/>
      <c r="UIB23" s="175"/>
      <c r="UIC23" s="175"/>
      <c r="UID23" s="175"/>
      <c r="UIE23" s="175"/>
      <c r="UIF23" s="175"/>
      <c r="UIG23" s="175"/>
      <c r="UIH23" s="175"/>
      <c r="UII23" s="175"/>
      <c r="UIJ23" s="175"/>
      <c r="UIK23" s="175"/>
      <c r="UIL23" s="175"/>
      <c r="UIM23" s="175"/>
      <c r="UIN23" s="175"/>
      <c r="UIO23" s="175"/>
      <c r="UIP23" s="175"/>
      <c r="UIQ23" s="175"/>
      <c r="UIR23" s="175"/>
      <c r="UIS23" s="175"/>
      <c r="UIT23" s="175"/>
      <c r="UIU23" s="175"/>
      <c r="UIV23" s="175"/>
      <c r="UIW23" s="175"/>
      <c r="UIX23" s="175"/>
      <c r="UIY23" s="175"/>
      <c r="UIZ23" s="175"/>
      <c r="UJA23" s="175"/>
      <c r="UJB23" s="175"/>
      <c r="UJC23" s="175"/>
      <c r="UJD23" s="175"/>
      <c r="UJE23" s="175"/>
      <c r="UJF23" s="175"/>
      <c r="UJG23" s="175"/>
      <c r="UJH23" s="175"/>
      <c r="UJI23" s="175"/>
      <c r="UJJ23" s="175"/>
      <c r="UJK23" s="175"/>
      <c r="UJL23" s="175"/>
      <c r="UJM23" s="175"/>
      <c r="UJN23" s="175"/>
      <c r="UJO23" s="175"/>
      <c r="UJP23" s="175"/>
      <c r="UJQ23" s="175"/>
      <c r="UJR23" s="175"/>
      <c r="UJS23" s="175"/>
      <c r="UJT23" s="175"/>
      <c r="UJU23" s="175"/>
      <c r="UJV23" s="175"/>
      <c r="UJW23" s="175"/>
      <c r="UJX23" s="175"/>
      <c r="UJY23" s="175"/>
      <c r="UJZ23" s="175"/>
      <c r="UKA23" s="175"/>
      <c r="UKB23" s="175"/>
      <c r="UKC23" s="175"/>
      <c r="UKD23" s="175"/>
      <c r="UKE23" s="175"/>
      <c r="UKF23" s="175"/>
      <c r="UKG23" s="175"/>
      <c r="UKH23" s="175"/>
      <c r="UKI23" s="175"/>
      <c r="UKJ23" s="175"/>
      <c r="UKK23" s="175"/>
      <c r="UKL23" s="175"/>
      <c r="UKM23" s="175"/>
      <c r="UKN23" s="175"/>
      <c r="UKO23" s="175"/>
      <c r="UKP23" s="175"/>
      <c r="UKQ23" s="175"/>
      <c r="UKR23" s="175"/>
      <c r="UKS23" s="175"/>
      <c r="UKT23" s="175"/>
      <c r="UKU23" s="175"/>
      <c r="UKV23" s="175"/>
      <c r="UKW23" s="175"/>
      <c r="UKX23" s="175"/>
      <c r="UKY23" s="175"/>
      <c r="UKZ23" s="175"/>
      <c r="ULA23" s="175"/>
      <c r="ULB23" s="175"/>
      <c r="ULC23" s="175"/>
      <c r="ULD23" s="175"/>
      <c r="ULE23" s="175"/>
      <c r="ULF23" s="175"/>
      <c r="ULG23" s="175"/>
      <c r="ULH23" s="175"/>
      <c r="ULI23" s="175"/>
      <c r="ULJ23" s="175"/>
      <c r="ULK23" s="175"/>
      <c r="ULL23" s="175"/>
      <c r="ULM23" s="175"/>
      <c r="ULN23" s="175"/>
      <c r="ULO23" s="175"/>
      <c r="ULP23" s="175"/>
      <c r="ULQ23" s="175"/>
      <c r="ULR23" s="175"/>
      <c r="ULS23" s="175"/>
      <c r="ULT23" s="175"/>
      <c r="ULU23" s="175"/>
      <c r="ULV23" s="175"/>
      <c r="ULW23" s="175"/>
      <c r="ULX23" s="175"/>
      <c r="ULY23" s="175"/>
      <c r="ULZ23" s="175"/>
      <c r="UMA23" s="175"/>
      <c r="UMB23" s="175"/>
      <c r="UMC23" s="175"/>
      <c r="UMD23" s="175"/>
      <c r="UME23" s="175"/>
      <c r="UMF23" s="175"/>
      <c r="UMG23" s="175"/>
      <c r="UMH23" s="175"/>
      <c r="UMI23" s="175"/>
      <c r="UMJ23" s="175"/>
      <c r="UMK23" s="175"/>
      <c r="UML23" s="175"/>
      <c r="UMM23" s="175"/>
      <c r="UMN23" s="175"/>
      <c r="UMO23" s="175"/>
      <c r="UMP23" s="175"/>
      <c r="UMQ23" s="175"/>
      <c r="UMR23" s="175"/>
      <c r="UMS23" s="175"/>
      <c r="UMT23" s="175"/>
      <c r="UMU23" s="175"/>
      <c r="UMV23" s="175"/>
      <c r="UMW23" s="175"/>
      <c r="UMX23" s="175"/>
      <c r="UMY23" s="175"/>
      <c r="UMZ23" s="175"/>
      <c r="UNA23" s="175"/>
      <c r="UNB23" s="175"/>
      <c r="UNC23" s="175"/>
      <c r="UND23" s="175"/>
      <c r="UNE23" s="175"/>
      <c r="UNF23" s="175"/>
      <c r="UNG23" s="175"/>
      <c r="UNH23" s="175"/>
      <c r="UNI23" s="175"/>
      <c r="UNJ23" s="175"/>
      <c r="UNK23" s="175"/>
      <c r="UNL23" s="175"/>
      <c r="UNM23" s="175"/>
      <c r="UNN23" s="175"/>
      <c r="UNO23" s="175"/>
      <c r="UNP23" s="175"/>
      <c r="UNQ23" s="175"/>
      <c r="UNR23" s="175"/>
      <c r="UNS23" s="175"/>
      <c r="UNT23" s="175"/>
      <c r="UNU23" s="175"/>
      <c r="UNV23" s="175"/>
      <c r="UNW23" s="175"/>
      <c r="UNX23" s="175"/>
      <c r="UNY23" s="175"/>
      <c r="UNZ23" s="175"/>
      <c r="UOA23" s="175"/>
      <c r="UOB23" s="175"/>
      <c r="UOC23" s="175"/>
      <c r="UOD23" s="175"/>
      <c r="UOE23" s="175"/>
      <c r="UOF23" s="175"/>
      <c r="UOG23" s="175"/>
      <c r="UOH23" s="175"/>
      <c r="UOI23" s="175"/>
      <c r="UOJ23" s="175"/>
      <c r="UOK23" s="175"/>
      <c r="UOL23" s="175"/>
      <c r="UOM23" s="175"/>
      <c r="UON23" s="175"/>
      <c r="UOO23" s="175"/>
      <c r="UOP23" s="175"/>
      <c r="UOQ23" s="175"/>
      <c r="UOR23" s="175"/>
      <c r="UOS23" s="175"/>
      <c r="UOT23" s="175"/>
      <c r="UOU23" s="175"/>
      <c r="UOV23" s="175"/>
      <c r="UOW23" s="175"/>
      <c r="UOX23" s="175"/>
      <c r="UOY23" s="175"/>
      <c r="UOZ23" s="175"/>
      <c r="UPA23" s="175"/>
      <c r="UPB23" s="175"/>
      <c r="UPC23" s="175"/>
      <c r="UPD23" s="175"/>
      <c r="UPE23" s="175"/>
      <c r="UPF23" s="175"/>
      <c r="UPG23" s="175"/>
      <c r="UPH23" s="175"/>
      <c r="UPI23" s="175"/>
      <c r="UPJ23" s="175"/>
      <c r="UPK23" s="175"/>
      <c r="UPL23" s="175"/>
      <c r="UPM23" s="175"/>
      <c r="UPN23" s="175"/>
      <c r="UPO23" s="175"/>
      <c r="UPP23" s="175"/>
      <c r="UPQ23" s="175"/>
      <c r="UPR23" s="175"/>
      <c r="UPS23" s="175"/>
      <c r="UPT23" s="175"/>
      <c r="UPU23" s="175"/>
      <c r="UPV23" s="175"/>
      <c r="UPW23" s="175"/>
      <c r="UPX23" s="175"/>
      <c r="UPY23" s="175"/>
      <c r="UPZ23" s="175"/>
      <c r="UQA23" s="175"/>
      <c r="UQB23" s="175"/>
      <c r="UQC23" s="175"/>
      <c r="UQD23" s="175"/>
      <c r="UQE23" s="175"/>
      <c r="UQF23" s="175"/>
      <c r="UQG23" s="175"/>
      <c r="UQH23" s="175"/>
      <c r="UQI23" s="175"/>
      <c r="UQJ23" s="175"/>
      <c r="UQK23" s="175"/>
      <c r="UQL23" s="175"/>
      <c r="UQM23" s="175"/>
      <c r="UQN23" s="175"/>
      <c r="UQO23" s="175"/>
      <c r="UQP23" s="175"/>
      <c r="UQQ23" s="175"/>
      <c r="UQR23" s="175"/>
      <c r="UQS23" s="175"/>
      <c r="UQT23" s="175"/>
      <c r="UQU23" s="175"/>
      <c r="UQV23" s="175"/>
      <c r="UQW23" s="175"/>
      <c r="UQX23" s="175"/>
      <c r="UQY23" s="175"/>
      <c r="UQZ23" s="175"/>
      <c r="URA23" s="175"/>
      <c r="URB23" s="175"/>
      <c r="URC23" s="175"/>
      <c r="URD23" s="175"/>
      <c r="URE23" s="175"/>
      <c r="URF23" s="175"/>
      <c r="URG23" s="175"/>
      <c r="URH23" s="175"/>
      <c r="URI23" s="175"/>
      <c r="URJ23" s="175"/>
      <c r="URK23" s="175"/>
      <c r="URL23" s="175"/>
      <c r="URM23" s="175"/>
      <c r="URN23" s="175"/>
      <c r="URO23" s="175"/>
      <c r="URP23" s="175"/>
      <c r="URQ23" s="175"/>
      <c r="URR23" s="175"/>
      <c r="URS23" s="175"/>
      <c r="URT23" s="175"/>
      <c r="URU23" s="175"/>
      <c r="URV23" s="175"/>
      <c r="URW23" s="175"/>
      <c r="URX23" s="175"/>
      <c r="URY23" s="175"/>
      <c r="URZ23" s="175"/>
      <c r="USA23" s="175"/>
      <c r="USB23" s="175"/>
      <c r="USC23" s="175"/>
      <c r="USD23" s="175"/>
      <c r="USE23" s="175"/>
      <c r="USF23" s="175"/>
      <c r="USG23" s="175"/>
      <c r="USH23" s="175"/>
      <c r="USI23" s="175"/>
      <c r="USJ23" s="175"/>
      <c r="USK23" s="175"/>
      <c r="USL23" s="175"/>
      <c r="USM23" s="175"/>
      <c r="USN23" s="175"/>
      <c r="USO23" s="175"/>
      <c r="USP23" s="175"/>
      <c r="USQ23" s="175"/>
      <c r="USR23" s="175"/>
      <c r="USS23" s="175"/>
      <c r="UST23" s="175"/>
      <c r="USU23" s="175"/>
      <c r="USV23" s="175"/>
      <c r="USW23" s="175"/>
      <c r="USX23" s="175"/>
      <c r="USY23" s="175"/>
      <c r="USZ23" s="175"/>
      <c r="UTA23" s="175"/>
      <c r="UTB23" s="175"/>
      <c r="UTC23" s="175"/>
      <c r="UTD23" s="175"/>
      <c r="UTE23" s="175"/>
      <c r="UTF23" s="175"/>
      <c r="UTG23" s="175"/>
      <c r="UTH23" s="175"/>
      <c r="UTI23" s="175"/>
      <c r="UTJ23" s="175"/>
      <c r="UTK23" s="175"/>
      <c r="UTL23" s="175"/>
      <c r="UTM23" s="175"/>
      <c r="UTN23" s="175"/>
      <c r="UTO23" s="175"/>
      <c r="UTP23" s="175"/>
      <c r="UTQ23" s="175"/>
      <c r="UTR23" s="175"/>
      <c r="UTS23" s="175"/>
      <c r="UTT23" s="175"/>
      <c r="UTU23" s="175"/>
      <c r="UTV23" s="175"/>
      <c r="UTW23" s="175"/>
      <c r="UTX23" s="175"/>
      <c r="UTY23" s="175"/>
      <c r="UTZ23" s="175"/>
      <c r="UUA23" s="175"/>
      <c r="UUB23" s="175"/>
      <c r="UUC23" s="175"/>
      <c r="UUD23" s="175"/>
      <c r="UUE23" s="175"/>
      <c r="UUF23" s="175"/>
      <c r="UUG23" s="175"/>
      <c r="UUH23" s="175"/>
      <c r="UUI23" s="175"/>
      <c r="UUJ23" s="175"/>
      <c r="UUK23" s="175"/>
      <c r="UUL23" s="175"/>
      <c r="UUM23" s="175"/>
      <c r="UUN23" s="175"/>
      <c r="UUO23" s="175"/>
      <c r="UUP23" s="175"/>
      <c r="UUQ23" s="175"/>
      <c r="UUR23" s="175"/>
      <c r="UUS23" s="175"/>
      <c r="UUT23" s="175"/>
      <c r="UUU23" s="175"/>
      <c r="UUV23" s="175"/>
      <c r="UUW23" s="175"/>
      <c r="UUX23" s="175"/>
      <c r="UUY23" s="175"/>
      <c r="UUZ23" s="175"/>
      <c r="UVA23" s="175"/>
      <c r="UVB23" s="175"/>
      <c r="UVC23" s="175"/>
      <c r="UVD23" s="175"/>
      <c r="UVE23" s="175"/>
      <c r="UVF23" s="175"/>
      <c r="UVG23" s="175"/>
      <c r="UVH23" s="175"/>
      <c r="UVI23" s="175"/>
      <c r="UVJ23" s="175"/>
      <c r="UVK23" s="175"/>
      <c r="UVL23" s="175"/>
      <c r="UVM23" s="175"/>
      <c r="UVN23" s="175"/>
      <c r="UVO23" s="175"/>
      <c r="UVP23" s="175"/>
      <c r="UVQ23" s="175"/>
      <c r="UVR23" s="175"/>
      <c r="UVS23" s="175"/>
      <c r="UVT23" s="175"/>
      <c r="UVU23" s="175"/>
      <c r="UVV23" s="175"/>
      <c r="UVW23" s="175"/>
      <c r="UVX23" s="175"/>
      <c r="UVY23" s="175"/>
      <c r="UVZ23" s="175"/>
      <c r="UWA23" s="175"/>
      <c r="UWB23" s="175"/>
      <c r="UWC23" s="175"/>
      <c r="UWD23" s="175"/>
      <c r="UWE23" s="175"/>
      <c r="UWF23" s="175"/>
      <c r="UWG23" s="175"/>
      <c r="UWH23" s="175"/>
      <c r="UWI23" s="175"/>
      <c r="UWJ23" s="175"/>
      <c r="UWK23" s="175"/>
      <c r="UWL23" s="175"/>
      <c r="UWM23" s="175"/>
      <c r="UWN23" s="175"/>
      <c r="UWO23" s="175"/>
      <c r="UWP23" s="175"/>
      <c r="UWQ23" s="175"/>
      <c r="UWR23" s="175"/>
      <c r="UWS23" s="175"/>
      <c r="UWT23" s="175"/>
      <c r="UWU23" s="175"/>
      <c r="UWV23" s="175"/>
      <c r="UWW23" s="175"/>
      <c r="UWX23" s="175"/>
      <c r="UWY23" s="175"/>
      <c r="UWZ23" s="175"/>
      <c r="UXA23" s="175"/>
      <c r="UXB23" s="175"/>
      <c r="UXC23" s="175"/>
      <c r="UXD23" s="175"/>
      <c r="UXE23" s="175"/>
      <c r="UXF23" s="175"/>
      <c r="UXG23" s="175"/>
      <c r="UXH23" s="175"/>
      <c r="UXI23" s="175"/>
      <c r="UXJ23" s="175"/>
      <c r="UXK23" s="175"/>
      <c r="UXL23" s="175"/>
      <c r="UXM23" s="175"/>
      <c r="UXN23" s="175"/>
      <c r="UXO23" s="175"/>
      <c r="UXP23" s="175"/>
      <c r="UXQ23" s="175"/>
      <c r="UXR23" s="175"/>
      <c r="UXS23" s="175"/>
      <c r="UXT23" s="175"/>
      <c r="UXU23" s="175"/>
      <c r="UXV23" s="175"/>
      <c r="UXW23" s="175"/>
      <c r="UXX23" s="175"/>
      <c r="UXY23" s="175"/>
      <c r="UXZ23" s="175"/>
      <c r="UYA23" s="175"/>
      <c r="UYB23" s="175"/>
      <c r="UYC23" s="175"/>
      <c r="UYD23" s="175"/>
      <c r="UYE23" s="175"/>
      <c r="UYF23" s="175"/>
      <c r="UYG23" s="175"/>
      <c r="UYH23" s="175"/>
      <c r="UYI23" s="175"/>
      <c r="UYJ23" s="175"/>
      <c r="UYK23" s="175"/>
      <c r="UYL23" s="175"/>
      <c r="UYM23" s="175"/>
      <c r="UYN23" s="175"/>
      <c r="UYO23" s="175"/>
      <c r="UYP23" s="175"/>
      <c r="UYQ23" s="175"/>
      <c r="UYR23" s="175"/>
      <c r="UYS23" s="175"/>
      <c r="UYT23" s="175"/>
      <c r="UYU23" s="175"/>
      <c r="UYV23" s="175"/>
      <c r="UYW23" s="175"/>
      <c r="UYX23" s="175"/>
      <c r="UYY23" s="175"/>
      <c r="UYZ23" s="175"/>
      <c r="UZA23" s="175"/>
      <c r="UZB23" s="175"/>
      <c r="UZC23" s="175"/>
      <c r="UZD23" s="175"/>
      <c r="UZE23" s="175"/>
      <c r="UZF23" s="175"/>
      <c r="UZG23" s="175"/>
      <c r="UZH23" s="175"/>
      <c r="UZI23" s="175"/>
      <c r="UZJ23" s="175"/>
      <c r="UZK23" s="175"/>
      <c r="UZL23" s="175"/>
      <c r="UZM23" s="175"/>
      <c r="UZN23" s="175"/>
      <c r="UZO23" s="175"/>
      <c r="UZP23" s="175"/>
      <c r="UZQ23" s="175"/>
      <c r="UZR23" s="175"/>
      <c r="UZS23" s="175"/>
      <c r="UZT23" s="175"/>
      <c r="UZU23" s="175"/>
      <c r="UZV23" s="175"/>
      <c r="UZW23" s="175"/>
      <c r="UZX23" s="175"/>
      <c r="UZY23" s="175"/>
      <c r="UZZ23" s="175"/>
      <c r="VAA23" s="175"/>
      <c r="VAB23" s="175"/>
      <c r="VAC23" s="175"/>
      <c r="VAD23" s="175"/>
      <c r="VAE23" s="175"/>
      <c r="VAF23" s="175"/>
      <c r="VAG23" s="175"/>
      <c r="VAH23" s="175"/>
      <c r="VAI23" s="175"/>
      <c r="VAJ23" s="175"/>
      <c r="VAK23" s="175"/>
      <c r="VAL23" s="175"/>
      <c r="VAM23" s="175"/>
      <c r="VAN23" s="175"/>
      <c r="VAO23" s="175"/>
      <c r="VAP23" s="175"/>
      <c r="VAQ23" s="175"/>
      <c r="VAR23" s="175"/>
      <c r="VAS23" s="175"/>
      <c r="VAT23" s="175"/>
      <c r="VAU23" s="175"/>
      <c r="VAV23" s="175"/>
      <c r="VAW23" s="175"/>
      <c r="VAX23" s="175"/>
      <c r="VAY23" s="175"/>
      <c r="VAZ23" s="175"/>
      <c r="VBA23" s="175"/>
      <c r="VBB23" s="175"/>
      <c r="VBC23" s="175"/>
      <c r="VBD23" s="175"/>
      <c r="VBE23" s="175"/>
      <c r="VBF23" s="175"/>
      <c r="VBG23" s="175"/>
      <c r="VBH23" s="175"/>
      <c r="VBI23" s="175"/>
      <c r="VBJ23" s="175"/>
      <c r="VBK23" s="175"/>
      <c r="VBL23" s="175"/>
      <c r="VBM23" s="175"/>
      <c r="VBN23" s="175"/>
      <c r="VBO23" s="175"/>
      <c r="VBP23" s="175"/>
      <c r="VBQ23" s="175"/>
      <c r="VBR23" s="175"/>
      <c r="VBS23" s="175"/>
      <c r="VBT23" s="175"/>
      <c r="VBU23" s="175"/>
      <c r="VBV23" s="175"/>
      <c r="VBW23" s="175"/>
      <c r="VBX23" s="175"/>
      <c r="VBY23" s="175"/>
      <c r="VBZ23" s="175"/>
      <c r="VCA23" s="175"/>
      <c r="VCB23" s="175"/>
      <c r="VCC23" s="175"/>
      <c r="VCD23" s="175"/>
      <c r="VCE23" s="175"/>
      <c r="VCF23" s="175"/>
      <c r="VCG23" s="175"/>
      <c r="VCH23" s="175"/>
      <c r="VCI23" s="175"/>
      <c r="VCJ23" s="175"/>
      <c r="VCK23" s="175"/>
      <c r="VCL23" s="175"/>
      <c r="VCM23" s="175"/>
      <c r="VCN23" s="175"/>
      <c r="VCO23" s="175"/>
      <c r="VCP23" s="175"/>
      <c r="VCQ23" s="175"/>
      <c r="VCR23" s="175"/>
      <c r="VCS23" s="175"/>
      <c r="VCT23" s="175"/>
      <c r="VCU23" s="175"/>
      <c r="VCV23" s="175"/>
      <c r="VCW23" s="175"/>
      <c r="VCX23" s="175"/>
      <c r="VCY23" s="175"/>
      <c r="VCZ23" s="175"/>
      <c r="VDA23" s="175"/>
      <c r="VDB23" s="175"/>
      <c r="VDC23" s="175"/>
      <c r="VDD23" s="175"/>
      <c r="VDE23" s="175"/>
      <c r="VDF23" s="175"/>
      <c r="VDG23" s="175"/>
      <c r="VDH23" s="175"/>
      <c r="VDI23" s="175"/>
      <c r="VDJ23" s="175"/>
      <c r="VDK23" s="175"/>
      <c r="VDL23" s="175"/>
      <c r="VDM23" s="175"/>
      <c r="VDN23" s="175"/>
      <c r="VDO23" s="175"/>
      <c r="VDP23" s="175"/>
      <c r="VDQ23" s="175"/>
      <c r="VDR23" s="175"/>
      <c r="VDS23" s="175"/>
      <c r="VDT23" s="175"/>
      <c r="VDU23" s="175"/>
      <c r="VDV23" s="175"/>
      <c r="VDW23" s="175"/>
      <c r="VDX23" s="175"/>
      <c r="VDY23" s="175"/>
      <c r="VDZ23" s="175"/>
      <c r="VEA23" s="175"/>
      <c r="VEB23" s="175"/>
      <c r="VEC23" s="175"/>
      <c r="VED23" s="175"/>
      <c r="VEE23" s="175"/>
      <c r="VEF23" s="175"/>
      <c r="VEG23" s="175"/>
      <c r="VEH23" s="175"/>
      <c r="VEI23" s="175"/>
      <c r="VEJ23" s="175"/>
      <c r="VEK23" s="175"/>
      <c r="VEL23" s="175"/>
      <c r="VEM23" s="175"/>
      <c r="VEN23" s="175"/>
      <c r="VEO23" s="175"/>
      <c r="VEP23" s="175"/>
      <c r="VEQ23" s="175"/>
      <c r="VER23" s="175"/>
      <c r="VES23" s="175"/>
      <c r="VET23" s="175"/>
      <c r="VEU23" s="175"/>
      <c r="VEV23" s="175"/>
      <c r="VEW23" s="175"/>
      <c r="VEX23" s="175"/>
      <c r="VEY23" s="175"/>
      <c r="VEZ23" s="175"/>
      <c r="VFA23" s="175"/>
      <c r="VFB23" s="175"/>
      <c r="VFC23" s="175"/>
      <c r="VFD23" s="175"/>
      <c r="VFE23" s="175"/>
      <c r="VFF23" s="175"/>
      <c r="VFG23" s="175"/>
      <c r="VFH23" s="175"/>
      <c r="VFI23" s="175"/>
      <c r="VFJ23" s="175"/>
      <c r="VFK23" s="175"/>
      <c r="VFL23" s="175"/>
      <c r="VFM23" s="175"/>
      <c r="VFN23" s="175"/>
      <c r="VFO23" s="175"/>
      <c r="VFP23" s="175"/>
      <c r="VFQ23" s="175"/>
      <c r="VFR23" s="175"/>
      <c r="VFS23" s="175"/>
      <c r="VFT23" s="175"/>
      <c r="VFU23" s="175"/>
      <c r="VFV23" s="175"/>
      <c r="VFW23" s="175"/>
      <c r="VFX23" s="175"/>
      <c r="VFY23" s="175"/>
      <c r="VFZ23" s="175"/>
      <c r="VGA23" s="175"/>
      <c r="VGB23" s="175"/>
      <c r="VGC23" s="175"/>
      <c r="VGD23" s="175"/>
      <c r="VGE23" s="175"/>
      <c r="VGF23" s="175"/>
      <c r="VGG23" s="175"/>
      <c r="VGH23" s="175"/>
      <c r="VGI23" s="175"/>
      <c r="VGJ23" s="175"/>
      <c r="VGK23" s="175"/>
      <c r="VGL23" s="175"/>
      <c r="VGM23" s="175"/>
      <c r="VGN23" s="175"/>
      <c r="VGO23" s="175"/>
      <c r="VGP23" s="175"/>
      <c r="VGQ23" s="175"/>
      <c r="VGR23" s="175"/>
      <c r="VGS23" s="175"/>
      <c r="VGT23" s="175"/>
      <c r="VGU23" s="175"/>
      <c r="VGV23" s="175"/>
      <c r="VGW23" s="175"/>
      <c r="VGX23" s="175"/>
      <c r="VGY23" s="175"/>
      <c r="VGZ23" s="175"/>
      <c r="VHA23" s="175"/>
      <c r="VHB23" s="175"/>
      <c r="VHC23" s="175"/>
      <c r="VHD23" s="175"/>
      <c r="VHE23" s="175"/>
      <c r="VHF23" s="175"/>
      <c r="VHG23" s="175"/>
      <c r="VHH23" s="175"/>
      <c r="VHI23" s="175"/>
      <c r="VHJ23" s="175"/>
      <c r="VHK23" s="175"/>
      <c r="VHL23" s="175"/>
      <c r="VHM23" s="175"/>
      <c r="VHN23" s="175"/>
      <c r="VHO23" s="175"/>
      <c r="VHP23" s="175"/>
      <c r="VHQ23" s="175"/>
      <c r="VHR23" s="175"/>
      <c r="VHS23" s="175"/>
      <c r="VHT23" s="175"/>
      <c r="VHU23" s="175"/>
      <c r="VHV23" s="175"/>
      <c r="VHW23" s="175"/>
      <c r="VHX23" s="175"/>
      <c r="VHY23" s="175"/>
      <c r="VHZ23" s="175"/>
      <c r="VIA23" s="175"/>
      <c r="VIB23" s="175"/>
      <c r="VIC23" s="175"/>
      <c r="VID23" s="175"/>
      <c r="VIE23" s="175"/>
      <c r="VIF23" s="175"/>
      <c r="VIG23" s="175"/>
      <c r="VIH23" s="175"/>
      <c r="VII23" s="175"/>
      <c r="VIJ23" s="175"/>
      <c r="VIK23" s="175"/>
      <c r="VIL23" s="175"/>
      <c r="VIM23" s="175"/>
      <c r="VIN23" s="175"/>
      <c r="VIO23" s="175"/>
      <c r="VIP23" s="175"/>
      <c r="VIQ23" s="175"/>
      <c r="VIR23" s="175"/>
      <c r="VIS23" s="175"/>
      <c r="VIT23" s="175"/>
      <c r="VIU23" s="175"/>
      <c r="VIV23" s="175"/>
      <c r="VIW23" s="175"/>
      <c r="VIX23" s="175"/>
      <c r="VIY23" s="175"/>
      <c r="VIZ23" s="175"/>
      <c r="VJA23" s="175"/>
      <c r="VJB23" s="175"/>
      <c r="VJC23" s="175"/>
      <c r="VJD23" s="175"/>
      <c r="VJE23" s="175"/>
      <c r="VJF23" s="175"/>
      <c r="VJG23" s="175"/>
      <c r="VJH23" s="175"/>
      <c r="VJI23" s="175"/>
      <c r="VJJ23" s="175"/>
      <c r="VJK23" s="175"/>
      <c r="VJL23" s="175"/>
      <c r="VJM23" s="175"/>
      <c r="VJN23" s="175"/>
      <c r="VJO23" s="175"/>
      <c r="VJP23" s="175"/>
      <c r="VJQ23" s="175"/>
      <c r="VJR23" s="175"/>
      <c r="VJS23" s="175"/>
      <c r="VJT23" s="175"/>
      <c r="VJU23" s="175"/>
      <c r="VJV23" s="175"/>
      <c r="VJW23" s="175"/>
      <c r="VJX23" s="175"/>
      <c r="VJY23" s="175"/>
      <c r="VJZ23" s="175"/>
      <c r="VKA23" s="175"/>
      <c r="VKB23" s="175"/>
      <c r="VKC23" s="175"/>
      <c r="VKD23" s="175"/>
      <c r="VKE23" s="175"/>
      <c r="VKF23" s="175"/>
      <c r="VKG23" s="175"/>
      <c r="VKH23" s="175"/>
      <c r="VKI23" s="175"/>
      <c r="VKJ23" s="175"/>
      <c r="VKK23" s="175"/>
      <c r="VKL23" s="175"/>
      <c r="VKM23" s="175"/>
      <c r="VKN23" s="175"/>
      <c r="VKO23" s="175"/>
      <c r="VKP23" s="175"/>
      <c r="VKQ23" s="175"/>
      <c r="VKR23" s="175"/>
      <c r="VKS23" s="175"/>
      <c r="VKT23" s="175"/>
      <c r="VKU23" s="175"/>
      <c r="VKV23" s="175"/>
      <c r="VKW23" s="175"/>
      <c r="VKX23" s="175"/>
      <c r="VKY23" s="175"/>
      <c r="VKZ23" s="175"/>
      <c r="VLA23" s="175"/>
      <c r="VLB23" s="175"/>
      <c r="VLC23" s="175"/>
      <c r="VLD23" s="175"/>
      <c r="VLE23" s="175"/>
      <c r="VLF23" s="175"/>
      <c r="VLG23" s="175"/>
      <c r="VLH23" s="175"/>
      <c r="VLI23" s="175"/>
      <c r="VLJ23" s="175"/>
      <c r="VLK23" s="175"/>
      <c r="VLL23" s="175"/>
      <c r="VLM23" s="175"/>
      <c r="VLN23" s="175"/>
      <c r="VLO23" s="175"/>
      <c r="VLP23" s="175"/>
      <c r="VLQ23" s="175"/>
      <c r="VLR23" s="175"/>
      <c r="VLS23" s="175"/>
      <c r="VLT23" s="175"/>
      <c r="VLU23" s="175"/>
      <c r="VLV23" s="175"/>
      <c r="VLW23" s="175"/>
      <c r="VLX23" s="175"/>
      <c r="VLY23" s="175"/>
      <c r="VLZ23" s="175"/>
      <c r="VMA23" s="175"/>
      <c r="VMB23" s="175"/>
      <c r="VMC23" s="175"/>
      <c r="VMD23" s="175"/>
      <c r="VME23" s="175"/>
      <c r="VMF23" s="175"/>
      <c r="VMG23" s="175"/>
      <c r="VMH23" s="175"/>
      <c r="VMI23" s="175"/>
      <c r="VMJ23" s="175"/>
      <c r="VMK23" s="175"/>
      <c r="VML23" s="175"/>
      <c r="VMM23" s="175"/>
      <c r="VMN23" s="175"/>
      <c r="VMO23" s="175"/>
      <c r="VMP23" s="175"/>
      <c r="VMQ23" s="175"/>
      <c r="VMR23" s="175"/>
      <c r="VMS23" s="175"/>
      <c r="VMT23" s="175"/>
      <c r="VMU23" s="175"/>
      <c r="VMV23" s="175"/>
      <c r="VMW23" s="175"/>
      <c r="VMX23" s="175"/>
      <c r="VMY23" s="175"/>
      <c r="VMZ23" s="175"/>
      <c r="VNA23" s="175"/>
      <c r="VNB23" s="175"/>
      <c r="VNC23" s="175"/>
      <c r="VND23" s="175"/>
      <c r="VNE23" s="175"/>
      <c r="VNF23" s="175"/>
      <c r="VNG23" s="175"/>
      <c r="VNH23" s="175"/>
      <c r="VNI23" s="175"/>
      <c r="VNJ23" s="175"/>
      <c r="VNK23" s="175"/>
      <c r="VNL23" s="175"/>
      <c r="VNM23" s="175"/>
      <c r="VNN23" s="175"/>
      <c r="VNO23" s="175"/>
      <c r="VNP23" s="175"/>
      <c r="VNQ23" s="175"/>
      <c r="VNR23" s="175"/>
      <c r="VNS23" s="175"/>
      <c r="VNT23" s="175"/>
      <c r="VNU23" s="175"/>
      <c r="VNV23" s="175"/>
      <c r="VNW23" s="175"/>
      <c r="VNX23" s="175"/>
      <c r="VNY23" s="175"/>
      <c r="VNZ23" s="175"/>
      <c r="VOA23" s="175"/>
      <c r="VOB23" s="175"/>
      <c r="VOC23" s="175"/>
      <c r="VOD23" s="175"/>
      <c r="VOE23" s="175"/>
      <c r="VOF23" s="175"/>
      <c r="VOG23" s="175"/>
      <c r="VOH23" s="175"/>
      <c r="VOI23" s="175"/>
      <c r="VOJ23" s="175"/>
      <c r="VOK23" s="175"/>
      <c r="VOL23" s="175"/>
      <c r="VOM23" s="175"/>
      <c r="VON23" s="175"/>
      <c r="VOO23" s="175"/>
      <c r="VOP23" s="175"/>
      <c r="VOQ23" s="175"/>
      <c r="VOR23" s="175"/>
      <c r="VOS23" s="175"/>
      <c r="VOT23" s="175"/>
      <c r="VOU23" s="175"/>
      <c r="VOV23" s="175"/>
      <c r="VOW23" s="175"/>
      <c r="VOX23" s="175"/>
      <c r="VOY23" s="175"/>
      <c r="VOZ23" s="175"/>
      <c r="VPA23" s="175"/>
      <c r="VPB23" s="175"/>
      <c r="VPC23" s="175"/>
      <c r="VPD23" s="175"/>
      <c r="VPE23" s="175"/>
      <c r="VPF23" s="175"/>
      <c r="VPG23" s="175"/>
      <c r="VPH23" s="175"/>
      <c r="VPI23" s="175"/>
      <c r="VPJ23" s="175"/>
      <c r="VPK23" s="175"/>
      <c r="VPL23" s="175"/>
      <c r="VPM23" s="175"/>
      <c r="VPN23" s="175"/>
      <c r="VPO23" s="175"/>
      <c r="VPP23" s="175"/>
      <c r="VPQ23" s="175"/>
      <c r="VPR23" s="175"/>
      <c r="VPS23" s="175"/>
      <c r="VPT23" s="175"/>
      <c r="VPU23" s="175"/>
      <c r="VPV23" s="175"/>
      <c r="VPW23" s="175"/>
      <c r="VPX23" s="175"/>
      <c r="VPY23" s="175"/>
      <c r="VPZ23" s="175"/>
      <c r="VQA23" s="175"/>
      <c r="VQB23" s="175"/>
      <c r="VQC23" s="175"/>
      <c r="VQD23" s="175"/>
      <c r="VQE23" s="175"/>
      <c r="VQF23" s="175"/>
      <c r="VQG23" s="175"/>
      <c r="VQH23" s="175"/>
      <c r="VQI23" s="175"/>
      <c r="VQJ23" s="175"/>
      <c r="VQK23" s="175"/>
      <c r="VQL23" s="175"/>
      <c r="VQM23" s="175"/>
      <c r="VQN23" s="175"/>
      <c r="VQO23" s="175"/>
      <c r="VQP23" s="175"/>
      <c r="VQQ23" s="175"/>
      <c r="VQR23" s="175"/>
      <c r="VQS23" s="175"/>
      <c r="VQT23" s="175"/>
      <c r="VQU23" s="175"/>
      <c r="VQV23" s="175"/>
      <c r="VQW23" s="175"/>
      <c r="VQX23" s="175"/>
      <c r="VQY23" s="175"/>
      <c r="VQZ23" s="175"/>
      <c r="VRA23" s="175"/>
      <c r="VRB23" s="175"/>
      <c r="VRC23" s="175"/>
      <c r="VRD23" s="175"/>
      <c r="VRE23" s="175"/>
      <c r="VRF23" s="175"/>
      <c r="VRG23" s="175"/>
      <c r="VRH23" s="175"/>
      <c r="VRI23" s="175"/>
      <c r="VRJ23" s="175"/>
      <c r="VRK23" s="175"/>
      <c r="VRL23" s="175"/>
      <c r="VRM23" s="175"/>
      <c r="VRN23" s="175"/>
      <c r="VRO23" s="175"/>
      <c r="VRP23" s="175"/>
      <c r="VRQ23" s="175"/>
      <c r="VRR23" s="175"/>
      <c r="VRS23" s="175"/>
      <c r="VRT23" s="175"/>
      <c r="VRU23" s="175"/>
      <c r="VRV23" s="175"/>
      <c r="VRW23" s="175"/>
      <c r="VRX23" s="175"/>
      <c r="VRY23" s="175"/>
      <c r="VRZ23" s="175"/>
      <c r="VSA23" s="175"/>
      <c r="VSB23" s="175"/>
      <c r="VSC23" s="175"/>
      <c r="VSD23" s="175"/>
      <c r="VSE23" s="175"/>
      <c r="VSF23" s="175"/>
      <c r="VSG23" s="175"/>
      <c r="VSH23" s="175"/>
      <c r="VSI23" s="175"/>
      <c r="VSJ23" s="175"/>
      <c r="VSK23" s="175"/>
      <c r="VSL23" s="175"/>
      <c r="VSM23" s="175"/>
      <c r="VSN23" s="175"/>
      <c r="VSO23" s="175"/>
      <c r="VSP23" s="175"/>
      <c r="VSQ23" s="175"/>
      <c r="VSR23" s="175"/>
      <c r="VSS23" s="175"/>
      <c r="VST23" s="175"/>
      <c r="VSU23" s="175"/>
      <c r="VSV23" s="175"/>
      <c r="VSW23" s="175"/>
      <c r="VSX23" s="175"/>
      <c r="VSY23" s="175"/>
      <c r="VSZ23" s="175"/>
      <c r="VTA23" s="175"/>
      <c r="VTB23" s="175"/>
      <c r="VTC23" s="175"/>
      <c r="VTD23" s="175"/>
      <c r="VTE23" s="175"/>
      <c r="VTF23" s="175"/>
      <c r="VTG23" s="175"/>
      <c r="VTH23" s="175"/>
      <c r="VTI23" s="175"/>
      <c r="VTJ23" s="175"/>
      <c r="VTK23" s="175"/>
      <c r="VTL23" s="175"/>
      <c r="VTM23" s="175"/>
      <c r="VTN23" s="175"/>
      <c r="VTO23" s="175"/>
      <c r="VTP23" s="175"/>
      <c r="VTQ23" s="175"/>
      <c r="VTR23" s="175"/>
      <c r="VTS23" s="175"/>
      <c r="VTT23" s="175"/>
      <c r="VTU23" s="175"/>
      <c r="VTV23" s="175"/>
      <c r="VTW23" s="175"/>
      <c r="VTX23" s="175"/>
      <c r="VTY23" s="175"/>
      <c r="VTZ23" s="175"/>
      <c r="VUA23" s="175"/>
      <c r="VUB23" s="175"/>
      <c r="VUC23" s="175"/>
      <c r="VUD23" s="175"/>
      <c r="VUE23" s="175"/>
      <c r="VUF23" s="175"/>
      <c r="VUG23" s="175"/>
      <c r="VUH23" s="175"/>
      <c r="VUI23" s="175"/>
      <c r="VUJ23" s="175"/>
      <c r="VUK23" s="175"/>
      <c r="VUL23" s="175"/>
      <c r="VUM23" s="175"/>
      <c r="VUN23" s="175"/>
      <c r="VUO23" s="175"/>
      <c r="VUP23" s="175"/>
      <c r="VUQ23" s="175"/>
      <c r="VUR23" s="175"/>
      <c r="VUS23" s="175"/>
      <c r="VUT23" s="175"/>
      <c r="VUU23" s="175"/>
      <c r="VUV23" s="175"/>
      <c r="VUW23" s="175"/>
      <c r="VUX23" s="175"/>
      <c r="VUY23" s="175"/>
      <c r="VUZ23" s="175"/>
      <c r="VVA23" s="175"/>
      <c r="VVB23" s="175"/>
      <c r="VVC23" s="175"/>
      <c r="VVD23" s="175"/>
      <c r="VVE23" s="175"/>
      <c r="VVF23" s="175"/>
      <c r="VVG23" s="175"/>
      <c r="VVH23" s="175"/>
      <c r="VVI23" s="175"/>
      <c r="VVJ23" s="175"/>
      <c r="VVK23" s="175"/>
      <c r="VVL23" s="175"/>
      <c r="VVM23" s="175"/>
      <c r="VVN23" s="175"/>
      <c r="VVO23" s="175"/>
      <c r="VVP23" s="175"/>
      <c r="VVQ23" s="175"/>
      <c r="VVR23" s="175"/>
      <c r="VVS23" s="175"/>
      <c r="VVT23" s="175"/>
      <c r="VVU23" s="175"/>
      <c r="VVV23" s="175"/>
      <c r="VVW23" s="175"/>
      <c r="VVX23" s="175"/>
      <c r="VVY23" s="175"/>
      <c r="VVZ23" s="175"/>
      <c r="VWA23" s="175"/>
      <c r="VWB23" s="175"/>
      <c r="VWC23" s="175"/>
      <c r="VWD23" s="175"/>
      <c r="VWE23" s="175"/>
      <c r="VWF23" s="175"/>
      <c r="VWG23" s="175"/>
      <c r="VWH23" s="175"/>
      <c r="VWI23" s="175"/>
      <c r="VWJ23" s="175"/>
      <c r="VWK23" s="175"/>
      <c r="VWL23" s="175"/>
      <c r="VWM23" s="175"/>
      <c r="VWN23" s="175"/>
      <c r="VWO23" s="175"/>
      <c r="VWP23" s="175"/>
      <c r="VWQ23" s="175"/>
      <c r="VWR23" s="175"/>
      <c r="VWS23" s="175"/>
      <c r="VWT23" s="175"/>
      <c r="VWU23" s="175"/>
      <c r="VWV23" s="175"/>
      <c r="VWW23" s="175"/>
      <c r="VWX23" s="175"/>
      <c r="VWY23" s="175"/>
      <c r="VWZ23" s="175"/>
      <c r="VXA23" s="175"/>
      <c r="VXB23" s="175"/>
      <c r="VXC23" s="175"/>
      <c r="VXD23" s="175"/>
      <c r="VXE23" s="175"/>
      <c r="VXF23" s="175"/>
      <c r="VXG23" s="175"/>
      <c r="VXH23" s="175"/>
      <c r="VXI23" s="175"/>
      <c r="VXJ23" s="175"/>
      <c r="VXK23" s="175"/>
      <c r="VXL23" s="175"/>
      <c r="VXM23" s="175"/>
      <c r="VXN23" s="175"/>
      <c r="VXO23" s="175"/>
      <c r="VXP23" s="175"/>
      <c r="VXQ23" s="175"/>
      <c r="VXR23" s="175"/>
      <c r="VXS23" s="175"/>
      <c r="VXT23" s="175"/>
      <c r="VXU23" s="175"/>
      <c r="VXV23" s="175"/>
      <c r="VXW23" s="175"/>
      <c r="VXX23" s="175"/>
      <c r="VXY23" s="175"/>
      <c r="VXZ23" s="175"/>
      <c r="VYA23" s="175"/>
      <c r="VYB23" s="175"/>
      <c r="VYC23" s="175"/>
      <c r="VYD23" s="175"/>
      <c r="VYE23" s="175"/>
      <c r="VYF23" s="175"/>
      <c r="VYG23" s="175"/>
      <c r="VYH23" s="175"/>
      <c r="VYI23" s="175"/>
      <c r="VYJ23" s="175"/>
      <c r="VYK23" s="175"/>
      <c r="VYL23" s="175"/>
      <c r="VYM23" s="175"/>
      <c r="VYN23" s="175"/>
      <c r="VYO23" s="175"/>
      <c r="VYP23" s="175"/>
      <c r="VYQ23" s="175"/>
      <c r="VYR23" s="175"/>
      <c r="VYS23" s="175"/>
      <c r="VYT23" s="175"/>
      <c r="VYU23" s="175"/>
      <c r="VYV23" s="175"/>
      <c r="VYW23" s="175"/>
      <c r="VYX23" s="175"/>
      <c r="VYY23" s="175"/>
      <c r="VYZ23" s="175"/>
      <c r="VZA23" s="175"/>
      <c r="VZB23" s="175"/>
      <c r="VZC23" s="175"/>
      <c r="VZD23" s="175"/>
      <c r="VZE23" s="175"/>
      <c r="VZF23" s="175"/>
      <c r="VZG23" s="175"/>
      <c r="VZH23" s="175"/>
      <c r="VZI23" s="175"/>
      <c r="VZJ23" s="175"/>
      <c r="VZK23" s="175"/>
      <c r="VZL23" s="175"/>
      <c r="VZM23" s="175"/>
      <c r="VZN23" s="175"/>
      <c r="VZO23" s="175"/>
      <c r="VZP23" s="175"/>
      <c r="VZQ23" s="175"/>
      <c r="VZR23" s="175"/>
      <c r="VZS23" s="175"/>
      <c r="VZT23" s="175"/>
      <c r="VZU23" s="175"/>
      <c r="VZV23" s="175"/>
      <c r="VZW23" s="175"/>
      <c r="VZX23" s="175"/>
      <c r="VZY23" s="175"/>
      <c r="VZZ23" s="175"/>
      <c r="WAA23" s="175"/>
      <c r="WAB23" s="175"/>
      <c r="WAC23" s="175"/>
      <c r="WAD23" s="175"/>
      <c r="WAE23" s="175"/>
      <c r="WAF23" s="175"/>
      <c r="WAG23" s="175"/>
      <c r="WAH23" s="175"/>
      <c r="WAI23" s="175"/>
      <c r="WAJ23" s="175"/>
      <c r="WAK23" s="175"/>
      <c r="WAL23" s="175"/>
      <c r="WAM23" s="175"/>
      <c r="WAN23" s="175"/>
      <c r="WAO23" s="175"/>
      <c r="WAP23" s="175"/>
      <c r="WAQ23" s="175"/>
      <c r="WAR23" s="175"/>
      <c r="WAS23" s="175"/>
      <c r="WAT23" s="175"/>
      <c r="WAU23" s="175"/>
      <c r="WAV23" s="175"/>
      <c r="WAW23" s="175"/>
      <c r="WAX23" s="175"/>
      <c r="WAY23" s="175"/>
      <c r="WAZ23" s="175"/>
      <c r="WBA23" s="175"/>
      <c r="WBB23" s="175"/>
      <c r="WBC23" s="175"/>
      <c r="WBD23" s="175"/>
      <c r="WBE23" s="175"/>
      <c r="WBF23" s="175"/>
      <c r="WBG23" s="175"/>
      <c r="WBH23" s="175"/>
      <c r="WBI23" s="175"/>
      <c r="WBJ23" s="175"/>
      <c r="WBK23" s="175"/>
      <c r="WBL23" s="175"/>
      <c r="WBM23" s="175"/>
      <c r="WBN23" s="175"/>
      <c r="WBO23" s="175"/>
      <c r="WBP23" s="175"/>
      <c r="WBQ23" s="175"/>
      <c r="WBR23" s="175"/>
      <c r="WBS23" s="175"/>
      <c r="WBT23" s="175"/>
      <c r="WBU23" s="175"/>
      <c r="WBV23" s="175"/>
      <c r="WBW23" s="175"/>
      <c r="WBX23" s="175"/>
      <c r="WBY23" s="175"/>
      <c r="WBZ23" s="175"/>
      <c r="WCA23" s="175"/>
      <c r="WCB23" s="175"/>
      <c r="WCC23" s="175"/>
      <c r="WCD23" s="175"/>
      <c r="WCE23" s="175"/>
      <c r="WCF23" s="175"/>
      <c r="WCG23" s="175"/>
      <c r="WCH23" s="175"/>
      <c r="WCI23" s="175"/>
      <c r="WCJ23" s="175"/>
      <c r="WCK23" s="175"/>
      <c r="WCL23" s="175"/>
      <c r="WCM23" s="175"/>
      <c r="WCN23" s="175"/>
      <c r="WCO23" s="175"/>
      <c r="WCP23" s="175"/>
      <c r="WCQ23" s="175"/>
      <c r="WCR23" s="175"/>
      <c r="WCS23" s="175"/>
      <c r="WCT23" s="175"/>
      <c r="WCU23" s="175"/>
      <c r="WCV23" s="175"/>
      <c r="WCW23" s="175"/>
      <c r="WCX23" s="175"/>
      <c r="WCY23" s="175"/>
      <c r="WCZ23" s="175"/>
      <c r="WDA23" s="175"/>
      <c r="WDB23" s="175"/>
      <c r="WDC23" s="175"/>
      <c r="WDD23" s="175"/>
      <c r="WDE23" s="175"/>
      <c r="WDF23" s="175"/>
      <c r="WDG23" s="175"/>
      <c r="WDH23" s="175"/>
      <c r="WDI23" s="175"/>
      <c r="WDJ23" s="175"/>
      <c r="WDK23" s="175"/>
      <c r="WDL23" s="175"/>
      <c r="WDM23" s="175"/>
      <c r="WDN23" s="175"/>
      <c r="WDO23" s="175"/>
      <c r="WDP23" s="175"/>
      <c r="WDQ23" s="175"/>
      <c r="WDR23" s="175"/>
      <c r="WDS23" s="175"/>
      <c r="WDT23" s="175"/>
      <c r="WDU23" s="175"/>
      <c r="WDV23" s="175"/>
      <c r="WDW23" s="175"/>
      <c r="WDX23" s="175"/>
      <c r="WDY23" s="175"/>
      <c r="WDZ23" s="175"/>
      <c r="WEA23" s="175"/>
      <c r="WEB23" s="175"/>
      <c r="WEC23" s="175"/>
      <c r="WED23" s="175"/>
      <c r="WEE23" s="175"/>
      <c r="WEF23" s="175"/>
      <c r="WEG23" s="175"/>
      <c r="WEH23" s="175"/>
      <c r="WEI23" s="175"/>
      <c r="WEJ23" s="175"/>
      <c r="WEK23" s="175"/>
      <c r="WEL23" s="175"/>
      <c r="WEM23" s="175"/>
      <c r="WEN23" s="175"/>
      <c r="WEO23" s="175"/>
      <c r="WEP23" s="175"/>
      <c r="WEQ23" s="175"/>
      <c r="WER23" s="175"/>
      <c r="WES23" s="175"/>
      <c r="WET23" s="175"/>
      <c r="WEU23" s="175"/>
      <c r="WEV23" s="175"/>
      <c r="WEW23" s="175"/>
      <c r="WEX23" s="175"/>
      <c r="WEY23" s="175"/>
      <c r="WEZ23" s="175"/>
      <c r="WFA23" s="175"/>
      <c r="WFB23" s="175"/>
      <c r="WFC23" s="175"/>
      <c r="WFD23" s="175"/>
      <c r="WFE23" s="175"/>
      <c r="WFF23" s="175"/>
      <c r="WFG23" s="175"/>
      <c r="WFH23" s="175"/>
      <c r="WFI23" s="175"/>
      <c r="WFJ23" s="175"/>
      <c r="WFK23" s="175"/>
      <c r="WFL23" s="175"/>
      <c r="WFM23" s="175"/>
      <c r="WFN23" s="175"/>
      <c r="WFO23" s="175"/>
      <c r="WFP23" s="175"/>
      <c r="WFQ23" s="175"/>
      <c r="WFR23" s="175"/>
      <c r="WFS23" s="175"/>
      <c r="WFT23" s="175"/>
      <c r="WFU23" s="175"/>
      <c r="WFV23" s="175"/>
      <c r="WFW23" s="175"/>
      <c r="WFX23" s="175"/>
      <c r="WFY23" s="175"/>
      <c r="WFZ23" s="175"/>
      <c r="WGA23" s="175"/>
      <c r="WGB23" s="175"/>
      <c r="WGC23" s="175"/>
      <c r="WGD23" s="175"/>
      <c r="WGE23" s="175"/>
      <c r="WGF23" s="175"/>
      <c r="WGG23" s="175"/>
      <c r="WGH23" s="175"/>
      <c r="WGI23" s="175"/>
      <c r="WGJ23" s="175"/>
      <c r="WGK23" s="175"/>
      <c r="WGL23" s="175"/>
      <c r="WGM23" s="175"/>
      <c r="WGN23" s="175"/>
      <c r="WGO23" s="175"/>
      <c r="WGP23" s="175"/>
      <c r="WGQ23" s="175"/>
      <c r="WGR23" s="175"/>
      <c r="WGS23" s="175"/>
      <c r="WGT23" s="175"/>
      <c r="WGU23" s="175"/>
      <c r="WGV23" s="175"/>
      <c r="WGW23" s="175"/>
      <c r="WGX23" s="175"/>
      <c r="WGY23" s="175"/>
      <c r="WGZ23" s="175"/>
      <c r="WHA23" s="175"/>
      <c r="WHB23" s="175"/>
      <c r="WHC23" s="175"/>
      <c r="WHD23" s="175"/>
      <c r="WHE23" s="175"/>
      <c r="WHF23" s="175"/>
      <c r="WHG23" s="175"/>
      <c r="WHH23" s="175"/>
      <c r="WHI23" s="175"/>
      <c r="WHJ23" s="175"/>
      <c r="WHK23" s="175"/>
      <c r="WHL23" s="175"/>
      <c r="WHM23" s="175"/>
      <c r="WHN23" s="175"/>
      <c r="WHO23" s="175"/>
      <c r="WHP23" s="175"/>
      <c r="WHQ23" s="175"/>
      <c r="WHR23" s="175"/>
      <c r="WHS23" s="175"/>
      <c r="WHT23" s="175"/>
      <c r="WHU23" s="175"/>
      <c r="WHV23" s="175"/>
      <c r="WHW23" s="175"/>
      <c r="WHX23" s="175"/>
      <c r="WHY23" s="175"/>
      <c r="WHZ23" s="175"/>
      <c r="WIA23" s="175"/>
      <c r="WIB23" s="175"/>
      <c r="WIC23" s="175"/>
      <c r="WID23" s="175"/>
      <c r="WIE23" s="175"/>
      <c r="WIF23" s="175"/>
      <c r="WIG23" s="175"/>
      <c r="WIH23" s="175"/>
      <c r="WII23" s="175"/>
      <c r="WIJ23" s="175"/>
      <c r="WIK23" s="175"/>
      <c r="WIL23" s="175"/>
      <c r="WIM23" s="175"/>
      <c r="WIN23" s="175"/>
      <c r="WIO23" s="175"/>
      <c r="WIP23" s="175"/>
      <c r="WIQ23" s="175"/>
      <c r="WIR23" s="175"/>
      <c r="WIS23" s="175"/>
      <c r="WIT23" s="175"/>
      <c r="WIU23" s="175"/>
      <c r="WIV23" s="175"/>
      <c r="WIW23" s="175"/>
      <c r="WIX23" s="175"/>
      <c r="WIY23" s="175"/>
      <c r="WIZ23" s="175"/>
      <c r="WJA23" s="175"/>
      <c r="WJB23" s="175"/>
      <c r="WJC23" s="175"/>
      <c r="WJD23" s="175"/>
      <c r="WJE23" s="175"/>
      <c r="WJF23" s="175"/>
      <c r="WJG23" s="175"/>
      <c r="WJH23" s="175"/>
      <c r="WJI23" s="175"/>
      <c r="WJJ23" s="175"/>
      <c r="WJK23" s="175"/>
      <c r="WJL23" s="175"/>
      <c r="WJM23" s="175"/>
      <c r="WJN23" s="175"/>
      <c r="WJO23" s="175"/>
      <c r="WJP23" s="175"/>
      <c r="WJQ23" s="175"/>
      <c r="WJR23" s="175"/>
      <c r="WJS23" s="175"/>
      <c r="WJT23" s="175"/>
      <c r="WJU23" s="175"/>
      <c r="WJV23" s="175"/>
      <c r="WJW23" s="175"/>
      <c r="WJX23" s="175"/>
      <c r="WJY23" s="175"/>
      <c r="WJZ23" s="175"/>
      <c r="WKA23" s="175"/>
      <c r="WKB23" s="175"/>
      <c r="WKC23" s="175"/>
      <c r="WKD23" s="175"/>
      <c r="WKE23" s="175"/>
      <c r="WKF23" s="175"/>
      <c r="WKG23" s="175"/>
      <c r="WKH23" s="175"/>
      <c r="WKI23" s="175"/>
      <c r="WKJ23" s="175"/>
      <c r="WKK23" s="175"/>
      <c r="WKL23" s="175"/>
      <c r="WKM23" s="175"/>
      <c r="WKN23" s="175"/>
      <c r="WKO23" s="175"/>
      <c r="WKP23" s="175"/>
      <c r="WKQ23" s="175"/>
      <c r="WKR23" s="175"/>
      <c r="WKS23" s="175"/>
      <c r="WKT23" s="175"/>
      <c r="WKU23" s="175"/>
      <c r="WKV23" s="175"/>
      <c r="WKW23" s="175"/>
      <c r="WKX23" s="175"/>
      <c r="WKY23" s="175"/>
      <c r="WKZ23" s="175"/>
      <c r="WLA23" s="175"/>
      <c r="WLB23" s="175"/>
      <c r="WLC23" s="175"/>
      <c r="WLD23" s="175"/>
      <c r="WLE23" s="175"/>
      <c r="WLF23" s="175"/>
      <c r="WLG23" s="175"/>
      <c r="WLH23" s="175"/>
      <c r="WLI23" s="175"/>
      <c r="WLJ23" s="175"/>
      <c r="WLK23" s="175"/>
      <c r="WLL23" s="175"/>
      <c r="WLM23" s="175"/>
      <c r="WLN23" s="175"/>
      <c r="WLO23" s="175"/>
      <c r="WLP23" s="175"/>
      <c r="WLQ23" s="175"/>
      <c r="WLR23" s="175"/>
      <c r="WLS23" s="175"/>
      <c r="WLT23" s="175"/>
      <c r="WLU23" s="175"/>
      <c r="WLV23" s="175"/>
      <c r="WLW23" s="175"/>
      <c r="WLX23" s="175"/>
      <c r="WLY23" s="175"/>
      <c r="WLZ23" s="175"/>
      <c r="WMA23" s="175"/>
      <c r="WMB23" s="175"/>
      <c r="WMC23" s="175"/>
      <c r="WMD23" s="175"/>
      <c r="WME23" s="175"/>
      <c r="WMF23" s="175"/>
      <c r="WMG23" s="175"/>
      <c r="WMH23" s="175"/>
      <c r="WMI23" s="175"/>
      <c r="WMJ23" s="175"/>
      <c r="WMK23" s="175"/>
      <c r="WML23" s="175"/>
      <c r="WMM23" s="175"/>
      <c r="WMN23" s="175"/>
      <c r="WMO23" s="175"/>
      <c r="WMP23" s="175"/>
      <c r="WMQ23" s="175"/>
      <c r="WMR23" s="175"/>
      <c r="WMS23" s="175"/>
      <c r="WMT23" s="175"/>
      <c r="WMU23" s="175"/>
      <c r="WMV23" s="175"/>
      <c r="WMW23" s="175"/>
      <c r="WMX23" s="175"/>
      <c r="WMY23" s="175"/>
      <c r="WMZ23" s="175"/>
      <c r="WNA23" s="175"/>
      <c r="WNB23" s="175"/>
      <c r="WNC23" s="175"/>
      <c r="WND23" s="175"/>
      <c r="WNE23" s="175"/>
      <c r="WNF23" s="175"/>
      <c r="WNG23" s="175"/>
      <c r="WNH23" s="175"/>
      <c r="WNI23" s="175"/>
      <c r="WNJ23" s="175"/>
      <c r="WNK23" s="175"/>
      <c r="WNL23" s="175"/>
      <c r="WNM23" s="175"/>
      <c r="WNN23" s="175"/>
      <c r="WNO23" s="175"/>
      <c r="WNP23" s="175"/>
      <c r="WNQ23" s="175"/>
      <c r="WNR23" s="175"/>
      <c r="WNS23" s="175"/>
      <c r="WNT23" s="175"/>
      <c r="WNU23" s="175"/>
      <c r="WNV23" s="175"/>
      <c r="WNW23" s="175"/>
      <c r="WNX23" s="175"/>
      <c r="WNY23" s="175"/>
      <c r="WNZ23" s="175"/>
      <c r="WOA23" s="175"/>
      <c r="WOB23" s="175"/>
      <c r="WOC23" s="175"/>
      <c r="WOD23" s="175"/>
      <c r="WOE23" s="175"/>
      <c r="WOF23" s="175"/>
      <c r="WOG23" s="175"/>
      <c r="WOH23" s="175"/>
      <c r="WOI23" s="175"/>
      <c r="WOJ23" s="175"/>
      <c r="WOK23" s="175"/>
      <c r="WOL23" s="175"/>
      <c r="WOM23" s="175"/>
      <c r="WON23" s="175"/>
      <c r="WOO23" s="175"/>
      <c r="WOP23" s="175"/>
      <c r="WOQ23" s="175"/>
      <c r="WOR23" s="175"/>
      <c r="WOS23" s="175"/>
      <c r="WOT23" s="175"/>
      <c r="WOU23" s="175"/>
      <c r="WOV23" s="175"/>
      <c r="WOW23" s="175"/>
      <c r="WOX23" s="175"/>
      <c r="WOY23" s="175"/>
      <c r="WOZ23" s="175"/>
      <c r="WPA23" s="175"/>
      <c r="WPB23" s="175"/>
      <c r="WPC23" s="175"/>
      <c r="WPD23" s="175"/>
      <c r="WPE23" s="175"/>
      <c r="WPF23" s="175"/>
      <c r="WPG23" s="175"/>
      <c r="WPH23" s="175"/>
      <c r="WPI23" s="175"/>
      <c r="WPJ23" s="175"/>
      <c r="WPK23" s="175"/>
      <c r="WPL23" s="175"/>
      <c r="WPM23" s="175"/>
      <c r="WPN23" s="175"/>
      <c r="WPO23" s="175"/>
      <c r="WPP23" s="175"/>
      <c r="WPQ23" s="175"/>
      <c r="WPR23" s="175"/>
      <c r="WPS23" s="175"/>
      <c r="WPT23" s="175"/>
      <c r="WPU23" s="175"/>
      <c r="WPV23" s="175"/>
      <c r="WPW23" s="175"/>
      <c r="WPX23" s="175"/>
      <c r="WPY23" s="175"/>
      <c r="WPZ23" s="175"/>
      <c r="WQA23" s="175"/>
      <c r="WQB23" s="175"/>
      <c r="WQC23" s="175"/>
      <c r="WQD23" s="175"/>
      <c r="WQE23" s="175"/>
      <c r="WQF23" s="175"/>
      <c r="WQG23" s="175"/>
      <c r="WQH23" s="175"/>
      <c r="WQI23" s="175"/>
      <c r="WQJ23" s="175"/>
      <c r="WQK23" s="175"/>
      <c r="WQL23" s="175"/>
      <c r="WQM23" s="175"/>
      <c r="WQN23" s="175"/>
      <c r="WQO23" s="175"/>
      <c r="WQP23" s="175"/>
      <c r="WQQ23" s="175"/>
      <c r="WQR23" s="175"/>
      <c r="WQS23" s="175"/>
      <c r="WQT23" s="175"/>
      <c r="WQU23" s="175"/>
      <c r="WQV23" s="175"/>
      <c r="WQW23" s="175"/>
      <c r="WQX23" s="175"/>
      <c r="WQY23" s="175"/>
      <c r="WQZ23" s="175"/>
      <c r="WRA23" s="175"/>
      <c r="WRB23" s="175"/>
      <c r="WRC23" s="175"/>
      <c r="WRD23" s="175"/>
      <c r="WRE23" s="175"/>
      <c r="WRF23" s="175"/>
      <c r="WRG23" s="175"/>
      <c r="WRH23" s="175"/>
      <c r="WRI23" s="175"/>
      <c r="WRJ23" s="175"/>
      <c r="WRK23" s="175"/>
      <c r="WRL23" s="175"/>
      <c r="WRM23" s="175"/>
      <c r="WRN23" s="175"/>
      <c r="WRO23" s="175"/>
      <c r="WRP23" s="175"/>
      <c r="WRQ23" s="175"/>
      <c r="WRR23" s="175"/>
      <c r="WRS23" s="175"/>
      <c r="WRT23" s="175"/>
      <c r="WRU23" s="175"/>
      <c r="WRV23" s="175"/>
      <c r="WRW23" s="175"/>
      <c r="WRX23" s="175"/>
      <c r="WRY23" s="175"/>
      <c r="WRZ23" s="175"/>
      <c r="WSA23" s="175"/>
      <c r="WSB23" s="175"/>
      <c r="WSC23" s="175"/>
      <c r="WSD23" s="175"/>
      <c r="WSE23" s="175"/>
      <c r="WSF23" s="175"/>
      <c r="WSG23" s="175"/>
      <c r="WSH23" s="175"/>
      <c r="WSI23" s="175"/>
      <c r="WSJ23" s="175"/>
      <c r="WSK23" s="175"/>
      <c r="WSL23" s="175"/>
      <c r="WSM23" s="175"/>
      <c r="WSN23" s="175"/>
      <c r="WSO23" s="175"/>
      <c r="WSP23" s="175"/>
      <c r="WSQ23" s="175"/>
      <c r="WSR23" s="175"/>
      <c r="WSS23" s="175"/>
      <c r="WST23" s="175"/>
      <c r="WSU23" s="175"/>
      <c r="WSV23" s="175"/>
      <c r="WSW23" s="175"/>
      <c r="WSX23" s="175"/>
      <c r="WSY23" s="175"/>
      <c r="WSZ23" s="175"/>
      <c r="WTA23" s="175"/>
      <c r="WTB23" s="175"/>
      <c r="WTC23" s="175"/>
      <c r="WTD23" s="175"/>
      <c r="WTE23" s="175"/>
      <c r="WTF23" s="175"/>
      <c r="WTG23" s="175"/>
      <c r="WTH23" s="175"/>
      <c r="WTI23" s="175"/>
      <c r="WTJ23" s="175"/>
      <c r="WTK23" s="175"/>
      <c r="WTL23" s="175"/>
      <c r="WTM23" s="175"/>
      <c r="WTN23" s="175"/>
      <c r="WTO23" s="175"/>
      <c r="WTP23" s="175"/>
      <c r="WTQ23" s="175"/>
      <c r="WTR23" s="175"/>
      <c r="WTS23" s="175"/>
      <c r="WTT23" s="175"/>
      <c r="WTU23" s="175"/>
      <c r="WTV23" s="175"/>
      <c r="WTW23" s="175"/>
      <c r="WTX23" s="175"/>
      <c r="WTY23" s="175"/>
      <c r="WTZ23" s="175"/>
      <c r="WUA23" s="175"/>
      <c r="WUB23" s="175"/>
      <c r="WUC23" s="175"/>
      <c r="WUD23" s="175"/>
      <c r="WUE23" s="175"/>
      <c r="WUF23" s="175"/>
      <c r="WUG23" s="175"/>
      <c r="WUH23" s="175"/>
      <c r="WUI23" s="175"/>
      <c r="WUJ23" s="175"/>
      <c r="WUK23" s="175"/>
      <c r="WUL23" s="175"/>
      <c r="WUM23" s="175"/>
      <c r="WUN23" s="175"/>
      <c r="WUO23" s="175"/>
      <c r="WUP23" s="175"/>
      <c r="WUQ23" s="175"/>
      <c r="WUR23" s="175"/>
      <c r="WUS23" s="175"/>
      <c r="WUT23" s="175"/>
      <c r="WUU23" s="175"/>
      <c r="WUV23" s="175"/>
      <c r="WUW23" s="175"/>
      <c r="WUX23" s="175"/>
      <c r="WUY23" s="175"/>
      <c r="WUZ23" s="175"/>
      <c r="WVA23" s="175"/>
      <c r="WVB23" s="175"/>
      <c r="WVC23" s="175"/>
      <c r="WVD23" s="175"/>
      <c r="WVE23" s="175"/>
      <c r="WVF23" s="175"/>
      <c r="WVG23" s="175"/>
      <c r="WVH23" s="175"/>
      <c r="WVI23" s="175"/>
      <c r="WVJ23" s="175"/>
      <c r="WVK23" s="175"/>
      <c r="WVL23" s="175"/>
      <c r="WVM23" s="175"/>
      <c r="WVN23" s="175"/>
      <c r="WVO23" s="175"/>
      <c r="WVP23" s="175"/>
      <c r="WVQ23" s="175"/>
      <c r="WVR23" s="175"/>
      <c r="WVS23" s="175"/>
      <c r="WVT23" s="175"/>
      <c r="WVU23" s="175"/>
      <c r="WVV23" s="175"/>
      <c r="WVW23" s="175"/>
      <c r="WVX23" s="175"/>
      <c r="WVY23" s="175"/>
      <c r="WVZ23" s="175"/>
      <c r="WWA23" s="175"/>
      <c r="WWB23" s="175"/>
      <c r="WWC23" s="175"/>
      <c r="WWD23" s="175"/>
      <c r="WWE23" s="175"/>
      <c r="WWF23" s="175"/>
      <c r="WWG23" s="175"/>
      <c r="WWH23" s="175"/>
      <c r="WWI23" s="175"/>
      <c r="WWJ23" s="175"/>
      <c r="WWK23" s="175"/>
      <c r="WWL23" s="175"/>
      <c r="WWM23" s="175"/>
      <c r="WWN23" s="175"/>
      <c r="WWO23" s="175"/>
      <c r="WWP23" s="175"/>
      <c r="WWQ23" s="175"/>
      <c r="WWR23" s="175"/>
      <c r="WWS23" s="175"/>
      <c r="WWT23" s="175"/>
      <c r="WWU23" s="175"/>
      <c r="WWV23" s="175"/>
      <c r="WWW23" s="175"/>
      <c r="WWX23" s="175"/>
      <c r="WWY23" s="175"/>
      <c r="WWZ23" s="175"/>
      <c r="WXA23" s="175"/>
      <c r="WXB23" s="175"/>
      <c r="WXC23" s="175"/>
      <c r="WXD23" s="175"/>
      <c r="WXE23" s="175"/>
      <c r="WXF23" s="175"/>
      <c r="WXG23" s="175"/>
      <c r="WXH23" s="175"/>
      <c r="WXI23" s="175"/>
      <c r="WXJ23" s="175"/>
      <c r="WXK23" s="175"/>
      <c r="WXL23" s="175"/>
      <c r="WXM23" s="175"/>
      <c r="WXN23" s="175"/>
      <c r="WXO23" s="175"/>
      <c r="WXP23" s="175"/>
      <c r="WXQ23" s="175"/>
      <c r="WXR23" s="175"/>
      <c r="WXS23" s="175"/>
      <c r="WXT23" s="175"/>
      <c r="WXU23" s="175"/>
      <c r="WXV23" s="175"/>
      <c r="WXW23" s="175"/>
      <c r="WXX23" s="175"/>
      <c r="WXY23" s="175"/>
      <c r="WXZ23" s="175"/>
      <c r="WYA23" s="175"/>
      <c r="WYB23" s="175"/>
      <c r="WYC23" s="175"/>
      <c r="WYD23" s="175"/>
      <c r="WYE23" s="175"/>
      <c r="WYF23" s="175"/>
      <c r="WYG23" s="175"/>
      <c r="WYH23" s="175"/>
      <c r="WYI23" s="175"/>
      <c r="WYJ23" s="175"/>
      <c r="WYK23" s="175"/>
      <c r="WYL23" s="175"/>
      <c r="WYM23" s="175"/>
      <c r="WYN23" s="175"/>
      <c r="WYO23" s="175"/>
      <c r="WYP23" s="175"/>
      <c r="WYQ23" s="175"/>
      <c r="WYR23" s="175"/>
      <c r="WYS23" s="175"/>
      <c r="WYT23" s="175"/>
      <c r="WYU23" s="175"/>
      <c r="WYV23" s="175"/>
      <c r="WYW23" s="175"/>
      <c r="WYX23" s="175"/>
      <c r="WYY23" s="175"/>
      <c r="WYZ23" s="175"/>
      <c r="WZA23" s="175"/>
      <c r="WZB23" s="175"/>
      <c r="WZC23" s="175"/>
      <c r="WZD23" s="175"/>
      <c r="WZE23" s="175"/>
      <c r="WZF23" s="175"/>
      <c r="WZG23" s="175"/>
      <c r="WZH23" s="175"/>
      <c r="WZI23" s="175"/>
      <c r="WZJ23" s="175"/>
      <c r="WZK23" s="175"/>
      <c r="WZL23" s="175"/>
      <c r="WZM23" s="175"/>
      <c r="WZN23" s="175"/>
      <c r="WZO23" s="175"/>
      <c r="WZP23" s="175"/>
      <c r="WZQ23" s="175"/>
      <c r="WZR23" s="175"/>
      <c r="WZS23" s="175"/>
      <c r="WZT23" s="175"/>
      <c r="WZU23" s="175"/>
      <c r="WZV23" s="175"/>
      <c r="WZW23" s="175"/>
      <c r="WZX23" s="175"/>
      <c r="WZY23" s="175"/>
      <c r="WZZ23" s="175"/>
      <c r="XAA23" s="175"/>
      <c r="XAB23" s="175"/>
      <c r="XAC23" s="175"/>
      <c r="XAD23" s="175"/>
      <c r="XAE23" s="175"/>
      <c r="XAF23" s="175"/>
      <c r="XAG23" s="175"/>
      <c r="XAH23" s="175"/>
      <c r="XAI23" s="175"/>
      <c r="XAJ23" s="175"/>
      <c r="XAK23" s="175"/>
      <c r="XAL23" s="175"/>
      <c r="XAM23" s="175"/>
      <c r="XAN23" s="175"/>
      <c r="XAO23" s="175"/>
      <c r="XAP23" s="175"/>
      <c r="XAQ23" s="175"/>
      <c r="XAR23" s="175"/>
      <c r="XAS23" s="175"/>
      <c r="XAT23" s="175"/>
      <c r="XAU23" s="175"/>
      <c r="XAV23" s="175"/>
      <c r="XAW23" s="175"/>
      <c r="XAX23" s="175"/>
      <c r="XAY23" s="175"/>
      <c r="XAZ23" s="175"/>
      <c r="XBA23" s="175"/>
      <c r="XBB23" s="175"/>
      <c r="XBC23" s="175"/>
      <c r="XBD23" s="175"/>
      <c r="XBE23" s="175"/>
      <c r="XBF23" s="175"/>
      <c r="XBG23" s="175"/>
      <c r="XBH23" s="175"/>
      <c r="XBI23" s="175"/>
      <c r="XBJ23" s="175"/>
      <c r="XBK23" s="175"/>
      <c r="XBL23" s="175"/>
      <c r="XBM23" s="175"/>
      <c r="XBN23" s="175"/>
      <c r="XBO23" s="175"/>
      <c r="XBP23" s="175"/>
      <c r="XBQ23" s="175"/>
      <c r="XBR23" s="175"/>
      <c r="XBS23" s="175"/>
      <c r="XBT23" s="175"/>
      <c r="XBU23" s="175"/>
      <c r="XBV23" s="175"/>
      <c r="XBW23" s="175"/>
      <c r="XBX23" s="175"/>
      <c r="XBY23" s="175"/>
      <c r="XBZ23" s="175"/>
      <c r="XCA23" s="175"/>
      <c r="XCB23" s="175"/>
      <c r="XCC23" s="175"/>
      <c r="XCD23" s="175"/>
      <c r="XCE23" s="175"/>
      <c r="XCF23" s="175"/>
      <c r="XCG23" s="175"/>
      <c r="XCH23" s="175"/>
      <c r="XCI23" s="175"/>
      <c r="XCJ23" s="175"/>
      <c r="XCK23" s="175"/>
      <c r="XCL23" s="175"/>
      <c r="XCM23" s="175"/>
      <c r="XCN23" s="175"/>
      <c r="XCO23" s="175"/>
      <c r="XCP23" s="175"/>
      <c r="XCQ23" s="175"/>
      <c r="XCR23" s="175"/>
      <c r="XCS23" s="175"/>
      <c r="XCT23" s="175"/>
      <c r="XCU23" s="175"/>
      <c r="XCV23" s="175"/>
      <c r="XCW23" s="175"/>
      <c r="XCX23" s="175"/>
      <c r="XCY23" s="175"/>
      <c r="XCZ23" s="175"/>
      <c r="XDA23" s="175"/>
      <c r="XDB23" s="175"/>
      <c r="XDC23" s="175"/>
      <c r="XDD23" s="175"/>
      <c r="XDE23" s="175"/>
      <c r="XDF23" s="175"/>
      <c r="XDG23" s="175"/>
      <c r="XDH23" s="175"/>
      <c r="XDI23" s="175"/>
      <c r="XDJ23" s="175"/>
      <c r="XDK23" s="175"/>
      <c r="XDL23" s="175"/>
      <c r="XDM23" s="175"/>
      <c r="XDN23" s="175"/>
      <c r="XDO23" s="175"/>
      <c r="XDP23" s="175"/>
      <c r="XDQ23" s="175"/>
      <c r="XDR23" s="175"/>
      <c r="XDS23" s="175"/>
      <c r="XDT23" s="175"/>
      <c r="XDU23" s="175"/>
      <c r="XDV23" s="175"/>
      <c r="XDW23" s="175"/>
      <c r="XDX23" s="175"/>
      <c r="XDY23" s="175"/>
      <c r="XDZ23" s="175"/>
      <c r="XEA23" s="175"/>
      <c r="XEB23" s="175"/>
      <c r="XEC23" s="175"/>
      <c r="XED23" s="175"/>
      <c r="XEE23" s="175"/>
      <c r="XEF23" s="175"/>
      <c r="XEG23" s="175"/>
      <c r="XEH23" s="175"/>
      <c r="XEI23" s="175"/>
      <c r="XEJ23" s="175"/>
      <c r="XEK23" s="175"/>
      <c r="XEL23" s="175"/>
      <c r="XEM23" s="175"/>
      <c r="XEN23" s="175"/>
      <c r="XEO23" s="175"/>
      <c r="XEP23" s="175"/>
      <c r="XEQ23" s="175"/>
      <c r="XER23" s="175"/>
      <c r="XES23" s="175"/>
      <c r="XET23" s="175"/>
      <c r="XEU23" s="175"/>
      <c r="XEV23" s="175"/>
      <c r="XEW23" s="175"/>
      <c r="XEX23" s="175"/>
      <c r="XEY23" s="175"/>
      <c r="XEZ23" s="175"/>
      <c r="XFA23" s="175"/>
      <c r="XFB23" s="175"/>
      <c r="XFC23" s="175"/>
      <c r="XFD23" s="175"/>
    </row>
    <row r="24" spans="1:16384" x14ac:dyDescent="0.2">
      <c r="A24" s="68">
        <v>20</v>
      </c>
      <c r="B24" s="77" t="s">
        <v>587</v>
      </c>
      <c r="C24" s="76" t="s">
        <v>836</v>
      </c>
      <c r="D24" s="76" t="s">
        <v>836</v>
      </c>
      <c r="E24" s="69">
        <v>4</v>
      </c>
      <c r="F24" s="70">
        <v>11</v>
      </c>
    </row>
    <row r="25" spans="1:16384" s="103" customFormat="1" ht="15.75" thickBot="1" x14ac:dyDescent="0.25">
      <c r="A25" s="186"/>
      <c r="B25" s="179" t="s">
        <v>588</v>
      </c>
      <c r="C25" s="188" t="s">
        <v>590</v>
      </c>
      <c r="D25" s="189" t="s">
        <v>590</v>
      </c>
      <c r="E25" s="188">
        <v>9</v>
      </c>
      <c r="F25" s="189">
        <v>10</v>
      </c>
    </row>
    <row r="26" spans="1:16384" x14ac:dyDescent="0.2">
      <c r="A26" s="68">
        <v>22</v>
      </c>
      <c r="B26" s="179" t="s">
        <v>583</v>
      </c>
      <c r="C26" s="76" t="s">
        <v>589</v>
      </c>
      <c r="D26" s="76" t="s">
        <v>258</v>
      </c>
      <c r="E26" s="69">
        <v>9</v>
      </c>
      <c r="F26" s="70">
        <v>8</v>
      </c>
    </row>
    <row r="27" spans="1:16384" x14ac:dyDescent="0.2">
      <c r="A27" s="68">
        <v>23</v>
      </c>
      <c r="B27" s="77" t="s">
        <v>584</v>
      </c>
      <c r="C27" s="76" t="s">
        <v>589</v>
      </c>
      <c r="D27" s="76" t="s">
        <v>258</v>
      </c>
      <c r="E27" s="69">
        <v>9</v>
      </c>
      <c r="F27" s="70">
        <v>9</v>
      </c>
    </row>
    <row r="28" spans="1:16384" s="103" customFormat="1" x14ac:dyDescent="0.2">
      <c r="A28" s="178">
        <v>24</v>
      </c>
      <c r="B28" s="75" t="s">
        <v>585</v>
      </c>
      <c r="C28" s="76" t="s">
        <v>589</v>
      </c>
      <c r="D28" s="76" t="s">
        <v>589</v>
      </c>
      <c r="E28" s="180">
        <v>14</v>
      </c>
      <c r="F28" s="181">
        <v>11</v>
      </c>
    </row>
    <row r="29" spans="1:16384" x14ac:dyDescent="0.2">
      <c r="A29" s="68">
        <v>25</v>
      </c>
      <c r="B29" s="77" t="s">
        <v>586</v>
      </c>
      <c r="C29" s="76" t="s">
        <v>591</v>
      </c>
      <c r="D29" s="76" t="s">
        <v>591</v>
      </c>
      <c r="E29" s="69">
        <v>8</v>
      </c>
      <c r="F29" s="70">
        <v>11</v>
      </c>
    </row>
    <row r="30" spans="1:16384" s="182" customFormat="1" x14ac:dyDescent="0.2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  <c r="IR30" s="175"/>
      <c r="IS30" s="175"/>
      <c r="IT30" s="175"/>
      <c r="IU30" s="175"/>
      <c r="IV30" s="175"/>
      <c r="IW30" s="175"/>
      <c r="IX30" s="175"/>
      <c r="IY30" s="175"/>
      <c r="IZ30" s="175"/>
      <c r="JA30" s="175"/>
      <c r="JB30" s="175"/>
      <c r="JC30" s="175"/>
      <c r="JD30" s="175"/>
      <c r="JE30" s="175"/>
      <c r="JF30" s="175"/>
      <c r="JG30" s="175"/>
      <c r="JH30" s="175"/>
      <c r="JI30" s="175"/>
      <c r="JJ30" s="175"/>
      <c r="JK30" s="175"/>
      <c r="JL30" s="175"/>
      <c r="JM30" s="175"/>
      <c r="JN30" s="175"/>
      <c r="JO30" s="175"/>
      <c r="JP30" s="175"/>
      <c r="JQ30" s="175"/>
      <c r="JR30" s="175"/>
      <c r="JS30" s="175"/>
      <c r="JT30" s="175"/>
      <c r="JU30" s="175"/>
      <c r="JV30" s="175"/>
      <c r="JW30" s="175"/>
      <c r="JX30" s="175"/>
      <c r="JY30" s="175"/>
      <c r="JZ30" s="175"/>
      <c r="KA30" s="175"/>
      <c r="KB30" s="175"/>
      <c r="KC30" s="175"/>
      <c r="KD30" s="175"/>
      <c r="KE30" s="175"/>
      <c r="KF30" s="175"/>
      <c r="KG30" s="175"/>
      <c r="KH30" s="175"/>
      <c r="KI30" s="175"/>
      <c r="KJ30" s="175"/>
      <c r="KK30" s="175"/>
      <c r="KL30" s="175"/>
      <c r="KM30" s="175"/>
      <c r="KN30" s="175"/>
      <c r="KO30" s="175"/>
      <c r="KP30" s="175"/>
      <c r="KQ30" s="175"/>
      <c r="KR30" s="175"/>
      <c r="KS30" s="175"/>
      <c r="KT30" s="175"/>
      <c r="KU30" s="175"/>
      <c r="KV30" s="175"/>
      <c r="KW30" s="175"/>
      <c r="KX30" s="175"/>
      <c r="KY30" s="175"/>
      <c r="KZ30" s="175"/>
      <c r="LA30" s="175"/>
      <c r="LB30" s="175"/>
      <c r="LC30" s="175"/>
      <c r="LD30" s="175"/>
      <c r="LE30" s="175"/>
      <c r="LF30" s="175"/>
      <c r="LG30" s="175"/>
      <c r="LH30" s="175"/>
      <c r="LI30" s="175"/>
      <c r="LJ30" s="175"/>
      <c r="LK30" s="175"/>
      <c r="LL30" s="175"/>
      <c r="LM30" s="175"/>
      <c r="LN30" s="175"/>
      <c r="LO30" s="175"/>
      <c r="LP30" s="175"/>
      <c r="LQ30" s="175"/>
      <c r="LR30" s="175"/>
      <c r="LS30" s="175"/>
      <c r="LT30" s="175"/>
      <c r="LU30" s="175"/>
      <c r="LV30" s="175"/>
      <c r="LW30" s="175"/>
      <c r="LX30" s="175"/>
      <c r="LY30" s="175"/>
      <c r="LZ30" s="175"/>
      <c r="MA30" s="175"/>
      <c r="MB30" s="175"/>
      <c r="MC30" s="175"/>
      <c r="MD30" s="175"/>
      <c r="ME30" s="175"/>
      <c r="MF30" s="175"/>
      <c r="MG30" s="175"/>
      <c r="MH30" s="175"/>
      <c r="MI30" s="175"/>
      <c r="MJ30" s="175"/>
      <c r="MK30" s="175"/>
      <c r="ML30" s="175"/>
      <c r="MM30" s="175"/>
      <c r="MN30" s="175"/>
      <c r="MO30" s="175"/>
      <c r="MP30" s="175"/>
      <c r="MQ30" s="175"/>
      <c r="MR30" s="175"/>
      <c r="MS30" s="175"/>
      <c r="MT30" s="175"/>
      <c r="MU30" s="175"/>
      <c r="MV30" s="175"/>
      <c r="MW30" s="175"/>
      <c r="MX30" s="175"/>
      <c r="MY30" s="175"/>
      <c r="MZ30" s="175"/>
      <c r="NA30" s="175"/>
      <c r="NB30" s="175"/>
      <c r="NC30" s="175"/>
      <c r="ND30" s="175"/>
      <c r="NE30" s="175"/>
      <c r="NF30" s="175"/>
      <c r="NG30" s="175"/>
      <c r="NH30" s="175"/>
      <c r="NI30" s="175"/>
      <c r="NJ30" s="175"/>
      <c r="NK30" s="175"/>
      <c r="NL30" s="175"/>
      <c r="NM30" s="175"/>
      <c r="NN30" s="175"/>
      <c r="NO30" s="175"/>
      <c r="NP30" s="175"/>
      <c r="NQ30" s="175"/>
      <c r="NR30" s="175"/>
      <c r="NS30" s="175"/>
      <c r="NT30" s="175"/>
      <c r="NU30" s="175"/>
      <c r="NV30" s="175"/>
      <c r="NW30" s="175"/>
      <c r="NX30" s="175"/>
      <c r="NY30" s="175"/>
      <c r="NZ30" s="175"/>
      <c r="OA30" s="175"/>
      <c r="OB30" s="175"/>
      <c r="OC30" s="175"/>
      <c r="OD30" s="175"/>
      <c r="OE30" s="175"/>
      <c r="OF30" s="175"/>
      <c r="OG30" s="175"/>
      <c r="OH30" s="175"/>
      <c r="OI30" s="175"/>
      <c r="OJ30" s="175"/>
      <c r="OK30" s="175"/>
      <c r="OL30" s="175"/>
      <c r="OM30" s="175"/>
      <c r="ON30" s="175"/>
      <c r="OO30" s="175"/>
      <c r="OP30" s="175"/>
      <c r="OQ30" s="175"/>
      <c r="OR30" s="175"/>
      <c r="OS30" s="175"/>
      <c r="OT30" s="175"/>
      <c r="OU30" s="175"/>
      <c r="OV30" s="175"/>
      <c r="OW30" s="175"/>
      <c r="OX30" s="175"/>
      <c r="OY30" s="175"/>
      <c r="OZ30" s="175"/>
      <c r="PA30" s="175"/>
      <c r="PB30" s="175"/>
      <c r="PC30" s="175"/>
      <c r="PD30" s="175"/>
      <c r="PE30" s="175"/>
      <c r="PF30" s="175"/>
      <c r="PG30" s="175"/>
      <c r="PH30" s="175"/>
      <c r="PI30" s="175"/>
      <c r="PJ30" s="175"/>
      <c r="PK30" s="175"/>
      <c r="PL30" s="175"/>
      <c r="PM30" s="175"/>
      <c r="PN30" s="175"/>
      <c r="PO30" s="175"/>
      <c r="PP30" s="175"/>
      <c r="PQ30" s="175"/>
      <c r="PR30" s="175"/>
      <c r="PS30" s="175"/>
      <c r="PT30" s="175"/>
      <c r="PU30" s="175"/>
      <c r="PV30" s="175"/>
      <c r="PW30" s="175"/>
      <c r="PX30" s="175"/>
      <c r="PY30" s="175"/>
      <c r="PZ30" s="175"/>
      <c r="QA30" s="175"/>
      <c r="QB30" s="175"/>
      <c r="QC30" s="175"/>
      <c r="QD30" s="175"/>
      <c r="QE30" s="175"/>
      <c r="QF30" s="175"/>
      <c r="QG30" s="175"/>
      <c r="QH30" s="175"/>
      <c r="QI30" s="175"/>
      <c r="QJ30" s="175"/>
      <c r="QK30" s="175"/>
      <c r="QL30" s="175"/>
      <c r="QM30" s="175"/>
      <c r="QN30" s="175"/>
      <c r="QO30" s="175"/>
      <c r="QP30" s="175"/>
      <c r="QQ30" s="175"/>
      <c r="QR30" s="175"/>
      <c r="QS30" s="175"/>
      <c r="QT30" s="175"/>
      <c r="QU30" s="175"/>
      <c r="QV30" s="175"/>
      <c r="QW30" s="175"/>
      <c r="QX30" s="175"/>
      <c r="QY30" s="175"/>
      <c r="QZ30" s="175"/>
      <c r="RA30" s="175"/>
      <c r="RB30" s="175"/>
      <c r="RC30" s="175"/>
      <c r="RD30" s="175"/>
      <c r="RE30" s="175"/>
      <c r="RF30" s="175"/>
      <c r="RG30" s="175"/>
      <c r="RH30" s="175"/>
      <c r="RI30" s="175"/>
      <c r="RJ30" s="175"/>
      <c r="RK30" s="175"/>
      <c r="RL30" s="175"/>
      <c r="RM30" s="175"/>
      <c r="RN30" s="175"/>
      <c r="RO30" s="175"/>
      <c r="RP30" s="175"/>
      <c r="RQ30" s="175"/>
      <c r="RR30" s="175"/>
      <c r="RS30" s="175"/>
      <c r="RT30" s="175"/>
      <c r="RU30" s="175"/>
      <c r="RV30" s="175"/>
      <c r="RW30" s="175"/>
      <c r="RX30" s="175"/>
      <c r="RY30" s="175"/>
      <c r="RZ30" s="175"/>
      <c r="SA30" s="175"/>
      <c r="SB30" s="175"/>
      <c r="SC30" s="175"/>
      <c r="SD30" s="175"/>
      <c r="SE30" s="175"/>
      <c r="SF30" s="175"/>
      <c r="SG30" s="175"/>
      <c r="SH30" s="175"/>
      <c r="SI30" s="175"/>
      <c r="SJ30" s="175"/>
      <c r="SK30" s="175"/>
      <c r="SL30" s="175"/>
      <c r="SM30" s="175"/>
      <c r="SN30" s="175"/>
      <c r="SO30" s="175"/>
      <c r="SP30" s="175"/>
      <c r="SQ30" s="175"/>
      <c r="SR30" s="175"/>
      <c r="SS30" s="175"/>
      <c r="ST30" s="175"/>
      <c r="SU30" s="175"/>
      <c r="SV30" s="175"/>
      <c r="SW30" s="175"/>
      <c r="SX30" s="175"/>
      <c r="SY30" s="175"/>
      <c r="SZ30" s="175"/>
      <c r="TA30" s="175"/>
      <c r="TB30" s="175"/>
      <c r="TC30" s="175"/>
      <c r="TD30" s="175"/>
      <c r="TE30" s="175"/>
      <c r="TF30" s="175"/>
      <c r="TG30" s="175"/>
      <c r="TH30" s="175"/>
      <c r="TI30" s="175"/>
      <c r="TJ30" s="175"/>
      <c r="TK30" s="175"/>
      <c r="TL30" s="175"/>
      <c r="TM30" s="175"/>
      <c r="TN30" s="175"/>
      <c r="TO30" s="175"/>
      <c r="TP30" s="175"/>
      <c r="TQ30" s="175"/>
      <c r="TR30" s="175"/>
      <c r="TS30" s="175"/>
      <c r="TT30" s="175"/>
      <c r="TU30" s="175"/>
      <c r="TV30" s="175"/>
      <c r="TW30" s="175"/>
      <c r="TX30" s="175"/>
      <c r="TY30" s="175"/>
      <c r="TZ30" s="175"/>
      <c r="UA30" s="175"/>
      <c r="UB30" s="175"/>
      <c r="UC30" s="175"/>
      <c r="UD30" s="175"/>
      <c r="UE30" s="175"/>
      <c r="UF30" s="175"/>
      <c r="UG30" s="175"/>
      <c r="UH30" s="175"/>
      <c r="UI30" s="175"/>
      <c r="UJ30" s="175"/>
      <c r="UK30" s="175"/>
      <c r="UL30" s="175"/>
      <c r="UM30" s="175"/>
      <c r="UN30" s="175"/>
      <c r="UO30" s="175"/>
      <c r="UP30" s="175"/>
      <c r="UQ30" s="175"/>
      <c r="UR30" s="175"/>
      <c r="US30" s="175"/>
      <c r="UT30" s="175"/>
      <c r="UU30" s="175"/>
      <c r="UV30" s="175"/>
      <c r="UW30" s="175"/>
      <c r="UX30" s="175"/>
      <c r="UY30" s="175"/>
      <c r="UZ30" s="175"/>
      <c r="VA30" s="175"/>
      <c r="VB30" s="175"/>
      <c r="VC30" s="175"/>
      <c r="VD30" s="175"/>
      <c r="VE30" s="175"/>
      <c r="VF30" s="175"/>
      <c r="VG30" s="175"/>
      <c r="VH30" s="175"/>
      <c r="VI30" s="175"/>
      <c r="VJ30" s="175"/>
      <c r="VK30" s="175"/>
      <c r="VL30" s="175"/>
      <c r="VM30" s="175"/>
      <c r="VN30" s="175"/>
      <c r="VO30" s="175"/>
      <c r="VP30" s="175"/>
      <c r="VQ30" s="175"/>
      <c r="VR30" s="175"/>
      <c r="VS30" s="175"/>
      <c r="VT30" s="175"/>
      <c r="VU30" s="175"/>
      <c r="VV30" s="175"/>
      <c r="VW30" s="175"/>
      <c r="VX30" s="175"/>
      <c r="VY30" s="175"/>
      <c r="VZ30" s="175"/>
      <c r="WA30" s="175"/>
      <c r="WB30" s="175"/>
      <c r="WC30" s="175"/>
      <c r="WD30" s="175"/>
      <c r="WE30" s="175"/>
      <c r="WF30" s="175"/>
      <c r="WG30" s="175"/>
      <c r="WH30" s="175"/>
      <c r="WI30" s="175"/>
      <c r="WJ30" s="175"/>
      <c r="WK30" s="175"/>
      <c r="WL30" s="175"/>
      <c r="WM30" s="175"/>
      <c r="WN30" s="175"/>
      <c r="WO30" s="175"/>
      <c r="WP30" s="175"/>
      <c r="WQ30" s="175"/>
      <c r="WR30" s="175"/>
      <c r="WS30" s="175"/>
      <c r="WT30" s="175"/>
      <c r="WU30" s="175"/>
      <c r="WV30" s="175"/>
      <c r="WW30" s="175"/>
      <c r="WX30" s="175"/>
      <c r="WY30" s="175"/>
      <c r="WZ30" s="175"/>
      <c r="XA30" s="175"/>
      <c r="XB30" s="175"/>
      <c r="XC30" s="175"/>
      <c r="XD30" s="175"/>
      <c r="XE30" s="175"/>
      <c r="XF30" s="175"/>
      <c r="XG30" s="175"/>
      <c r="XH30" s="175"/>
      <c r="XI30" s="175"/>
      <c r="XJ30" s="175"/>
      <c r="XK30" s="175"/>
      <c r="XL30" s="175"/>
      <c r="XM30" s="175"/>
      <c r="XN30" s="175"/>
      <c r="XO30" s="175"/>
      <c r="XP30" s="175"/>
      <c r="XQ30" s="175"/>
      <c r="XR30" s="175"/>
      <c r="XS30" s="175"/>
      <c r="XT30" s="175"/>
      <c r="XU30" s="175"/>
      <c r="XV30" s="175"/>
      <c r="XW30" s="175"/>
      <c r="XX30" s="175"/>
      <c r="XY30" s="175"/>
      <c r="XZ30" s="175"/>
      <c r="YA30" s="175"/>
      <c r="YB30" s="175"/>
      <c r="YC30" s="175"/>
      <c r="YD30" s="175"/>
      <c r="YE30" s="175"/>
      <c r="YF30" s="175"/>
      <c r="YG30" s="175"/>
      <c r="YH30" s="175"/>
      <c r="YI30" s="175"/>
      <c r="YJ30" s="175"/>
      <c r="YK30" s="175"/>
      <c r="YL30" s="175"/>
      <c r="YM30" s="175"/>
      <c r="YN30" s="175"/>
      <c r="YO30" s="175"/>
      <c r="YP30" s="175"/>
      <c r="YQ30" s="175"/>
      <c r="YR30" s="175"/>
      <c r="YS30" s="175"/>
      <c r="YT30" s="175"/>
      <c r="YU30" s="175"/>
      <c r="YV30" s="175"/>
      <c r="YW30" s="175"/>
      <c r="YX30" s="175"/>
      <c r="YY30" s="175"/>
      <c r="YZ30" s="175"/>
      <c r="ZA30" s="175"/>
      <c r="ZB30" s="175"/>
      <c r="ZC30" s="175"/>
      <c r="ZD30" s="175"/>
      <c r="ZE30" s="175"/>
      <c r="ZF30" s="175"/>
      <c r="ZG30" s="175"/>
      <c r="ZH30" s="175"/>
      <c r="ZI30" s="175"/>
      <c r="ZJ30" s="175"/>
      <c r="ZK30" s="175"/>
      <c r="ZL30" s="175"/>
      <c r="ZM30" s="175"/>
      <c r="ZN30" s="175"/>
      <c r="ZO30" s="175"/>
      <c r="ZP30" s="175"/>
      <c r="ZQ30" s="175"/>
      <c r="ZR30" s="175"/>
      <c r="ZS30" s="175"/>
      <c r="ZT30" s="175"/>
      <c r="ZU30" s="175"/>
      <c r="ZV30" s="175"/>
      <c r="ZW30" s="175"/>
      <c r="ZX30" s="175"/>
      <c r="ZY30" s="175"/>
      <c r="ZZ30" s="175"/>
      <c r="AAA30" s="175"/>
      <c r="AAB30" s="175"/>
      <c r="AAC30" s="175"/>
      <c r="AAD30" s="175"/>
      <c r="AAE30" s="175"/>
      <c r="AAF30" s="175"/>
      <c r="AAG30" s="175"/>
      <c r="AAH30" s="175"/>
      <c r="AAI30" s="175"/>
      <c r="AAJ30" s="175"/>
      <c r="AAK30" s="175"/>
      <c r="AAL30" s="175"/>
      <c r="AAM30" s="175"/>
      <c r="AAN30" s="175"/>
      <c r="AAO30" s="175"/>
      <c r="AAP30" s="175"/>
      <c r="AAQ30" s="175"/>
      <c r="AAR30" s="175"/>
      <c r="AAS30" s="175"/>
      <c r="AAT30" s="175"/>
      <c r="AAU30" s="175"/>
      <c r="AAV30" s="175"/>
      <c r="AAW30" s="175"/>
      <c r="AAX30" s="175"/>
      <c r="AAY30" s="175"/>
      <c r="AAZ30" s="175"/>
      <c r="ABA30" s="175"/>
      <c r="ABB30" s="175"/>
      <c r="ABC30" s="175"/>
      <c r="ABD30" s="175"/>
      <c r="ABE30" s="175"/>
      <c r="ABF30" s="175"/>
      <c r="ABG30" s="175"/>
      <c r="ABH30" s="175"/>
      <c r="ABI30" s="175"/>
      <c r="ABJ30" s="175"/>
      <c r="ABK30" s="175"/>
      <c r="ABL30" s="175"/>
      <c r="ABM30" s="175"/>
      <c r="ABN30" s="175"/>
      <c r="ABO30" s="175"/>
      <c r="ABP30" s="175"/>
      <c r="ABQ30" s="175"/>
      <c r="ABR30" s="175"/>
      <c r="ABS30" s="175"/>
      <c r="ABT30" s="175"/>
      <c r="ABU30" s="175"/>
      <c r="ABV30" s="175"/>
      <c r="ABW30" s="175"/>
      <c r="ABX30" s="175"/>
      <c r="ABY30" s="175"/>
      <c r="ABZ30" s="175"/>
      <c r="ACA30" s="175"/>
      <c r="ACB30" s="175"/>
      <c r="ACC30" s="175"/>
      <c r="ACD30" s="175"/>
      <c r="ACE30" s="175"/>
      <c r="ACF30" s="175"/>
      <c r="ACG30" s="175"/>
      <c r="ACH30" s="175"/>
      <c r="ACI30" s="175"/>
      <c r="ACJ30" s="175"/>
      <c r="ACK30" s="175"/>
      <c r="ACL30" s="175"/>
      <c r="ACM30" s="175"/>
      <c r="ACN30" s="175"/>
      <c r="ACO30" s="175"/>
      <c r="ACP30" s="175"/>
      <c r="ACQ30" s="175"/>
      <c r="ACR30" s="175"/>
      <c r="ACS30" s="175"/>
      <c r="ACT30" s="175"/>
      <c r="ACU30" s="175"/>
      <c r="ACV30" s="175"/>
      <c r="ACW30" s="175"/>
      <c r="ACX30" s="175"/>
      <c r="ACY30" s="175"/>
      <c r="ACZ30" s="175"/>
      <c r="ADA30" s="175"/>
      <c r="ADB30" s="175"/>
      <c r="ADC30" s="175"/>
      <c r="ADD30" s="175"/>
      <c r="ADE30" s="175"/>
      <c r="ADF30" s="175"/>
      <c r="ADG30" s="175"/>
      <c r="ADH30" s="175"/>
      <c r="ADI30" s="175"/>
      <c r="ADJ30" s="175"/>
      <c r="ADK30" s="175"/>
      <c r="ADL30" s="175"/>
      <c r="ADM30" s="175"/>
      <c r="ADN30" s="175"/>
      <c r="ADO30" s="175"/>
      <c r="ADP30" s="175"/>
      <c r="ADQ30" s="175"/>
      <c r="ADR30" s="175"/>
      <c r="ADS30" s="175"/>
      <c r="ADT30" s="175"/>
      <c r="ADU30" s="175"/>
      <c r="ADV30" s="175"/>
      <c r="ADW30" s="175"/>
      <c r="ADX30" s="175"/>
      <c r="ADY30" s="175"/>
      <c r="ADZ30" s="175"/>
      <c r="AEA30" s="175"/>
      <c r="AEB30" s="175"/>
      <c r="AEC30" s="175"/>
      <c r="AED30" s="175"/>
      <c r="AEE30" s="175"/>
      <c r="AEF30" s="175"/>
      <c r="AEG30" s="175"/>
      <c r="AEH30" s="175"/>
      <c r="AEI30" s="175"/>
      <c r="AEJ30" s="175"/>
      <c r="AEK30" s="175"/>
      <c r="AEL30" s="175"/>
      <c r="AEM30" s="175"/>
      <c r="AEN30" s="175"/>
      <c r="AEO30" s="175"/>
      <c r="AEP30" s="175"/>
      <c r="AEQ30" s="175"/>
      <c r="AER30" s="175"/>
      <c r="AES30" s="175"/>
      <c r="AET30" s="175"/>
      <c r="AEU30" s="175"/>
      <c r="AEV30" s="175"/>
      <c r="AEW30" s="175"/>
      <c r="AEX30" s="175"/>
      <c r="AEY30" s="175"/>
      <c r="AEZ30" s="175"/>
      <c r="AFA30" s="175"/>
      <c r="AFB30" s="175"/>
      <c r="AFC30" s="175"/>
      <c r="AFD30" s="175"/>
      <c r="AFE30" s="175"/>
      <c r="AFF30" s="175"/>
      <c r="AFG30" s="175"/>
      <c r="AFH30" s="175"/>
      <c r="AFI30" s="175"/>
      <c r="AFJ30" s="175"/>
      <c r="AFK30" s="175"/>
      <c r="AFL30" s="175"/>
      <c r="AFM30" s="175"/>
      <c r="AFN30" s="175"/>
      <c r="AFO30" s="175"/>
      <c r="AFP30" s="175"/>
      <c r="AFQ30" s="175"/>
      <c r="AFR30" s="175"/>
      <c r="AFS30" s="175"/>
      <c r="AFT30" s="175"/>
      <c r="AFU30" s="175"/>
      <c r="AFV30" s="175"/>
      <c r="AFW30" s="175"/>
      <c r="AFX30" s="175"/>
      <c r="AFY30" s="175"/>
      <c r="AFZ30" s="175"/>
      <c r="AGA30" s="175"/>
      <c r="AGB30" s="175"/>
      <c r="AGC30" s="175"/>
      <c r="AGD30" s="175"/>
      <c r="AGE30" s="175"/>
      <c r="AGF30" s="175"/>
      <c r="AGG30" s="175"/>
      <c r="AGH30" s="175"/>
      <c r="AGI30" s="175"/>
      <c r="AGJ30" s="175"/>
      <c r="AGK30" s="175"/>
      <c r="AGL30" s="175"/>
      <c r="AGM30" s="175"/>
      <c r="AGN30" s="175"/>
      <c r="AGO30" s="175"/>
      <c r="AGP30" s="175"/>
      <c r="AGQ30" s="175"/>
      <c r="AGR30" s="175"/>
      <c r="AGS30" s="175"/>
      <c r="AGT30" s="175"/>
      <c r="AGU30" s="175"/>
      <c r="AGV30" s="175"/>
      <c r="AGW30" s="175"/>
      <c r="AGX30" s="175"/>
      <c r="AGY30" s="175"/>
      <c r="AGZ30" s="175"/>
      <c r="AHA30" s="175"/>
      <c r="AHB30" s="175"/>
      <c r="AHC30" s="175"/>
      <c r="AHD30" s="175"/>
      <c r="AHE30" s="175"/>
      <c r="AHF30" s="175"/>
      <c r="AHG30" s="175"/>
      <c r="AHH30" s="175"/>
      <c r="AHI30" s="175"/>
      <c r="AHJ30" s="175"/>
      <c r="AHK30" s="175"/>
      <c r="AHL30" s="175"/>
      <c r="AHM30" s="175"/>
      <c r="AHN30" s="175"/>
      <c r="AHO30" s="175"/>
      <c r="AHP30" s="175"/>
      <c r="AHQ30" s="175"/>
      <c r="AHR30" s="175"/>
      <c r="AHS30" s="175"/>
      <c r="AHT30" s="175"/>
      <c r="AHU30" s="175"/>
      <c r="AHV30" s="175"/>
      <c r="AHW30" s="175"/>
      <c r="AHX30" s="175"/>
      <c r="AHY30" s="175"/>
      <c r="AHZ30" s="175"/>
      <c r="AIA30" s="175"/>
      <c r="AIB30" s="175"/>
      <c r="AIC30" s="175"/>
      <c r="AID30" s="175"/>
      <c r="AIE30" s="175"/>
      <c r="AIF30" s="175"/>
      <c r="AIG30" s="175"/>
      <c r="AIH30" s="175"/>
      <c r="AII30" s="175"/>
      <c r="AIJ30" s="175"/>
      <c r="AIK30" s="175"/>
      <c r="AIL30" s="175"/>
      <c r="AIM30" s="175"/>
      <c r="AIN30" s="175"/>
      <c r="AIO30" s="175"/>
      <c r="AIP30" s="175"/>
      <c r="AIQ30" s="175"/>
      <c r="AIR30" s="175"/>
      <c r="AIS30" s="175"/>
      <c r="AIT30" s="175"/>
      <c r="AIU30" s="175"/>
      <c r="AIV30" s="175"/>
      <c r="AIW30" s="175"/>
      <c r="AIX30" s="175"/>
      <c r="AIY30" s="175"/>
      <c r="AIZ30" s="175"/>
      <c r="AJA30" s="175"/>
      <c r="AJB30" s="175"/>
      <c r="AJC30" s="175"/>
      <c r="AJD30" s="175"/>
      <c r="AJE30" s="175"/>
      <c r="AJF30" s="175"/>
      <c r="AJG30" s="175"/>
      <c r="AJH30" s="175"/>
      <c r="AJI30" s="175"/>
      <c r="AJJ30" s="175"/>
      <c r="AJK30" s="175"/>
      <c r="AJL30" s="175"/>
      <c r="AJM30" s="175"/>
      <c r="AJN30" s="175"/>
      <c r="AJO30" s="175"/>
      <c r="AJP30" s="175"/>
      <c r="AJQ30" s="175"/>
      <c r="AJR30" s="175"/>
      <c r="AJS30" s="175"/>
      <c r="AJT30" s="175"/>
      <c r="AJU30" s="175"/>
      <c r="AJV30" s="175"/>
      <c r="AJW30" s="175"/>
      <c r="AJX30" s="175"/>
      <c r="AJY30" s="175"/>
      <c r="AJZ30" s="175"/>
      <c r="AKA30" s="175"/>
      <c r="AKB30" s="175"/>
      <c r="AKC30" s="175"/>
      <c r="AKD30" s="175"/>
      <c r="AKE30" s="175"/>
      <c r="AKF30" s="175"/>
      <c r="AKG30" s="175"/>
      <c r="AKH30" s="175"/>
      <c r="AKI30" s="175"/>
      <c r="AKJ30" s="175"/>
      <c r="AKK30" s="175"/>
      <c r="AKL30" s="175"/>
      <c r="AKM30" s="175"/>
      <c r="AKN30" s="175"/>
      <c r="AKO30" s="175"/>
      <c r="AKP30" s="175"/>
      <c r="AKQ30" s="175"/>
      <c r="AKR30" s="175"/>
      <c r="AKS30" s="175"/>
      <c r="AKT30" s="175"/>
      <c r="AKU30" s="175"/>
      <c r="AKV30" s="175"/>
      <c r="AKW30" s="175"/>
      <c r="AKX30" s="175"/>
      <c r="AKY30" s="175"/>
      <c r="AKZ30" s="175"/>
      <c r="ALA30" s="175"/>
      <c r="ALB30" s="175"/>
      <c r="ALC30" s="175"/>
      <c r="ALD30" s="175"/>
      <c r="ALE30" s="175"/>
      <c r="ALF30" s="175"/>
      <c r="ALG30" s="175"/>
      <c r="ALH30" s="175"/>
      <c r="ALI30" s="175"/>
      <c r="ALJ30" s="175"/>
      <c r="ALK30" s="175"/>
      <c r="ALL30" s="175"/>
      <c r="ALM30" s="175"/>
      <c r="ALN30" s="175"/>
      <c r="ALO30" s="175"/>
      <c r="ALP30" s="175"/>
      <c r="ALQ30" s="175"/>
      <c r="ALR30" s="175"/>
      <c r="ALS30" s="175"/>
      <c r="ALT30" s="175"/>
      <c r="ALU30" s="175"/>
      <c r="ALV30" s="175"/>
      <c r="ALW30" s="175"/>
      <c r="ALX30" s="175"/>
      <c r="ALY30" s="175"/>
      <c r="ALZ30" s="175"/>
      <c r="AMA30" s="175"/>
      <c r="AMB30" s="175"/>
      <c r="AMC30" s="175"/>
      <c r="AMD30" s="175"/>
      <c r="AME30" s="175"/>
      <c r="AMF30" s="175"/>
      <c r="AMG30" s="175"/>
      <c r="AMH30" s="175"/>
      <c r="AMI30" s="175"/>
      <c r="AMJ30" s="175"/>
      <c r="AMK30" s="175"/>
      <c r="AML30" s="175"/>
      <c r="AMM30" s="175"/>
      <c r="AMN30" s="175"/>
      <c r="AMO30" s="175"/>
      <c r="AMP30" s="175"/>
      <c r="AMQ30" s="175"/>
      <c r="AMR30" s="175"/>
      <c r="AMS30" s="175"/>
      <c r="AMT30" s="175"/>
      <c r="AMU30" s="175"/>
      <c r="AMV30" s="175"/>
      <c r="AMW30" s="175"/>
      <c r="AMX30" s="175"/>
      <c r="AMY30" s="175"/>
      <c r="AMZ30" s="175"/>
      <c r="ANA30" s="175"/>
      <c r="ANB30" s="175"/>
      <c r="ANC30" s="175"/>
      <c r="AND30" s="175"/>
      <c r="ANE30" s="175"/>
      <c r="ANF30" s="175"/>
      <c r="ANG30" s="175"/>
      <c r="ANH30" s="175"/>
      <c r="ANI30" s="175"/>
      <c r="ANJ30" s="175"/>
      <c r="ANK30" s="175"/>
      <c r="ANL30" s="175"/>
      <c r="ANM30" s="175"/>
      <c r="ANN30" s="175"/>
      <c r="ANO30" s="175"/>
      <c r="ANP30" s="175"/>
      <c r="ANQ30" s="175"/>
      <c r="ANR30" s="175"/>
      <c r="ANS30" s="175"/>
      <c r="ANT30" s="175"/>
      <c r="ANU30" s="175"/>
      <c r="ANV30" s="175"/>
      <c r="ANW30" s="175"/>
      <c r="ANX30" s="175"/>
      <c r="ANY30" s="175"/>
      <c r="ANZ30" s="175"/>
      <c r="AOA30" s="175"/>
      <c r="AOB30" s="175"/>
      <c r="AOC30" s="175"/>
      <c r="AOD30" s="175"/>
      <c r="AOE30" s="175"/>
      <c r="AOF30" s="175"/>
      <c r="AOG30" s="175"/>
      <c r="AOH30" s="175"/>
      <c r="AOI30" s="175"/>
      <c r="AOJ30" s="175"/>
      <c r="AOK30" s="175"/>
      <c r="AOL30" s="175"/>
      <c r="AOM30" s="175"/>
      <c r="AON30" s="175"/>
      <c r="AOO30" s="175"/>
      <c r="AOP30" s="175"/>
      <c r="AOQ30" s="175"/>
      <c r="AOR30" s="175"/>
      <c r="AOS30" s="175"/>
      <c r="AOT30" s="175"/>
      <c r="AOU30" s="175"/>
      <c r="AOV30" s="175"/>
      <c r="AOW30" s="175"/>
      <c r="AOX30" s="175"/>
      <c r="AOY30" s="175"/>
      <c r="AOZ30" s="175"/>
      <c r="APA30" s="175"/>
      <c r="APB30" s="175"/>
      <c r="APC30" s="175"/>
      <c r="APD30" s="175"/>
      <c r="APE30" s="175"/>
      <c r="APF30" s="175"/>
      <c r="APG30" s="175"/>
      <c r="APH30" s="175"/>
      <c r="API30" s="175"/>
      <c r="APJ30" s="175"/>
      <c r="APK30" s="175"/>
      <c r="APL30" s="175"/>
      <c r="APM30" s="175"/>
      <c r="APN30" s="175"/>
      <c r="APO30" s="175"/>
      <c r="APP30" s="175"/>
      <c r="APQ30" s="175"/>
      <c r="APR30" s="175"/>
      <c r="APS30" s="175"/>
      <c r="APT30" s="175"/>
      <c r="APU30" s="175"/>
      <c r="APV30" s="175"/>
      <c r="APW30" s="175"/>
      <c r="APX30" s="175"/>
      <c r="APY30" s="175"/>
      <c r="APZ30" s="175"/>
      <c r="AQA30" s="175"/>
      <c r="AQB30" s="175"/>
      <c r="AQC30" s="175"/>
      <c r="AQD30" s="175"/>
      <c r="AQE30" s="175"/>
      <c r="AQF30" s="175"/>
      <c r="AQG30" s="175"/>
      <c r="AQH30" s="175"/>
      <c r="AQI30" s="175"/>
      <c r="AQJ30" s="175"/>
      <c r="AQK30" s="175"/>
      <c r="AQL30" s="175"/>
      <c r="AQM30" s="175"/>
      <c r="AQN30" s="175"/>
      <c r="AQO30" s="175"/>
      <c r="AQP30" s="175"/>
      <c r="AQQ30" s="175"/>
      <c r="AQR30" s="175"/>
      <c r="AQS30" s="175"/>
      <c r="AQT30" s="175"/>
      <c r="AQU30" s="175"/>
      <c r="AQV30" s="175"/>
      <c r="AQW30" s="175"/>
      <c r="AQX30" s="175"/>
      <c r="AQY30" s="175"/>
      <c r="AQZ30" s="175"/>
      <c r="ARA30" s="175"/>
      <c r="ARB30" s="175"/>
      <c r="ARC30" s="175"/>
      <c r="ARD30" s="175"/>
      <c r="ARE30" s="175"/>
      <c r="ARF30" s="175"/>
      <c r="ARG30" s="175"/>
      <c r="ARH30" s="175"/>
      <c r="ARI30" s="175"/>
      <c r="ARJ30" s="175"/>
      <c r="ARK30" s="175"/>
      <c r="ARL30" s="175"/>
      <c r="ARM30" s="175"/>
      <c r="ARN30" s="175"/>
      <c r="ARO30" s="175"/>
      <c r="ARP30" s="175"/>
      <c r="ARQ30" s="175"/>
      <c r="ARR30" s="175"/>
      <c r="ARS30" s="175"/>
      <c r="ART30" s="175"/>
      <c r="ARU30" s="175"/>
      <c r="ARV30" s="175"/>
      <c r="ARW30" s="175"/>
      <c r="ARX30" s="175"/>
      <c r="ARY30" s="175"/>
      <c r="ARZ30" s="175"/>
      <c r="ASA30" s="175"/>
      <c r="ASB30" s="175"/>
      <c r="ASC30" s="175"/>
      <c r="ASD30" s="175"/>
      <c r="ASE30" s="175"/>
      <c r="ASF30" s="175"/>
      <c r="ASG30" s="175"/>
      <c r="ASH30" s="175"/>
      <c r="ASI30" s="175"/>
      <c r="ASJ30" s="175"/>
      <c r="ASK30" s="175"/>
      <c r="ASL30" s="175"/>
      <c r="ASM30" s="175"/>
      <c r="ASN30" s="175"/>
      <c r="ASO30" s="175"/>
      <c r="ASP30" s="175"/>
      <c r="ASQ30" s="175"/>
      <c r="ASR30" s="175"/>
      <c r="ASS30" s="175"/>
      <c r="AST30" s="175"/>
      <c r="ASU30" s="175"/>
      <c r="ASV30" s="175"/>
      <c r="ASW30" s="175"/>
      <c r="ASX30" s="175"/>
      <c r="ASY30" s="175"/>
      <c r="ASZ30" s="175"/>
      <c r="ATA30" s="175"/>
      <c r="ATB30" s="175"/>
      <c r="ATC30" s="175"/>
      <c r="ATD30" s="175"/>
      <c r="ATE30" s="175"/>
      <c r="ATF30" s="175"/>
      <c r="ATG30" s="175"/>
      <c r="ATH30" s="175"/>
      <c r="ATI30" s="175"/>
      <c r="ATJ30" s="175"/>
      <c r="ATK30" s="175"/>
      <c r="ATL30" s="175"/>
      <c r="ATM30" s="175"/>
      <c r="ATN30" s="175"/>
      <c r="ATO30" s="175"/>
      <c r="ATP30" s="175"/>
      <c r="ATQ30" s="175"/>
      <c r="ATR30" s="175"/>
      <c r="ATS30" s="175"/>
      <c r="ATT30" s="175"/>
      <c r="ATU30" s="175"/>
      <c r="ATV30" s="175"/>
      <c r="ATW30" s="175"/>
      <c r="ATX30" s="175"/>
      <c r="ATY30" s="175"/>
      <c r="ATZ30" s="175"/>
      <c r="AUA30" s="175"/>
      <c r="AUB30" s="175"/>
      <c r="AUC30" s="175"/>
      <c r="AUD30" s="175"/>
      <c r="AUE30" s="175"/>
      <c r="AUF30" s="175"/>
      <c r="AUG30" s="175"/>
      <c r="AUH30" s="175"/>
      <c r="AUI30" s="175"/>
      <c r="AUJ30" s="175"/>
      <c r="AUK30" s="175"/>
      <c r="AUL30" s="175"/>
      <c r="AUM30" s="175"/>
      <c r="AUN30" s="175"/>
      <c r="AUO30" s="175"/>
      <c r="AUP30" s="175"/>
      <c r="AUQ30" s="175"/>
      <c r="AUR30" s="175"/>
      <c r="AUS30" s="175"/>
      <c r="AUT30" s="175"/>
      <c r="AUU30" s="175"/>
      <c r="AUV30" s="175"/>
      <c r="AUW30" s="175"/>
      <c r="AUX30" s="175"/>
      <c r="AUY30" s="175"/>
      <c r="AUZ30" s="175"/>
      <c r="AVA30" s="175"/>
      <c r="AVB30" s="175"/>
      <c r="AVC30" s="175"/>
      <c r="AVD30" s="175"/>
      <c r="AVE30" s="175"/>
      <c r="AVF30" s="175"/>
      <c r="AVG30" s="175"/>
      <c r="AVH30" s="175"/>
      <c r="AVI30" s="175"/>
      <c r="AVJ30" s="175"/>
      <c r="AVK30" s="175"/>
      <c r="AVL30" s="175"/>
      <c r="AVM30" s="175"/>
      <c r="AVN30" s="175"/>
      <c r="AVO30" s="175"/>
      <c r="AVP30" s="175"/>
      <c r="AVQ30" s="175"/>
      <c r="AVR30" s="175"/>
      <c r="AVS30" s="175"/>
      <c r="AVT30" s="175"/>
      <c r="AVU30" s="175"/>
      <c r="AVV30" s="175"/>
      <c r="AVW30" s="175"/>
      <c r="AVX30" s="175"/>
      <c r="AVY30" s="175"/>
      <c r="AVZ30" s="175"/>
      <c r="AWA30" s="175"/>
      <c r="AWB30" s="175"/>
      <c r="AWC30" s="175"/>
      <c r="AWD30" s="175"/>
      <c r="AWE30" s="175"/>
      <c r="AWF30" s="175"/>
      <c r="AWG30" s="175"/>
      <c r="AWH30" s="175"/>
      <c r="AWI30" s="175"/>
      <c r="AWJ30" s="175"/>
      <c r="AWK30" s="175"/>
      <c r="AWL30" s="175"/>
      <c r="AWM30" s="175"/>
      <c r="AWN30" s="175"/>
      <c r="AWO30" s="175"/>
      <c r="AWP30" s="175"/>
      <c r="AWQ30" s="175"/>
      <c r="AWR30" s="175"/>
      <c r="AWS30" s="175"/>
      <c r="AWT30" s="175"/>
      <c r="AWU30" s="175"/>
      <c r="AWV30" s="175"/>
      <c r="AWW30" s="175"/>
      <c r="AWX30" s="175"/>
      <c r="AWY30" s="175"/>
      <c r="AWZ30" s="175"/>
      <c r="AXA30" s="175"/>
      <c r="AXB30" s="175"/>
      <c r="AXC30" s="175"/>
      <c r="AXD30" s="175"/>
      <c r="AXE30" s="175"/>
      <c r="AXF30" s="175"/>
      <c r="AXG30" s="175"/>
      <c r="AXH30" s="175"/>
      <c r="AXI30" s="175"/>
      <c r="AXJ30" s="175"/>
      <c r="AXK30" s="175"/>
      <c r="AXL30" s="175"/>
      <c r="AXM30" s="175"/>
      <c r="AXN30" s="175"/>
      <c r="AXO30" s="175"/>
      <c r="AXP30" s="175"/>
      <c r="AXQ30" s="175"/>
      <c r="AXR30" s="175"/>
      <c r="AXS30" s="175"/>
      <c r="AXT30" s="175"/>
      <c r="AXU30" s="175"/>
      <c r="AXV30" s="175"/>
      <c r="AXW30" s="175"/>
      <c r="AXX30" s="175"/>
      <c r="AXY30" s="175"/>
      <c r="AXZ30" s="175"/>
      <c r="AYA30" s="175"/>
      <c r="AYB30" s="175"/>
      <c r="AYC30" s="175"/>
      <c r="AYD30" s="175"/>
      <c r="AYE30" s="175"/>
      <c r="AYF30" s="175"/>
      <c r="AYG30" s="175"/>
      <c r="AYH30" s="175"/>
      <c r="AYI30" s="175"/>
      <c r="AYJ30" s="175"/>
      <c r="AYK30" s="175"/>
      <c r="AYL30" s="175"/>
      <c r="AYM30" s="175"/>
      <c r="AYN30" s="175"/>
      <c r="AYO30" s="175"/>
      <c r="AYP30" s="175"/>
      <c r="AYQ30" s="175"/>
      <c r="AYR30" s="175"/>
      <c r="AYS30" s="175"/>
      <c r="AYT30" s="175"/>
      <c r="AYU30" s="175"/>
      <c r="AYV30" s="175"/>
      <c r="AYW30" s="175"/>
      <c r="AYX30" s="175"/>
      <c r="AYY30" s="175"/>
      <c r="AYZ30" s="175"/>
      <c r="AZA30" s="175"/>
      <c r="AZB30" s="175"/>
      <c r="AZC30" s="175"/>
      <c r="AZD30" s="175"/>
      <c r="AZE30" s="175"/>
      <c r="AZF30" s="175"/>
      <c r="AZG30" s="175"/>
      <c r="AZH30" s="175"/>
      <c r="AZI30" s="175"/>
      <c r="AZJ30" s="175"/>
      <c r="AZK30" s="175"/>
      <c r="AZL30" s="175"/>
      <c r="AZM30" s="175"/>
      <c r="AZN30" s="175"/>
      <c r="AZO30" s="175"/>
      <c r="AZP30" s="175"/>
      <c r="AZQ30" s="175"/>
      <c r="AZR30" s="175"/>
      <c r="AZS30" s="175"/>
      <c r="AZT30" s="175"/>
      <c r="AZU30" s="175"/>
      <c r="AZV30" s="175"/>
      <c r="AZW30" s="175"/>
      <c r="AZX30" s="175"/>
      <c r="AZY30" s="175"/>
      <c r="AZZ30" s="175"/>
      <c r="BAA30" s="175"/>
      <c r="BAB30" s="175"/>
      <c r="BAC30" s="175"/>
      <c r="BAD30" s="175"/>
      <c r="BAE30" s="175"/>
      <c r="BAF30" s="175"/>
      <c r="BAG30" s="175"/>
      <c r="BAH30" s="175"/>
      <c r="BAI30" s="175"/>
      <c r="BAJ30" s="175"/>
      <c r="BAK30" s="175"/>
      <c r="BAL30" s="175"/>
      <c r="BAM30" s="175"/>
      <c r="BAN30" s="175"/>
      <c r="BAO30" s="175"/>
      <c r="BAP30" s="175"/>
      <c r="BAQ30" s="175"/>
      <c r="BAR30" s="175"/>
      <c r="BAS30" s="175"/>
      <c r="BAT30" s="175"/>
      <c r="BAU30" s="175"/>
      <c r="BAV30" s="175"/>
      <c r="BAW30" s="175"/>
      <c r="BAX30" s="175"/>
      <c r="BAY30" s="175"/>
      <c r="BAZ30" s="175"/>
      <c r="BBA30" s="175"/>
      <c r="BBB30" s="175"/>
      <c r="BBC30" s="175"/>
      <c r="BBD30" s="175"/>
      <c r="BBE30" s="175"/>
      <c r="BBF30" s="175"/>
      <c r="BBG30" s="175"/>
      <c r="BBH30" s="175"/>
      <c r="BBI30" s="175"/>
      <c r="BBJ30" s="175"/>
      <c r="BBK30" s="175"/>
      <c r="BBL30" s="175"/>
      <c r="BBM30" s="175"/>
      <c r="BBN30" s="175"/>
      <c r="BBO30" s="175"/>
      <c r="BBP30" s="175"/>
      <c r="BBQ30" s="175"/>
      <c r="BBR30" s="175"/>
      <c r="BBS30" s="175"/>
      <c r="BBT30" s="175"/>
      <c r="BBU30" s="175"/>
      <c r="BBV30" s="175"/>
      <c r="BBW30" s="175"/>
      <c r="BBX30" s="175"/>
      <c r="BBY30" s="175"/>
      <c r="BBZ30" s="175"/>
      <c r="BCA30" s="175"/>
      <c r="BCB30" s="175"/>
      <c r="BCC30" s="175"/>
      <c r="BCD30" s="175"/>
      <c r="BCE30" s="175"/>
      <c r="BCF30" s="175"/>
      <c r="BCG30" s="175"/>
      <c r="BCH30" s="175"/>
      <c r="BCI30" s="175"/>
      <c r="BCJ30" s="175"/>
      <c r="BCK30" s="175"/>
      <c r="BCL30" s="175"/>
      <c r="BCM30" s="175"/>
      <c r="BCN30" s="175"/>
      <c r="BCO30" s="175"/>
      <c r="BCP30" s="175"/>
      <c r="BCQ30" s="175"/>
      <c r="BCR30" s="175"/>
      <c r="BCS30" s="175"/>
      <c r="BCT30" s="175"/>
      <c r="BCU30" s="175"/>
      <c r="BCV30" s="175"/>
      <c r="BCW30" s="175"/>
      <c r="BCX30" s="175"/>
      <c r="BCY30" s="175"/>
      <c r="BCZ30" s="175"/>
      <c r="BDA30" s="175"/>
      <c r="BDB30" s="175"/>
      <c r="BDC30" s="175"/>
      <c r="BDD30" s="175"/>
      <c r="BDE30" s="175"/>
      <c r="BDF30" s="175"/>
      <c r="BDG30" s="175"/>
      <c r="BDH30" s="175"/>
      <c r="BDI30" s="175"/>
      <c r="BDJ30" s="175"/>
      <c r="BDK30" s="175"/>
      <c r="BDL30" s="175"/>
      <c r="BDM30" s="175"/>
      <c r="BDN30" s="175"/>
      <c r="BDO30" s="175"/>
      <c r="BDP30" s="175"/>
      <c r="BDQ30" s="175"/>
      <c r="BDR30" s="175"/>
      <c r="BDS30" s="175"/>
      <c r="BDT30" s="175"/>
      <c r="BDU30" s="175"/>
      <c r="BDV30" s="175"/>
      <c r="BDW30" s="175"/>
      <c r="BDX30" s="175"/>
      <c r="BDY30" s="175"/>
      <c r="BDZ30" s="175"/>
      <c r="BEA30" s="175"/>
      <c r="BEB30" s="175"/>
      <c r="BEC30" s="175"/>
      <c r="BED30" s="175"/>
      <c r="BEE30" s="175"/>
      <c r="BEF30" s="175"/>
      <c r="BEG30" s="175"/>
      <c r="BEH30" s="175"/>
      <c r="BEI30" s="175"/>
      <c r="BEJ30" s="175"/>
      <c r="BEK30" s="175"/>
      <c r="BEL30" s="175"/>
      <c r="BEM30" s="175"/>
      <c r="BEN30" s="175"/>
      <c r="BEO30" s="175"/>
      <c r="BEP30" s="175"/>
      <c r="BEQ30" s="175"/>
      <c r="BER30" s="175"/>
      <c r="BES30" s="175"/>
      <c r="BET30" s="175"/>
      <c r="BEU30" s="175"/>
      <c r="BEV30" s="175"/>
      <c r="BEW30" s="175"/>
      <c r="BEX30" s="175"/>
      <c r="BEY30" s="175"/>
      <c r="BEZ30" s="175"/>
      <c r="BFA30" s="175"/>
      <c r="BFB30" s="175"/>
      <c r="BFC30" s="175"/>
      <c r="BFD30" s="175"/>
      <c r="BFE30" s="175"/>
      <c r="BFF30" s="175"/>
      <c r="BFG30" s="175"/>
      <c r="BFH30" s="175"/>
      <c r="BFI30" s="175"/>
      <c r="BFJ30" s="175"/>
      <c r="BFK30" s="175"/>
      <c r="BFL30" s="175"/>
      <c r="BFM30" s="175"/>
      <c r="BFN30" s="175"/>
      <c r="BFO30" s="175"/>
      <c r="BFP30" s="175"/>
      <c r="BFQ30" s="175"/>
      <c r="BFR30" s="175"/>
      <c r="BFS30" s="175"/>
      <c r="BFT30" s="175"/>
      <c r="BFU30" s="175"/>
      <c r="BFV30" s="175"/>
      <c r="BFW30" s="175"/>
      <c r="BFX30" s="175"/>
      <c r="BFY30" s="175"/>
      <c r="BFZ30" s="175"/>
      <c r="BGA30" s="175"/>
      <c r="BGB30" s="175"/>
      <c r="BGC30" s="175"/>
      <c r="BGD30" s="175"/>
      <c r="BGE30" s="175"/>
      <c r="BGF30" s="175"/>
      <c r="BGG30" s="175"/>
      <c r="BGH30" s="175"/>
      <c r="BGI30" s="175"/>
      <c r="BGJ30" s="175"/>
      <c r="BGK30" s="175"/>
      <c r="BGL30" s="175"/>
      <c r="BGM30" s="175"/>
      <c r="BGN30" s="175"/>
      <c r="BGO30" s="175"/>
      <c r="BGP30" s="175"/>
      <c r="BGQ30" s="175"/>
      <c r="BGR30" s="175"/>
      <c r="BGS30" s="175"/>
      <c r="BGT30" s="175"/>
      <c r="BGU30" s="175"/>
      <c r="BGV30" s="175"/>
      <c r="BGW30" s="175"/>
      <c r="BGX30" s="175"/>
      <c r="BGY30" s="175"/>
      <c r="BGZ30" s="175"/>
      <c r="BHA30" s="175"/>
      <c r="BHB30" s="175"/>
      <c r="BHC30" s="175"/>
      <c r="BHD30" s="175"/>
      <c r="BHE30" s="175"/>
      <c r="BHF30" s="175"/>
      <c r="BHG30" s="175"/>
      <c r="BHH30" s="175"/>
      <c r="BHI30" s="175"/>
      <c r="BHJ30" s="175"/>
      <c r="BHK30" s="175"/>
      <c r="BHL30" s="175"/>
      <c r="BHM30" s="175"/>
      <c r="BHN30" s="175"/>
      <c r="BHO30" s="175"/>
      <c r="BHP30" s="175"/>
      <c r="BHQ30" s="175"/>
      <c r="BHR30" s="175"/>
      <c r="BHS30" s="175"/>
      <c r="BHT30" s="175"/>
      <c r="BHU30" s="175"/>
      <c r="BHV30" s="175"/>
      <c r="BHW30" s="175"/>
      <c r="BHX30" s="175"/>
      <c r="BHY30" s="175"/>
      <c r="BHZ30" s="175"/>
      <c r="BIA30" s="175"/>
      <c r="BIB30" s="175"/>
      <c r="BIC30" s="175"/>
      <c r="BID30" s="175"/>
      <c r="BIE30" s="175"/>
      <c r="BIF30" s="175"/>
      <c r="BIG30" s="175"/>
      <c r="BIH30" s="175"/>
      <c r="BII30" s="175"/>
      <c r="BIJ30" s="175"/>
      <c r="BIK30" s="175"/>
      <c r="BIL30" s="175"/>
      <c r="BIM30" s="175"/>
      <c r="BIN30" s="175"/>
      <c r="BIO30" s="175"/>
      <c r="BIP30" s="175"/>
      <c r="BIQ30" s="175"/>
      <c r="BIR30" s="175"/>
      <c r="BIS30" s="175"/>
      <c r="BIT30" s="175"/>
      <c r="BIU30" s="175"/>
      <c r="BIV30" s="175"/>
      <c r="BIW30" s="175"/>
      <c r="BIX30" s="175"/>
      <c r="BIY30" s="175"/>
      <c r="BIZ30" s="175"/>
      <c r="BJA30" s="175"/>
      <c r="BJB30" s="175"/>
      <c r="BJC30" s="175"/>
      <c r="BJD30" s="175"/>
      <c r="BJE30" s="175"/>
      <c r="BJF30" s="175"/>
      <c r="BJG30" s="175"/>
      <c r="BJH30" s="175"/>
      <c r="BJI30" s="175"/>
      <c r="BJJ30" s="175"/>
      <c r="BJK30" s="175"/>
      <c r="BJL30" s="175"/>
      <c r="BJM30" s="175"/>
      <c r="BJN30" s="175"/>
      <c r="BJO30" s="175"/>
      <c r="BJP30" s="175"/>
      <c r="BJQ30" s="175"/>
      <c r="BJR30" s="175"/>
      <c r="BJS30" s="175"/>
      <c r="BJT30" s="175"/>
      <c r="BJU30" s="175"/>
      <c r="BJV30" s="175"/>
      <c r="BJW30" s="175"/>
      <c r="BJX30" s="175"/>
      <c r="BJY30" s="175"/>
      <c r="BJZ30" s="175"/>
      <c r="BKA30" s="175"/>
      <c r="BKB30" s="175"/>
      <c r="BKC30" s="175"/>
      <c r="BKD30" s="175"/>
      <c r="BKE30" s="175"/>
      <c r="BKF30" s="175"/>
      <c r="BKG30" s="175"/>
      <c r="BKH30" s="175"/>
      <c r="BKI30" s="175"/>
      <c r="BKJ30" s="175"/>
      <c r="BKK30" s="175"/>
      <c r="BKL30" s="175"/>
      <c r="BKM30" s="175"/>
      <c r="BKN30" s="175"/>
      <c r="BKO30" s="175"/>
      <c r="BKP30" s="175"/>
      <c r="BKQ30" s="175"/>
      <c r="BKR30" s="175"/>
      <c r="BKS30" s="175"/>
      <c r="BKT30" s="175"/>
      <c r="BKU30" s="175"/>
      <c r="BKV30" s="175"/>
      <c r="BKW30" s="175"/>
      <c r="BKX30" s="175"/>
      <c r="BKY30" s="175"/>
      <c r="BKZ30" s="175"/>
      <c r="BLA30" s="175"/>
      <c r="BLB30" s="175"/>
      <c r="BLC30" s="175"/>
      <c r="BLD30" s="175"/>
      <c r="BLE30" s="175"/>
      <c r="BLF30" s="175"/>
      <c r="BLG30" s="175"/>
      <c r="BLH30" s="175"/>
      <c r="BLI30" s="175"/>
      <c r="BLJ30" s="175"/>
      <c r="BLK30" s="175"/>
      <c r="BLL30" s="175"/>
      <c r="BLM30" s="175"/>
      <c r="BLN30" s="175"/>
      <c r="BLO30" s="175"/>
      <c r="BLP30" s="175"/>
      <c r="BLQ30" s="175"/>
      <c r="BLR30" s="175"/>
      <c r="BLS30" s="175"/>
      <c r="BLT30" s="175"/>
      <c r="BLU30" s="175"/>
      <c r="BLV30" s="175"/>
      <c r="BLW30" s="175"/>
      <c r="BLX30" s="175"/>
      <c r="BLY30" s="175"/>
      <c r="BLZ30" s="175"/>
      <c r="BMA30" s="175"/>
      <c r="BMB30" s="175"/>
      <c r="BMC30" s="175"/>
      <c r="BMD30" s="175"/>
      <c r="BME30" s="175"/>
      <c r="BMF30" s="175"/>
      <c r="BMG30" s="175"/>
      <c r="BMH30" s="175"/>
      <c r="BMI30" s="175"/>
      <c r="BMJ30" s="175"/>
      <c r="BMK30" s="175"/>
      <c r="BML30" s="175"/>
      <c r="BMM30" s="175"/>
      <c r="BMN30" s="175"/>
      <c r="BMO30" s="175"/>
      <c r="BMP30" s="175"/>
      <c r="BMQ30" s="175"/>
      <c r="BMR30" s="175"/>
      <c r="BMS30" s="175"/>
      <c r="BMT30" s="175"/>
      <c r="BMU30" s="175"/>
      <c r="BMV30" s="175"/>
      <c r="BMW30" s="175"/>
      <c r="BMX30" s="175"/>
      <c r="BMY30" s="175"/>
      <c r="BMZ30" s="175"/>
      <c r="BNA30" s="175"/>
      <c r="BNB30" s="175"/>
      <c r="BNC30" s="175"/>
      <c r="BND30" s="175"/>
      <c r="BNE30" s="175"/>
      <c r="BNF30" s="175"/>
      <c r="BNG30" s="175"/>
      <c r="BNH30" s="175"/>
      <c r="BNI30" s="175"/>
      <c r="BNJ30" s="175"/>
      <c r="BNK30" s="175"/>
      <c r="BNL30" s="175"/>
      <c r="BNM30" s="175"/>
      <c r="BNN30" s="175"/>
      <c r="BNO30" s="175"/>
      <c r="BNP30" s="175"/>
      <c r="BNQ30" s="175"/>
      <c r="BNR30" s="175"/>
      <c r="BNS30" s="175"/>
      <c r="BNT30" s="175"/>
      <c r="BNU30" s="175"/>
      <c r="BNV30" s="175"/>
      <c r="BNW30" s="175"/>
      <c r="BNX30" s="175"/>
      <c r="BNY30" s="175"/>
      <c r="BNZ30" s="175"/>
      <c r="BOA30" s="175"/>
      <c r="BOB30" s="175"/>
      <c r="BOC30" s="175"/>
      <c r="BOD30" s="175"/>
      <c r="BOE30" s="175"/>
      <c r="BOF30" s="175"/>
      <c r="BOG30" s="175"/>
      <c r="BOH30" s="175"/>
      <c r="BOI30" s="175"/>
      <c r="BOJ30" s="175"/>
      <c r="BOK30" s="175"/>
      <c r="BOL30" s="175"/>
      <c r="BOM30" s="175"/>
      <c r="BON30" s="175"/>
      <c r="BOO30" s="175"/>
      <c r="BOP30" s="175"/>
      <c r="BOQ30" s="175"/>
      <c r="BOR30" s="175"/>
      <c r="BOS30" s="175"/>
      <c r="BOT30" s="175"/>
      <c r="BOU30" s="175"/>
      <c r="BOV30" s="175"/>
      <c r="BOW30" s="175"/>
      <c r="BOX30" s="175"/>
      <c r="BOY30" s="175"/>
      <c r="BOZ30" s="175"/>
      <c r="BPA30" s="175"/>
      <c r="BPB30" s="175"/>
      <c r="BPC30" s="175"/>
      <c r="BPD30" s="175"/>
      <c r="BPE30" s="175"/>
      <c r="BPF30" s="175"/>
      <c r="BPG30" s="175"/>
      <c r="BPH30" s="175"/>
      <c r="BPI30" s="175"/>
      <c r="BPJ30" s="175"/>
      <c r="BPK30" s="175"/>
      <c r="BPL30" s="175"/>
      <c r="BPM30" s="175"/>
      <c r="BPN30" s="175"/>
      <c r="BPO30" s="175"/>
      <c r="BPP30" s="175"/>
      <c r="BPQ30" s="175"/>
      <c r="BPR30" s="175"/>
      <c r="BPS30" s="175"/>
      <c r="BPT30" s="175"/>
      <c r="BPU30" s="175"/>
      <c r="BPV30" s="175"/>
      <c r="BPW30" s="175"/>
      <c r="BPX30" s="175"/>
      <c r="BPY30" s="175"/>
      <c r="BPZ30" s="175"/>
      <c r="BQA30" s="175"/>
      <c r="BQB30" s="175"/>
      <c r="BQC30" s="175"/>
      <c r="BQD30" s="175"/>
      <c r="BQE30" s="175"/>
      <c r="BQF30" s="175"/>
      <c r="BQG30" s="175"/>
      <c r="BQH30" s="175"/>
      <c r="BQI30" s="175"/>
      <c r="BQJ30" s="175"/>
      <c r="BQK30" s="175"/>
      <c r="BQL30" s="175"/>
      <c r="BQM30" s="175"/>
      <c r="BQN30" s="175"/>
      <c r="BQO30" s="175"/>
      <c r="BQP30" s="175"/>
      <c r="BQQ30" s="175"/>
      <c r="BQR30" s="175"/>
      <c r="BQS30" s="175"/>
      <c r="BQT30" s="175"/>
      <c r="BQU30" s="175"/>
      <c r="BQV30" s="175"/>
      <c r="BQW30" s="175"/>
      <c r="BQX30" s="175"/>
      <c r="BQY30" s="175"/>
      <c r="BQZ30" s="175"/>
      <c r="BRA30" s="175"/>
      <c r="BRB30" s="175"/>
      <c r="BRC30" s="175"/>
      <c r="BRD30" s="175"/>
      <c r="BRE30" s="175"/>
      <c r="BRF30" s="175"/>
      <c r="BRG30" s="175"/>
      <c r="BRH30" s="175"/>
      <c r="BRI30" s="175"/>
      <c r="BRJ30" s="175"/>
      <c r="BRK30" s="175"/>
      <c r="BRL30" s="175"/>
      <c r="BRM30" s="175"/>
      <c r="BRN30" s="175"/>
      <c r="BRO30" s="175"/>
      <c r="BRP30" s="175"/>
      <c r="BRQ30" s="175"/>
      <c r="BRR30" s="175"/>
      <c r="BRS30" s="175"/>
      <c r="BRT30" s="175"/>
      <c r="BRU30" s="175"/>
      <c r="BRV30" s="175"/>
      <c r="BRW30" s="175"/>
      <c r="BRX30" s="175"/>
      <c r="BRY30" s="175"/>
      <c r="BRZ30" s="175"/>
      <c r="BSA30" s="175"/>
      <c r="BSB30" s="175"/>
      <c r="BSC30" s="175"/>
      <c r="BSD30" s="175"/>
      <c r="BSE30" s="175"/>
      <c r="BSF30" s="175"/>
      <c r="BSG30" s="175"/>
      <c r="BSH30" s="175"/>
      <c r="BSI30" s="175"/>
      <c r="BSJ30" s="175"/>
      <c r="BSK30" s="175"/>
      <c r="BSL30" s="175"/>
      <c r="BSM30" s="175"/>
      <c r="BSN30" s="175"/>
      <c r="BSO30" s="175"/>
      <c r="BSP30" s="175"/>
      <c r="BSQ30" s="175"/>
      <c r="BSR30" s="175"/>
      <c r="BSS30" s="175"/>
      <c r="BST30" s="175"/>
      <c r="BSU30" s="175"/>
      <c r="BSV30" s="175"/>
      <c r="BSW30" s="175"/>
      <c r="BSX30" s="175"/>
      <c r="BSY30" s="175"/>
      <c r="BSZ30" s="175"/>
      <c r="BTA30" s="175"/>
      <c r="BTB30" s="175"/>
      <c r="BTC30" s="175"/>
      <c r="BTD30" s="175"/>
      <c r="BTE30" s="175"/>
      <c r="BTF30" s="175"/>
      <c r="BTG30" s="175"/>
      <c r="BTH30" s="175"/>
      <c r="BTI30" s="175"/>
      <c r="BTJ30" s="175"/>
      <c r="BTK30" s="175"/>
      <c r="BTL30" s="175"/>
      <c r="BTM30" s="175"/>
      <c r="BTN30" s="175"/>
      <c r="BTO30" s="175"/>
      <c r="BTP30" s="175"/>
      <c r="BTQ30" s="175"/>
      <c r="BTR30" s="175"/>
      <c r="BTS30" s="175"/>
      <c r="BTT30" s="175"/>
      <c r="BTU30" s="175"/>
      <c r="BTV30" s="175"/>
      <c r="BTW30" s="175"/>
      <c r="BTX30" s="175"/>
      <c r="BTY30" s="175"/>
      <c r="BTZ30" s="175"/>
      <c r="BUA30" s="175"/>
      <c r="BUB30" s="175"/>
      <c r="BUC30" s="175"/>
      <c r="BUD30" s="175"/>
      <c r="BUE30" s="175"/>
      <c r="BUF30" s="175"/>
      <c r="BUG30" s="175"/>
      <c r="BUH30" s="175"/>
      <c r="BUI30" s="175"/>
      <c r="BUJ30" s="175"/>
      <c r="BUK30" s="175"/>
      <c r="BUL30" s="175"/>
      <c r="BUM30" s="175"/>
      <c r="BUN30" s="175"/>
      <c r="BUO30" s="175"/>
      <c r="BUP30" s="175"/>
      <c r="BUQ30" s="175"/>
      <c r="BUR30" s="175"/>
      <c r="BUS30" s="175"/>
      <c r="BUT30" s="175"/>
      <c r="BUU30" s="175"/>
      <c r="BUV30" s="175"/>
      <c r="BUW30" s="175"/>
      <c r="BUX30" s="175"/>
      <c r="BUY30" s="175"/>
      <c r="BUZ30" s="175"/>
      <c r="BVA30" s="175"/>
      <c r="BVB30" s="175"/>
      <c r="BVC30" s="175"/>
      <c r="BVD30" s="175"/>
      <c r="BVE30" s="175"/>
      <c r="BVF30" s="175"/>
      <c r="BVG30" s="175"/>
      <c r="BVH30" s="175"/>
      <c r="BVI30" s="175"/>
      <c r="BVJ30" s="175"/>
      <c r="BVK30" s="175"/>
      <c r="BVL30" s="175"/>
      <c r="BVM30" s="175"/>
      <c r="BVN30" s="175"/>
      <c r="BVO30" s="175"/>
      <c r="BVP30" s="175"/>
      <c r="BVQ30" s="175"/>
      <c r="BVR30" s="175"/>
      <c r="BVS30" s="175"/>
      <c r="BVT30" s="175"/>
      <c r="BVU30" s="175"/>
      <c r="BVV30" s="175"/>
      <c r="BVW30" s="175"/>
      <c r="BVX30" s="175"/>
      <c r="BVY30" s="175"/>
      <c r="BVZ30" s="175"/>
      <c r="BWA30" s="175"/>
      <c r="BWB30" s="175"/>
      <c r="BWC30" s="175"/>
      <c r="BWD30" s="175"/>
      <c r="BWE30" s="175"/>
      <c r="BWF30" s="175"/>
      <c r="BWG30" s="175"/>
      <c r="BWH30" s="175"/>
      <c r="BWI30" s="175"/>
      <c r="BWJ30" s="175"/>
      <c r="BWK30" s="175"/>
      <c r="BWL30" s="175"/>
      <c r="BWM30" s="175"/>
      <c r="BWN30" s="175"/>
      <c r="BWO30" s="175"/>
      <c r="BWP30" s="175"/>
      <c r="BWQ30" s="175"/>
      <c r="BWR30" s="175"/>
      <c r="BWS30" s="175"/>
      <c r="BWT30" s="175"/>
      <c r="BWU30" s="175"/>
      <c r="BWV30" s="175"/>
      <c r="BWW30" s="175"/>
      <c r="BWX30" s="175"/>
      <c r="BWY30" s="175"/>
      <c r="BWZ30" s="175"/>
      <c r="BXA30" s="175"/>
      <c r="BXB30" s="175"/>
      <c r="BXC30" s="175"/>
      <c r="BXD30" s="175"/>
      <c r="BXE30" s="175"/>
      <c r="BXF30" s="175"/>
      <c r="BXG30" s="175"/>
      <c r="BXH30" s="175"/>
      <c r="BXI30" s="175"/>
      <c r="BXJ30" s="175"/>
      <c r="BXK30" s="175"/>
      <c r="BXL30" s="175"/>
      <c r="BXM30" s="175"/>
      <c r="BXN30" s="175"/>
      <c r="BXO30" s="175"/>
      <c r="BXP30" s="175"/>
      <c r="BXQ30" s="175"/>
      <c r="BXR30" s="175"/>
      <c r="BXS30" s="175"/>
      <c r="BXT30" s="175"/>
      <c r="BXU30" s="175"/>
      <c r="BXV30" s="175"/>
      <c r="BXW30" s="175"/>
      <c r="BXX30" s="175"/>
      <c r="BXY30" s="175"/>
      <c r="BXZ30" s="175"/>
      <c r="BYA30" s="175"/>
      <c r="BYB30" s="175"/>
      <c r="BYC30" s="175"/>
      <c r="BYD30" s="175"/>
      <c r="BYE30" s="175"/>
      <c r="BYF30" s="175"/>
      <c r="BYG30" s="175"/>
      <c r="BYH30" s="175"/>
      <c r="BYI30" s="175"/>
      <c r="BYJ30" s="175"/>
      <c r="BYK30" s="175"/>
      <c r="BYL30" s="175"/>
      <c r="BYM30" s="175"/>
      <c r="BYN30" s="175"/>
      <c r="BYO30" s="175"/>
      <c r="BYP30" s="175"/>
      <c r="BYQ30" s="175"/>
      <c r="BYR30" s="175"/>
      <c r="BYS30" s="175"/>
      <c r="BYT30" s="175"/>
      <c r="BYU30" s="175"/>
      <c r="BYV30" s="175"/>
      <c r="BYW30" s="175"/>
      <c r="BYX30" s="175"/>
      <c r="BYY30" s="175"/>
      <c r="BYZ30" s="175"/>
      <c r="BZA30" s="175"/>
      <c r="BZB30" s="175"/>
      <c r="BZC30" s="175"/>
      <c r="BZD30" s="175"/>
      <c r="BZE30" s="175"/>
      <c r="BZF30" s="175"/>
      <c r="BZG30" s="175"/>
      <c r="BZH30" s="175"/>
      <c r="BZI30" s="175"/>
      <c r="BZJ30" s="175"/>
      <c r="BZK30" s="175"/>
      <c r="BZL30" s="175"/>
      <c r="BZM30" s="175"/>
      <c r="BZN30" s="175"/>
      <c r="BZO30" s="175"/>
      <c r="BZP30" s="175"/>
      <c r="BZQ30" s="175"/>
      <c r="BZR30" s="175"/>
      <c r="BZS30" s="175"/>
      <c r="BZT30" s="175"/>
      <c r="BZU30" s="175"/>
      <c r="BZV30" s="175"/>
      <c r="BZW30" s="175"/>
      <c r="BZX30" s="175"/>
      <c r="BZY30" s="175"/>
      <c r="BZZ30" s="175"/>
      <c r="CAA30" s="175"/>
      <c r="CAB30" s="175"/>
      <c r="CAC30" s="175"/>
      <c r="CAD30" s="175"/>
      <c r="CAE30" s="175"/>
      <c r="CAF30" s="175"/>
      <c r="CAG30" s="175"/>
      <c r="CAH30" s="175"/>
      <c r="CAI30" s="175"/>
      <c r="CAJ30" s="175"/>
      <c r="CAK30" s="175"/>
      <c r="CAL30" s="175"/>
      <c r="CAM30" s="175"/>
      <c r="CAN30" s="175"/>
      <c r="CAO30" s="175"/>
      <c r="CAP30" s="175"/>
      <c r="CAQ30" s="175"/>
      <c r="CAR30" s="175"/>
      <c r="CAS30" s="175"/>
      <c r="CAT30" s="175"/>
      <c r="CAU30" s="175"/>
      <c r="CAV30" s="175"/>
      <c r="CAW30" s="175"/>
      <c r="CAX30" s="175"/>
      <c r="CAY30" s="175"/>
      <c r="CAZ30" s="175"/>
      <c r="CBA30" s="175"/>
      <c r="CBB30" s="175"/>
      <c r="CBC30" s="175"/>
      <c r="CBD30" s="175"/>
      <c r="CBE30" s="175"/>
      <c r="CBF30" s="175"/>
      <c r="CBG30" s="175"/>
      <c r="CBH30" s="175"/>
      <c r="CBI30" s="175"/>
      <c r="CBJ30" s="175"/>
      <c r="CBK30" s="175"/>
      <c r="CBL30" s="175"/>
      <c r="CBM30" s="175"/>
      <c r="CBN30" s="175"/>
      <c r="CBO30" s="175"/>
      <c r="CBP30" s="175"/>
      <c r="CBQ30" s="175"/>
      <c r="CBR30" s="175"/>
      <c r="CBS30" s="175"/>
      <c r="CBT30" s="175"/>
      <c r="CBU30" s="175"/>
      <c r="CBV30" s="175"/>
      <c r="CBW30" s="175"/>
      <c r="CBX30" s="175"/>
      <c r="CBY30" s="175"/>
      <c r="CBZ30" s="175"/>
      <c r="CCA30" s="175"/>
      <c r="CCB30" s="175"/>
      <c r="CCC30" s="175"/>
      <c r="CCD30" s="175"/>
      <c r="CCE30" s="175"/>
      <c r="CCF30" s="175"/>
      <c r="CCG30" s="175"/>
      <c r="CCH30" s="175"/>
      <c r="CCI30" s="175"/>
      <c r="CCJ30" s="175"/>
      <c r="CCK30" s="175"/>
      <c r="CCL30" s="175"/>
      <c r="CCM30" s="175"/>
      <c r="CCN30" s="175"/>
      <c r="CCO30" s="175"/>
      <c r="CCP30" s="175"/>
      <c r="CCQ30" s="175"/>
      <c r="CCR30" s="175"/>
      <c r="CCS30" s="175"/>
      <c r="CCT30" s="175"/>
      <c r="CCU30" s="175"/>
      <c r="CCV30" s="175"/>
      <c r="CCW30" s="175"/>
      <c r="CCX30" s="175"/>
      <c r="CCY30" s="175"/>
      <c r="CCZ30" s="175"/>
      <c r="CDA30" s="175"/>
      <c r="CDB30" s="175"/>
      <c r="CDC30" s="175"/>
      <c r="CDD30" s="175"/>
      <c r="CDE30" s="175"/>
      <c r="CDF30" s="175"/>
      <c r="CDG30" s="175"/>
      <c r="CDH30" s="175"/>
      <c r="CDI30" s="175"/>
      <c r="CDJ30" s="175"/>
      <c r="CDK30" s="175"/>
      <c r="CDL30" s="175"/>
      <c r="CDM30" s="175"/>
      <c r="CDN30" s="175"/>
      <c r="CDO30" s="175"/>
      <c r="CDP30" s="175"/>
      <c r="CDQ30" s="175"/>
      <c r="CDR30" s="175"/>
      <c r="CDS30" s="175"/>
      <c r="CDT30" s="175"/>
      <c r="CDU30" s="175"/>
      <c r="CDV30" s="175"/>
      <c r="CDW30" s="175"/>
      <c r="CDX30" s="175"/>
      <c r="CDY30" s="175"/>
      <c r="CDZ30" s="175"/>
      <c r="CEA30" s="175"/>
      <c r="CEB30" s="175"/>
      <c r="CEC30" s="175"/>
      <c r="CED30" s="175"/>
      <c r="CEE30" s="175"/>
      <c r="CEF30" s="175"/>
      <c r="CEG30" s="175"/>
      <c r="CEH30" s="175"/>
      <c r="CEI30" s="175"/>
      <c r="CEJ30" s="175"/>
      <c r="CEK30" s="175"/>
      <c r="CEL30" s="175"/>
      <c r="CEM30" s="175"/>
      <c r="CEN30" s="175"/>
      <c r="CEO30" s="175"/>
      <c r="CEP30" s="175"/>
      <c r="CEQ30" s="175"/>
      <c r="CER30" s="175"/>
      <c r="CES30" s="175"/>
      <c r="CET30" s="175"/>
      <c r="CEU30" s="175"/>
      <c r="CEV30" s="175"/>
      <c r="CEW30" s="175"/>
      <c r="CEX30" s="175"/>
      <c r="CEY30" s="175"/>
      <c r="CEZ30" s="175"/>
      <c r="CFA30" s="175"/>
      <c r="CFB30" s="175"/>
      <c r="CFC30" s="175"/>
      <c r="CFD30" s="175"/>
      <c r="CFE30" s="175"/>
      <c r="CFF30" s="175"/>
      <c r="CFG30" s="175"/>
      <c r="CFH30" s="175"/>
      <c r="CFI30" s="175"/>
      <c r="CFJ30" s="175"/>
      <c r="CFK30" s="175"/>
      <c r="CFL30" s="175"/>
      <c r="CFM30" s="175"/>
      <c r="CFN30" s="175"/>
      <c r="CFO30" s="175"/>
      <c r="CFP30" s="175"/>
      <c r="CFQ30" s="175"/>
      <c r="CFR30" s="175"/>
      <c r="CFS30" s="175"/>
      <c r="CFT30" s="175"/>
      <c r="CFU30" s="175"/>
      <c r="CFV30" s="175"/>
      <c r="CFW30" s="175"/>
      <c r="CFX30" s="175"/>
      <c r="CFY30" s="175"/>
      <c r="CFZ30" s="175"/>
      <c r="CGA30" s="175"/>
      <c r="CGB30" s="175"/>
      <c r="CGC30" s="175"/>
      <c r="CGD30" s="175"/>
      <c r="CGE30" s="175"/>
      <c r="CGF30" s="175"/>
      <c r="CGG30" s="175"/>
      <c r="CGH30" s="175"/>
      <c r="CGI30" s="175"/>
      <c r="CGJ30" s="175"/>
      <c r="CGK30" s="175"/>
      <c r="CGL30" s="175"/>
      <c r="CGM30" s="175"/>
      <c r="CGN30" s="175"/>
      <c r="CGO30" s="175"/>
      <c r="CGP30" s="175"/>
      <c r="CGQ30" s="175"/>
      <c r="CGR30" s="175"/>
      <c r="CGS30" s="175"/>
      <c r="CGT30" s="175"/>
      <c r="CGU30" s="175"/>
      <c r="CGV30" s="175"/>
      <c r="CGW30" s="175"/>
      <c r="CGX30" s="175"/>
      <c r="CGY30" s="175"/>
      <c r="CGZ30" s="175"/>
      <c r="CHA30" s="175"/>
      <c r="CHB30" s="175"/>
      <c r="CHC30" s="175"/>
      <c r="CHD30" s="175"/>
      <c r="CHE30" s="175"/>
      <c r="CHF30" s="175"/>
      <c r="CHG30" s="175"/>
      <c r="CHH30" s="175"/>
      <c r="CHI30" s="175"/>
      <c r="CHJ30" s="175"/>
      <c r="CHK30" s="175"/>
      <c r="CHL30" s="175"/>
      <c r="CHM30" s="175"/>
      <c r="CHN30" s="175"/>
      <c r="CHO30" s="175"/>
      <c r="CHP30" s="175"/>
      <c r="CHQ30" s="175"/>
      <c r="CHR30" s="175"/>
      <c r="CHS30" s="175"/>
      <c r="CHT30" s="175"/>
      <c r="CHU30" s="175"/>
      <c r="CHV30" s="175"/>
      <c r="CHW30" s="175"/>
      <c r="CHX30" s="175"/>
      <c r="CHY30" s="175"/>
      <c r="CHZ30" s="175"/>
      <c r="CIA30" s="175"/>
      <c r="CIB30" s="175"/>
      <c r="CIC30" s="175"/>
      <c r="CID30" s="175"/>
      <c r="CIE30" s="175"/>
      <c r="CIF30" s="175"/>
      <c r="CIG30" s="175"/>
      <c r="CIH30" s="175"/>
      <c r="CII30" s="175"/>
      <c r="CIJ30" s="175"/>
      <c r="CIK30" s="175"/>
      <c r="CIL30" s="175"/>
      <c r="CIM30" s="175"/>
      <c r="CIN30" s="175"/>
      <c r="CIO30" s="175"/>
      <c r="CIP30" s="175"/>
      <c r="CIQ30" s="175"/>
      <c r="CIR30" s="175"/>
      <c r="CIS30" s="175"/>
      <c r="CIT30" s="175"/>
      <c r="CIU30" s="175"/>
      <c r="CIV30" s="175"/>
      <c r="CIW30" s="175"/>
      <c r="CIX30" s="175"/>
      <c r="CIY30" s="175"/>
      <c r="CIZ30" s="175"/>
      <c r="CJA30" s="175"/>
      <c r="CJB30" s="175"/>
      <c r="CJC30" s="175"/>
      <c r="CJD30" s="175"/>
      <c r="CJE30" s="175"/>
      <c r="CJF30" s="175"/>
      <c r="CJG30" s="175"/>
      <c r="CJH30" s="175"/>
      <c r="CJI30" s="175"/>
      <c r="CJJ30" s="175"/>
      <c r="CJK30" s="175"/>
      <c r="CJL30" s="175"/>
      <c r="CJM30" s="175"/>
      <c r="CJN30" s="175"/>
      <c r="CJO30" s="175"/>
      <c r="CJP30" s="175"/>
      <c r="CJQ30" s="175"/>
      <c r="CJR30" s="175"/>
      <c r="CJS30" s="175"/>
      <c r="CJT30" s="175"/>
      <c r="CJU30" s="175"/>
      <c r="CJV30" s="175"/>
      <c r="CJW30" s="175"/>
      <c r="CJX30" s="175"/>
      <c r="CJY30" s="175"/>
      <c r="CJZ30" s="175"/>
      <c r="CKA30" s="175"/>
      <c r="CKB30" s="175"/>
      <c r="CKC30" s="175"/>
      <c r="CKD30" s="175"/>
      <c r="CKE30" s="175"/>
      <c r="CKF30" s="175"/>
      <c r="CKG30" s="175"/>
      <c r="CKH30" s="175"/>
      <c r="CKI30" s="175"/>
      <c r="CKJ30" s="175"/>
      <c r="CKK30" s="175"/>
      <c r="CKL30" s="175"/>
      <c r="CKM30" s="175"/>
      <c r="CKN30" s="175"/>
      <c r="CKO30" s="175"/>
      <c r="CKP30" s="175"/>
      <c r="CKQ30" s="175"/>
      <c r="CKR30" s="175"/>
      <c r="CKS30" s="175"/>
      <c r="CKT30" s="175"/>
      <c r="CKU30" s="175"/>
      <c r="CKV30" s="175"/>
      <c r="CKW30" s="175"/>
      <c r="CKX30" s="175"/>
      <c r="CKY30" s="175"/>
      <c r="CKZ30" s="175"/>
      <c r="CLA30" s="175"/>
      <c r="CLB30" s="175"/>
      <c r="CLC30" s="175"/>
      <c r="CLD30" s="175"/>
      <c r="CLE30" s="175"/>
      <c r="CLF30" s="175"/>
      <c r="CLG30" s="175"/>
      <c r="CLH30" s="175"/>
      <c r="CLI30" s="175"/>
      <c r="CLJ30" s="175"/>
      <c r="CLK30" s="175"/>
      <c r="CLL30" s="175"/>
      <c r="CLM30" s="175"/>
      <c r="CLN30" s="175"/>
      <c r="CLO30" s="175"/>
      <c r="CLP30" s="175"/>
      <c r="CLQ30" s="175"/>
      <c r="CLR30" s="175"/>
      <c r="CLS30" s="175"/>
      <c r="CLT30" s="175"/>
      <c r="CLU30" s="175"/>
      <c r="CLV30" s="175"/>
      <c r="CLW30" s="175"/>
      <c r="CLX30" s="175"/>
      <c r="CLY30" s="175"/>
      <c r="CLZ30" s="175"/>
      <c r="CMA30" s="175"/>
      <c r="CMB30" s="175"/>
      <c r="CMC30" s="175"/>
      <c r="CMD30" s="175"/>
      <c r="CME30" s="175"/>
      <c r="CMF30" s="175"/>
      <c r="CMG30" s="175"/>
      <c r="CMH30" s="175"/>
      <c r="CMI30" s="175"/>
      <c r="CMJ30" s="175"/>
      <c r="CMK30" s="175"/>
      <c r="CML30" s="175"/>
      <c r="CMM30" s="175"/>
      <c r="CMN30" s="175"/>
      <c r="CMO30" s="175"/>
      <c r="CMP30" s="175"/>
      <c r="CMQ30" s="175"/>
      <c r="CMR30" s="175"/>
      <c r="CMS30" s="175"/>
      <c r="CMT30" s="175"/>
      <c r="CMU30" s="175"/>
      <c r="CMV30" s="175"/>
      <c r="CMW30" s="175"/>
      <c r="CMX30" s="175"/>
      <c r="CMY30" s="175"/>
      <c r="CMZ30" s="175"/>
      <c r="CNA30" s="175"/>
      <c r="CNB30" s="175"/>
      <c r="CNC30" s="175"/>
      <c r="CND30" s="175"/>
      <c r="CNE30" s="175"/>
      <c r="CNF30" s="175"/>
      <c r="CNG30" s="175"/>
      <c r="CNH30" s="175"/>
      <c r="CNI30" s="175"/>
      <c r="CNJ30" s="175"/>
      <c r="CNK30" s="175"/>
      <c r="CNL30" s="175"/>
      <c r="CNM30" s="175"/>
      <c r="CNN30" s="175"/>
      <c r="CNO30" s="175"/>
      <c r="CNP30" s="175"/>
      <c r="CNQ30" s="175"/>
      <c r="CNR30" s="175"/>
      <c r="CNS30" s="175"/>
      <c r="CNT30" s="175"/>
      <c r="CNU30" s="175"/>
      <c r="CNV30" s="175"/>
      <c r="CNW30" s="175"/>
      <c r="CNX30" s="175"/>
      <c r="CNY30" s="175"/>
      <c r="CNZ30" s="175"/>
      <c r="COA30" s="175"/>
      <c r="COB30" s="175"/>
      <c r="COC30" s="175"/>
      <c r="COD30" s="175"/>
      <c r="COE30" s="175"/>
      <c r="COF30" s="175"/>
      <c r="COG30" s="175"/>
      <c r="COH30" s="175"/>
      <c r="COI30" s="175"/>
      <c r="COJ30" s="175"/>
      <c r="COK30" s="175"/>
      <c r="COL30" s="175"/>
      <c r="COM30" s="175"/>
      <c r="CON30" s="175"/>
      <c r="COO30" s="175"/>
      <c r="COP30" s="175"/>
      <c r="COQ30" s="175"/>
      <c r="COR30" s="175"/>
      <c r="COS30" s="175"/>
      <c r="COT30" s="175"/>
      <c r="COU30" s="175"/>
      <c r="COV30" s="175"/>
      <c r="COW30" s="175"/>
      <c r="COX30" s="175"/>
      <c r="COY30" s="175"/>
      <c r="COZ30" s="175"/>
      <c r="CPA30" s="175"/>
      <c r="CPB30" s="175"/>
      <c r="CPC30" s="175"/>
      <c r="CPD30" s="175"/>
      <c r="CPE30" s="175"/>
      <c r="CPF30" s="175"/>
      <c r="CPG30" s="175"/>
      <c r="CPH30" s="175"/>
      <c r="CPI30" s="175"/>
      <c r="CPJ30" s="175"/>
      <c r="CPK30" s="175"/>
      <c r="CPL30" s="175"/>
      <c r="CPM30" s="175"/>
      <c r="CPN30" s="175"/>
      <c r="CPO30" s="175"/>
      <c r="CPP30" s="175"/>
      <c r="CPQ30" s="175"/>
      <c r="CPR30" s="175"/>
      <c r="CPS30" s="175"/>
      <c r="CPT30" s="175"/>
      <c r="CPU30" s="175"/>
      <c r="CPV30" s="175"/>
      <c r="CPW30" s="175"/>
      <c r="CPX30" s="175"/>
      <c r="CPY30" s="175"/>
      <c r="CPZ30" s="175"/>
      <c r="CQA30" s="175"/>
      <c r="CQB30" s="175"/>
      <c r="CQC30" s="175"/>
      <c r="CQD30" s="175"/>
      <c r="CQE30" s="175"/>
      <c r="CQF30" s="175"/>
      <c r="CQG30" s="175"/>
      <c r="CQH30" s="175"/>
      <c r="CQI30" s="175"/>
      <c r="CQJ30" s="175"/>
      <c r="CQK30" s="175"/>
      <c r="CQL30" s="175"/>
      <c r="CQM30" s="175"/>
      <c r="CQN30" s="175"/>
      <c r="CQO30" s="175"/>
      <c r="CQP30" s="175"/>
      <c r="CQQ30" s="175"/>
      <c r="CQR30" s="175"/>
      <c r="CQS30" s="175"/>
      <c r="CQT30" s="175"/>
      <c r="CQU30" s="175"/>
      <c r="CQV30" s="175"/>
      <c r="CQW30" s="175"/>
      <c r="CQX30" s="175"/>
      <c r="CQY30" s="175"/>
      <c r="CQZ30" s="175"/>
      <c r="CRA30" s="175"/>
      <c r="CRB30" s="175"/>
      <c r="CRC30" s="175"/>
      <c r="CRD30" s="175"/>
      <c r="CRE30" s="175"/>
      <c r="CRF30" s="175"/>
      <c r="CRG30" s="175"/>
      <c r="CRH30" s="175"/>
      <c r="CRI30" s="175"/>
      <c r="CRJ30" s="175"/>
      <c r="CRK30" s="175"/>
      <c r="CRL30" s="175"/>
      <c r="CRM30" s="175"/>
      <c r="CRN30" s="175"/>
      <c r="CRO30" s="175"/>
      <c r="CRP30" s="175"/>
      <c r="CRQ30" s="175"/>
      <c r="CRR30" s="175"/>
      <c r="CRS30" s="175"/>
      <c r="CRT30" s="175"/>
      <c r="CRU30" s="175"/>
      <c r="CRV30" s="175"/>
      <c r="CRW30" s="175"/>
      <c r="CRX30" s="175"/>
      <c r="CRY30" s="175"/>
      <c r="CRZ30" s="175"/>
      <c r="CSA30" s="175"/>
      <c r="CSB30" s="175"/>
      <c r="CSC30" s="175"/>
      <c r="CSD30" s="175"/>
      <c r="CSE30" s="175"/>
      <c r="CSF30" s="175"/>
      <c r="CSG30" s="175"/>
      <c r="CSH30" s="175"/>
      <c r="CSI30" s="175"/>
      <c r="CSJ30" s="175"/>
      <c r="CSK30" s="175"/>
      <c r="CSL30" s="175"/>
      <c r="CSM30" s="175"/>
      <c r="CSN30" s="175"/>
      <c r="CSO30" s="175"/>
      <c r="CSP30" s="175"/>
      <c r="CSQ30" s="175"/>
      <c r="CSR30" s="175"/>
      <c r="CSS30" s="175"/>
      <c r="CST30" s="175"/>
      <c r="CSU30" s="175"/>
      <c r="CSV30" s="175"/>
      <c r="CSW30" s="175"/>
      <c r="CSX30" s="175"/>
      <c r="CSY30" s="175"/>
      <c r="CSZ30" s="175"/>
      <c r="CTA30" s="175"/>
      <c r="CTB30" s="175"/>
      <c r="CTC30" s="175"/>
      <c r="CTD30" s="175"/>
      <c r="CTE30" s="175"/>
      <c r="CTF30" s="175"/>
      <c r="CTG30" s="175"/>
      <c r="CTH30" s="175"/>
      <c r="CTI30" s="175"/>
      <c r="CTJ30" s="175"/>
      <c r="CTK30" s="175"/>
      <c r="CTL30" s="175"/>
      <c r="CTM30" s="175"/>
      <c r="CTN30" s="175"/>
      <c r="CTO30" s="175"/>
      <c r="CTP30" s="175"/>
      <c r="CTQ30" s="175"/>
      <c r="CTR30" s="175"/>
      <c r="CTS30" s="175"/>
      <c r="CTT30" s="175"/>
      <c r="CTU30" s="175"/>
      <c r="CTV30" s="175"/>
      <c r="CTW30" s="175"/>
      <c r="CTX30" s="175"/>
      <c r="CTY30" s="175"/>
      <c r="CTZ30" s="175"/>
      <c r="CUA30" s="175"/>
      <c r="CUB30" s="175"/>
      <c r="CUC30" s="175"/>
      <c r="CUD30" s="175"/>
      <c r="CUE30" s="175"/>
      <c r="CUF30" s="175"/>
      <c r="CUG30" s="175"/>
      <c r="CUH30" s="175"/>
      <c r="CUI30" s="175"/>
      <c r="CUJ30" s="175"/>
      <c r="CUK30" s="175"/>
      <c r="CUL30" s="175"/>
      <c r="CUM30" s="175"/>
      <c r="CUN30" s="175"/>
      <c r="CUO30" s="175"/>
      <c r="CUP30" s="175"/>
      <c r="CUQ30" s="175"/>
      <c r="CUR30" s="175"/>
      <c r="CUS30" s="175"/>
      <c r="CUT30" s="175"/>
      <c r="CUU30" s="175"/>
      <c r="CUV30" s="175"/>
      <c r="CUW30" s="175"/>
      <c r="CUX30" s="175"/>
      <c r="CUY30" s="175"/>
      <c r="CUZ30" s="175"/>
      <c r="CVA30" s="175"/>
      <c r="CVB30" s="175"/>
      <c r="CVC30" s="175"/>
      <c r="CVD30" s="175"/>
      <c r="CVE30" s="175"/>
      <c r="CVF30" s="175"/>
      <c r="CVG30" s="175"/>
      <c r="CVH30" s="175"/>
      <c r="CVI30" s="175"/>
      <c r="CVJ30" s="175"/>
      <c r="CVK30" s="175"/>
      <c r="CVL30" s="175"/>
      <c r="CVM30" s="175"/>
      <c r="CVN30" s="175"/>
      <c r="CVO30" s="175"/>
      <c r="CVP30" s="175"/>
      <c r="CVQ30" s="175"/>
      <c r="CVR30" s="175"/>
      <c r="CVS30" s="175"/>
      <c r="CVT30" s="175"/>
      <c r="CVU30" s="175"/>
      <c r="CVV30" s="175"/>
      <c r="CVW30" s="175"/>
      <c r="CVX30" s="175"/>
      <c r="CVY30" s="175"/>
      <c r="CVZ30" s="175"/>
      <c r="CWA30" s="175"/>
      <c r="CWB30" s="175"/>
      <c r="CWC30" s="175"/>
      <c r="CWD30" s="175"/>
      <c r="CWE30" s="175"/>
      <c r="CWF30" s="175"/>
      <c r="CWG30" s="175"/>
      <c r="CWH30" s="175"/>
      <c r="CWI30" s="175"/>
      <c r="CWJ30" s="175"/>
      <c r="CWK30" s="175"/>
      <c r="CWL30" s="175"/>
      <c r="CWM30" s="175"/>
      <c r="CWN30" s="175"/>
      <c r="CWO30" s="175"/>
      <c r="CWP30" s="175"/>
      <c r="CWQ30" s="175"/>
      <c r="CWR30" s="175"/>
      <c r="CWS30" s="175"/>
      <c r="CWT30" s="175"/>
      <c r="CWU30" s="175"/>
      <c r="CWV30" s="175"/>
      <c r="CWW30" s="175"/>
      <c r="CWX30" s="175"/>
      <c r="CWY30" s="175"/>
      <c r="CWZ30" s="175"/>
      <c r="CXA30" s="175"/>
      <c r="CXB30" s="175"/>
      <c r="CXC30" s="175"/>
      <c r="CXD30" s="175"/>
      <c r="CXE30" s="175"/>
      <c r="CXF30" s="175"/>
      <c r="CXG30" s="175"/>
      <c r="CXH30" s="175"/>
      <c r="CXI30" s="175"/>
      <c r="CXJ30" s="175"/>
      <c r="CXK30" s="175"/>
      <c r="CXL30" s="175"/>
      <c r="CXM30" s="175"/>
      <c r="CXN30" s="175"/>
      <c r="CXO30" s="175"/>
      <c r="CXP30" s="175"/>
      <c r="CXQ30" s="175"/>
      <c r="CXR30" s="175"/>
      <c r="CXS30" s="175"/>
      <c r="CXT30" s="175"/>
      <c r="CXU30" s="175"/>
      <c r="CXV30" s="175"/>
      <c r="CXW30" s="175"/>
      <c r="CXX30" s="175"/>
      <c r="CXY30" s="175"/>
      <c r="CXZ30" s="175"/>
      <c r="CYA30" s="175"/>
      <c r="CYB30" s="175"/>
      <c r="CYC30" s="175"/>
      <c r="CYD30" s="175"/>
      <c r="CYE30" s="175"/>
      <c r="CYF30" s="175"/>
      <c r="CYG30" s="175"/>
      <c r="CYH30" s="175"/>
      <c r="CYI30" s="175"/>
      <c r="CYJ30" s="175"/>
      <c r="CYK30" s="175"/>
      <c r="CYL30" s="175"/>
      <c r="CYM30" s="175"/>
      <c r="CYN30" s="175"/>
      <c r="CYO30" s="175"/>
      <c r="CYP30" s="175"/>
      <c r="CYQ30" s="175"/>
      <c r="CYR30" s="175"/>
      <c r="CYS30" s="175"/>
      <c r="CYT30" s="175"/>
      <c r="CYU30" s="175"/>
      <c r="CYV30" s="175"/>
      <c r="CYW30" s="175"/>
      <c r="CYX30" s="175"/>
      <c r="CYY30" s="175"/>
      <c r="CYZ30" s="175"/>
      <c r="CZA30" s="175"/>
      <c r="CZB30" s="175"/>
      <c r="CZC30" s="175"/>
      <c r="CZD30" s="175"/>
      <c r="CZE30" s="175"/>
      <c r="CZF30" s="175"/>
      <c r="CZG30" s="175"/>
      <c r="CZH30" s="175"/>
      <c r="CZI30" s="175"/>
      <c r="CZJ30" s="175"/>
      <c r="CZK30" s="175"/>
      <c r="CZL30" s="175"/>
      <c r="CZM30" s="175"/>
      <c r="CZN30" s="175"/>
      <c r="CZO30" s="175"/>
      <c r="CZP30" s="175"/>
      <c r="CZQ30" s="175"/>
      <c r="CZR30" s="175"/>
      <c r="CZS30" s="175"/>
      <c r="CZT30" s="175"/>
      <c r="CZU30" s="175"/>
      <c r="CZV30" s="175"/>
      <c r="CZW30" s="175"/>
      <c r="CZX30" s="175"/>
      <c r="CZY30" s="175"/>
      <c r="CZZ30" s="175"/>
      <c r="DAA30" s="175"/>
      <c r="DAB30" s="175"/>
      <c r="DAC30" s="175"/>
      <c r="DAD30" s="175"/>
      <c r="DAE30" s="175"/>
      <c r="DAF30" s="175"/>
      <c r="DAG30" s="175"/>
      <c r="DAH30" s="175"/>
      <c r="DAI30" s="175"/>
      <c r="DAJ30" s="175"/>
      <c r="DAK30" s="175"/>
      <c r="DAL30" s="175"/>
      <c r="DAM30" s="175"/>
      <c r="DAN30" s="175"/>
      <c r="DAO30" s="175"/>
      <c r="DAP30" s="175"/>
      <c r="DAQ30" s="175"/>
      <c r="DAR30" s="175"/>
      <c r="DAS30" s="175"/>
      <c r="DAT30" s="175"/>
      <c r="DAU30" s="175"/>
      <c r="DAV30" s="175"/>
      <c r="DAW30" s="175"/>
      <c r="DAX30" s="175"/>
      <c r="DAY30" s="175"/>
      <c r="DAZ30" s="175"/>
      <c r="DBA30" s="175"/>
      <c r="DBB30" s="175"/>
      <c r="DBC30" s="175"/>
      <c r="DBD30" s="175"/>
      <c r="DBE30" s="175"/>
      <c r="DBF30" s="175"/>
      <c r="DBG30" s="175"/>
      <c r="DBH30" s="175"/>
      <c r="DBI30" s="175"/>
      <c r="DBJ30" s="175"/>
      <c r="DBK30" s="175"/>
      <c r="DBL30" s="175"/>
      <c r="DBM30" s="175"/>
      <c r="DBN30" s="175"/>
      <c r="DBO30" s="175"/>
      <c r="DBP30" s="175"/>
      <c r="DBQ30" s="175"/>
      <c r="DBR30" s="175"/>
      <c r="DBS30" s="175"/>
      <c r="DBT30" s="175"/>
      <c r="DBU30" s="175"/>
      <c r="DBV30" s="175"/>
      <c r="DBW30" s="175"/>
      <c r="DBX30" s="175"/>
      <c r="DBY30" s="175"/>
      <c r="DBZ30" s="175"/>
      <c r="DCA30" s="175"/>
      <c r="DCB30" s="175"/>
      <c r="DCC30" s="175"/>
      <c r="DCD30" s="175"/>
      <c r="DCE30" s="175"/>
      <c r="DCF30" s="175"/>
      <c r="DCG30" s="175"/>
      <c r="DCH30" s="175"/>
      <c r="DCI30" s="175"/>
      <c r="DCJ30" s="175"/>
      <c r="DCK30" s="175"/>
      <c r="DCL30" s="175"/>
      <c r="DCM30" s="175"/>
      <c r="DCN30" s="175"/>
      <c r="DCO30" s="175"/>
      <c r="DCP30" s="175"/>
      <c r="DCQ30" s="175"/>
      <c r="DCR30" s="175"/>
      <c r="DCS30" s="175"/>
      <c r="DCT30" s="175"/>
      <c r="DCU30" s="175"/>
      <c r="DCV30" s="175"/>
      <c r="DCW30" s="175"/>
      <c r="DCX30" s="175"/>
      <c r="DCY30" s="175"/>
      <c r="DCZ30" s="175"/>
      <c r="DDA30" s="175"/>
      <c r="DDB30" s="175"/>
      <c r="DDC30" s="175"/>
      <c r="DDD30" s="175"/>
      <c r="DDE30" s="175"/>
      <c r="DDF30" s="175"/>
      <c r="DDG30" s="175"/>
      <c r="DDH30" s="175"/>
      <c r="DDI30" s="175"/>
      <c r="DDJ30" s="175"/>
      <c r="DDK30" s="175"/>
      <c r="DDL30" s="175"/>
      <c r="DDM30" s="175"/>
      <c r="DDN30" s="175"/>
      <c r="DDO30" s="175"/>
      <c r="DDP30" s="175"/>
      <c r="DDQ30" s="175"/>
      <c r="DDR30" s="175"/>
      <c r="DDS30" s="175"/>
      <c r="DDT30" s="175"/>
      <c r="DDU30" s="175"/>
      <c r="DDV30" s="175"/>
      <c r="DDW30" s="175"/>
      <c r="DDX30" s="175"/>
      <c r="DDY30" s="175"/>
      <c r="DDZ30" s="175"/>
      <c r="DEA30" s="175"/>
      <c r="DEB30" s="175"/>
      <c r="DEC30" s="175"/>
      <c r="DED30" s="175"/>
      <c r="DEE30" s="175"/>
      <c r="DEF30" s="175"/>
      <c r="DEG30" s="175"/>
      <c r="DEH30" s="175"/>
      <c r="DEI30" s="175"/>
      <c r="DEJ30" s="175"/>
      <c r="DEK30" s="175"/>
      <c r="DEL30" s="175"/>
      <c r="DEM30" s="175"/>
      <c r="DEN30" s="175"/>
      <c r="DEO30" s="175"/>
      <c r="DEP30" s="175"/>
      <c r="DEQ30" s="175"/>
      <c r="DER30" s="175"/>
      <c r="DES30" s="175"/>
      <c r="DET30" s="175"/>
      <c r="DEU30" s="175"/>
      <c r="DEV30" s="175"/>
      <c r="DEW30" s="175"/>
      <c r="DEX30" s="175"/>
      <c r="DEY30" s="175"/>
      <c r="DEZ30" s="175"/>
      <c r="DFA30" s="175"/>
      <c r="DFB30" s="175"/>
      <c r="DFC30" s="175"/>
      <c r="DFD30" s="175"/>
      <c r="DFE30" s="175"/>
      <c r="DFF30" s="175"/>
      <c r="DFG30" s="175"/>
      <c r="DFH30" s="175"/>
      <c r="DFI30" s="175"/>
      <c r="DFJ30" s="175"/>
      <c r="DFK30" s="175"/>
      <c r="DFL30" s="175"/>
      <c r="DFM30" s="175"/>
      <c r="DFN30" s="175"/>
      <c r="DFO30" s="175"/>
      <c r="DFP30" s="175"/>
      <c r="DFQ30" s="175"/>
      <c r="DFR30" s="175"/>
      <c r="DFS30" s="175"/>
      <c r="DFT30" s="175"/>
      <c r="DFU30" s="175"/>
      <c r="DFV30" s="175"/>
      <c r="DFW30" s="175"/>
      <c r="DFX30" s="175"/>
      <c r="DFY30" s="175"/>
      <c r="DFZ30" s="175"/>
      <c r="DGA30" s="175"/>
      <c r="DGB30" s="175"/>
      <c r="DGC30" s="175"/>
      <c r="DGD30" s="175"/>
      <c r="DGE30" s="175"/>
      <c r="DGF30" s="175"/>
      <c r="DGG30" s="175"/>
      <c r="DGH30" s="175"/>
      <c r="DGI30" s="175"/>
      <c r="DGJ30" s="175"/>
      <c r="DGK30" s="175"/>
      <c r="DGL30" s="175"/>
      <c r="DGM30" s="175"/>
      <c r="DGN30" s="175"/>
      <c r="DGO30" s="175"/>
      <c r="DGP30" s="175"/>
      <c r="DGQ30" s="175"/>
      <c r="DGR30" s="175"/>
      <c r="DGS30" s="175"/>
      <c r="DGT30" s="175"/>
      <c r="DGU30" s="175"/>
      <c r="DGV30" s="175"/>
      <c r="DGW30" s="175"/>
      <c r="DGX30" s="175"/>
      <c r="DGY30" s="175"/>
      <c r="DGZ30" s="175"/>
      <c r="DHA30" s="175"/>
      <c r="DHB30" s="175"/>
      <c r="DHC30" s="175"/>
      <c r="DHD30" s="175"/>
      <c r="DHE30" s="175"/>
      <c r="DHF30" s="175"/>
      <c r="DHG30" s="175"/>
      <c r="DHH30" s="175"/>
      <c r="DHI30" s="175"/>
      <c r="DHJ30" s="175"/>
      <c r="DHK30" s="175"/>
      <c r="DHL30" s="175"/>
      <c r="DHM30" s="175"/>
      <c r="DHN30" s="175"/>
      <c r="DHO30" s="175"/>
      <c r="DHP30" s="175"/>
      <c r="DHQ30" s="175"/>
      <c r="DHR30" s="175"/>
      <c r="DHS30" s="175"/>
      <c r="DHT30" s="175"/>
      <c r="DHU30" s="175"/>
      <c r="DHV30" s="175"/>
      <c r="DHW30" s="175"/>
      <c r="DHX30" s="175"/>
      <c r="DHY30" s="175"/>
      <c r="DHZ30" s="175"/>
      <c r="DIA30" s="175"/>
      <c r="DIB30" s="175"/>
      <c r="DIC30" s="175"/>
      <c r="DID30" s="175"/>
      <c r="DIE30" s="175"/>
      <c r="DIF30" s="175"/>
      <c r="DIG30" s="175"/>
      <c r="DIH30" s="175"/>
      <c r="DII30" s="175"/>
      <c r="DIJ30" s="175"/>
      <c r="DIK30" s="175"/>
      <c r="DIL30" s="175"/>
      <c r="DIM30" s="175"/>
      <c r="DIN30" s="175"/>
      <c r="DIO30" s="175"/>
      <c r="DIP30" s="175"/>
      <c r="DIQ30" s="175"/>
      <c r="DIR30" s="175"/>
      <c r="DIS30" s="175"/>
      <c r="DIT30" s="175"/>
      <c r="DIU30" s="175"/>
      <c r="DIV30" s="175"/>
      <c r="DIW30" s="175"/>
      <c r="DIX30" s="175"/>
      <c r="DIY30" s="175"/>
      <c r="DIZ30" s="175"/>
      <c r="DJA30" s="175"/>
      <c r="DJB30" s="175"/>
      <c r="DJC30" s="175"/>
      <c r="DJD30" s="175"/>
      <c r="DJE30" s="175"/>
      <c r="DJF30" s="175"/>
      <c r="DJG30" s="175"/>
      <c r="DJH30" s="175"/>
      <c r="DJI30" s="175"/>
      <c r="DJJ30" s="175"/>
      <c r="DJK30" s="175"/>
      <c r="DJL30" s="175"/>
      <c r="DJM30" s="175"/>
      <c r="DJN30" s="175"/>
      <c r="DJO30" s="175"/>
      <c r="DJP30" s="175"/>
      <c r="DJQ30" s="175"/>
      <c r="DJR30" s="175"/>
      <c r="DJS30" s="175"/>
      <c r="DJT30" s="175"/>
      <c r="DJU30" s="175"/>
      <c r="DJV30" s="175"/>
      <c r="DJW30" s="175"/>
      <c r="DJX30" s="175"/>
      <c r="DJY30" s="175"/>
      <c r="DJZ30" s="175"/>
      <c r="DKA30" s="175"/>
      <c r="DKB30" s="175"/>
      <c r="DKC30" s="175"/>
      <c r="DKD30" s="175"/>
      <c r="DKE30" s="175"/>
      <c r="DKF30" s="175"/>
      <c r="DKG30" s="175"/>
      <c r="DKH30" s="175"/>
      <c r="DKI30" s="175"/>
      <c r="DKJ30" s="175"/>
      <c r="DKK30" s="175"/>
      <c r="DKL30" s="175"/>
      <c r="DKM30" s="175"/>
      <c r="DKN30" s="175"/>
      <c r="DKO30" s="175"/>
      <c r="DKP30" s="175"/>
      <c r="DKQ30" s="175"/>
      <c r="DKR30" s="175"/>
      <c r="DKS30" s="175"/>
      <c r="DKT30" s="175"/>
      <c r="DKU30" s="175"/>
      <c r="DKV30" s="175"/>
      <c r="DKW30" s="175"/>
      <c r="DKX30" s="175"/>
      <c r="DKY30" s="175"/>
      <c r="DKZ30" s="175"/>
      <c r="DLA30" s="175"/>
      <c r="DLB30" s="175"/>
      <c r="DLC30" s="175"/>
      <c r="DLD30" s="175"/>
      <c r="DLE30" s="175"/>
      <c r="DLF30" s="175"/>
      <c r="DLG30" s="175"/>
      <c r="DLH30" s="175"/>
      <c r="DLI30" s="175"/>
      <c r="DLJ30" s="175"/>
      <c r="DLK30" s="175"/>
      <c r="DLL30" s="175"/>
      <c r="DLM30" s="175"/>
      <c r="DLN30" s="175"/>
      <c r="DLO30" s="175"/>
      <c r="DLP30" s="175"/>
      <c r="DLQ30" s="175"/>
      <c r="DLR30" s="175"/>
      <c r="DLS30" s="175"/>
      <c r="DLT30" s="175"/>
      <c r="DLU30" s="175"/>
      <c r="DLV30" s="175"/>
      <c r="DLW30" s="175"/>
      <c r="DLX30" s="175"/>
      <c r="DLY30" s="175"/>
      <c r="DLZ30" s="175"/>
      <c r="DMA30" s="175"/>
      <c r="DMB30" s="175"/>
      <c r="DMC30" s="175"/>
      <c r="DMD30" s="175"/>
      <c r="DME30" s="175"/>
      <c r="DMF30" s="175"/>
      <c r="DMG30" s="175"/>
      <c r="DMH30" s="175"/>
      <c r="DMI30" s="175"/>
      <c r="DMJ30" s="175"/>
      <c r="DMK30" s="175"/>
      <c r="DML30" s="175"/>
      <c r="DMM30" s="175"/>
      <c r="DMN30" s="175"/>
      <c r="DMO30" s="175"/>
      <c r="DMP30" s="175"/>
      <c r="DMQ30" s="175"/>
      <c r="DMR30" s="175"/>
      <c r="DMS30" s="175"/>
      <c r="DMT30" s="175"/>
      <c r="DMU30" s="175"/>
      <c r="DMV30" s="175"/>
      <c r="DMW30" s="175"/>
      <c r="DMX30" s="175"/>
      <c r="DMY30" s="175"/>
      <c r="DMZ30" s="175"/>
      <c r="DNA30" s="175"/>
      <c r="DNB30" s="175"/>
      <c r="DNC30" s="175"/>
      <c r="DND30" s="175"/>
      <c r="DNE30" s="175"/>
      <c r="DNF30" s="175"/>
      <c r="DNG30" s="175"/>
      <c r="DNH30" s="175"/>
      <c r="DNI30" s="175"/>
      <c r="DNJ30" s="175"/>
      <c r="DNK30" s="175"/>
      <c r="DNL30" s="175"/>
      <c r="DNM30" s="175"/>
      <c r="DNN30" s="175"/>
      <c r="DNO30" s="175"/>
      <c r="DNP30" s="175"/>
      <c r="DNQ30" s="175"/>
      <c r="DNR30" s="175"/>
      <c r="DNS30" s="175"/>
      <c r="DNT30" s="175"/>
      <c r="DNU30" s="175"/>
      <c r="DNV30" s="175"/>
      <c r="DNW30" s="175"/>
      <c r="DNX30" s="175"/>
      <c r="DNY30" s="175"/>
      <c r="DNZ30" s="175"/>
      <c r="DOA30" s="175"/>
      <c r="DOB30" s="175"/>
      <c r="DOC30" s="175"/>
      <c r="DOD30" s="175"/>
      <c r="DOE30" s="175"/>
      <c r="DOF30" s="175"/>
      <c r="DOG30" s="175"/>
      <c r="DOH30" s="175"/>
      <c r="DOI30" s="175"/>
      <c r="DOJ30" s="175"/>
      <c r="DOK30" s="175"/>
      <c r="DOL30" s="175"/>
      <c r="DOM30" s="175"/>
      <c r="DON30" s="175"/>
      <c r="DOO30" s="175"/>
      <c r="DOP30" s="175"/>
      <c r="DOQ30" s="175"/>
      <c r="DOR30" s="175"/>
      <c r="DOS30" s="175"/>
      <c r="DOT30" s="175"/>
      <c r="DOU30" s="175"/>
      <c r="DOV30" s="175"/>
      <c r="DOW30" s="175"/>
      <c r="DOX30" s="175"/>
      <c r="DOY30" s="175"/>
      <c r="DOZ30" s="175"/>
      <c r="DPA30" s="175"/>
      <c r="DPB30" s="175"/>
      <c r="DPC30" s="175"/>
      <c r="DPD30" s="175"/>
      <c r="DPE30" s="175"/>
      <c r="DPF30" s="175"/>
      <c r="DPG30" s="175"/>
      <c r="DPH30" s="175"/>
      <c r="DPI30" s="175"/>
      <c r="DPJ30" s="175"/>
      <c r="DPK30" s="175"/>
      <c r="DPL30" s="175"/>
      <c r="DPM30" s="175"/>
      <c r="DPN30" s="175"/>
      <c r="DPO30" s="175"/>
      <c r="DPP30" s="175"/>
      <c r="DPQ30" s="175"/>
      <c r="DPR30" s="175"/>
      <c r="DPS30" s="175"/>
      <c r="DPT30" s="175"/>
      <c r="DPU30" s="175"/>
      <c r="DPV30" s="175"/>
      <c r="DPW30" s="175"/>
      <c r="DPX30" s="175"/>
      <c r="DPY30" s="175"/>
      <c r="DPZ30" s="175"/>
      <c r="DQA30" s="175"/>
      <c r="DQB30" s="175"/>
      <c r="DQC30" s="175"/>
      <c r="DQD30" s="175"/>
      <c r="DQE30" s="175"/>
      <c r="DQF30" s="175"/>
      <c r="DQG30" s="175"/>
      <c r="DQH30" s="175"/>
      <c r="DQI30" s="175"/>
      <c r="DQJ30" s="175"/>
      <c r="DQK30" s="175"/>
      <c r="DQL30" s="175"/>
      <c r="DQM30" s="175"/>
      <c r="DQN30" s="175"/>
      <c r="DQO30" s="175"/>
      <c r="DQP30" s="175"/>
      <c r="DQQ30" s="175"/>
      <c r="DQR30" s="175"/>
      <c r="DQS30" s="175"/>
      <c r="DQT30" s="175"/>
      <c r="DQU30" s="175"/>
      <c r="DQV30" s="175"/>
      <c r="DQW30" s="175"/>
      <c r="DQX30" s="175"/>
      <c r="DQY30" s="175"/>
      <c r="DQZ30" s="175"/>
      <c r="DRA30" s="175"/>
      <c r="DRB30" s="175"/>
      <c r="DRC30" s="175"/>
      <c r="DRD30" s="175"/>
      <c r="DRE30" s="175"/>
      <c r="DRF30" s="175"/>
      <c r="DRG30" s="175"/>
      <c r="DRH30" s="175"/>
      <c r="DRI30" s="175"/>
      <c r="DRJ30" s="175"/>
      <c r="DRK30" s="175"/>
      <c r="DRL30" s="175"/>
      <c r="DRM30" s="175"/>
      <c r="DRN30" s="175"/>
      <c r="DRO30" s="175"/>
      <c r="DRP30" s="175"/>
      <c r="DRQ30" s="175"/>
      <c r="DRR30" s="175"/>
      <c r="DRS30" s="175"/>
      <c r="DRT30" s="175"/>
      <c r="DRU30" s="175"/>
      <c r="DRV30" s="175"/>
      <c r="DRW30" s="175"/>
      <c r="DRX30" s="175"/>
      <c r="DRY30" s="175"/>
      <c r="DRZ30" s="175"/>
      <c r="DSA30" s="175"/>
      <c r="DSB30" s="175"/>
      <c r="DSC30" s="175"/>
      <c r="DSD30" s="175"/>
      <c r="DSE30" s="175"/>
      <c r="DSF30" s="175"/>
      <c r="DSG30" s="175"/>
      <c r="DSH30" s="175"/>
      <c r="DSI30" s="175"/>
      <c r="DSJ30" s="175"/>
      <c r="DSK30" s="175"/>
      <c r="DSL30" s="175"/>
      <c r="DSM30" s="175"/>
      <c r="DSN30" s="175"/>
      <c r="DSO30" s="175"/>
      <c r="DSP30" s="175"/>
      <c r="DSQ30" s="175"/>
      <c r="DSR30" s="175"/>
      <c r="DSS30" s="175"/>
      <c r="DST30" s="175"/>
      <c r="DSU30" s="175"/>
      <c r="DSV30" s="175"/>
      <c r="DSW30" s="175"/>
      <c r="DSX30" s="175"/>
      <c r="DSY30" s="175"/>
      <c r="DSZ30" s="175"/>
      <c r="DTA30" s="175"/>
      <c r="DTB30" s="175"/>
      <c r="DTC30" s="175"/>
      <c r="DTD30" s="175"/>
      <c r="DTE30" s="175"/>
      <c r="DTF30" s="175"/>
      <c r="DTG30" s="175"/>
      <c r="DTH30" s="175"/>
      <c r="DTI30" s="175"/>
      <c r="DTJ30" s="175"/>
      <c r="DTK30" s="175"/>
      <c r="DTL30" s="175"/>
      <c r="DTM30" s="175"/>
      <c r="DTN30" s="175"/>
      <c r="DTO30" s="175"/>
      <c r="DTP30" s="175"/>
      <c r="DTQ30" s="175"/>
      <c r="DTR30" s="175"/>
      <c r="DTS30" s="175"/>
      <c r="DTT30" s="175"/>
      <c r="DTU30" s="175"/>
      <c r="DTV30" s="175"/>
      <c r="DTW30" s="175"/>
      <c r="DTX30" s="175"/>
      <c r="DTY30" s="175"/>
      <c r="DTZ30" s="175"/>
      <c r="DUA30" s="175"/>
      <c r="DUB30" s="175"/>
      <c r="DUC30" s="175"/>
      <c r="DUD30" s="175"/>
      <c r="DUE30" s="175"/>
      <c r="DUF30" s="175"/>
      <c r="DUG30" s="175"/>
      <c r="DUH30" s="175"/>
      <c r="DUI30" s="175"/>
      <c r="DUJ30" s="175"/>
      <c r="DUK30" s="175"/>
      <c r="DUL30" s="175"/>
      <c r="DUM30" s="175"/>
      <c r="DUN30" s="175"/>
      <c r="DUO30" s="175"/>
      <c r="DUP30" s="175"/>
      <c r="DUQ30" s="175"/>
      <c r="DUR30" s="175"/>
      <c r="DUS30" s="175"/>
      <c r="DUT30" s="175"/>
      <c r="DUU30" s="175"/>
      <c r="DUV30" s="175"/>
      <c r="DUW30" s="175"/>
      <c r="DUX30" s="175"/>
      <c r="DUY30" s="175"/>
      <c r="DUZ30" s="175"/>
      <c r="DVA30" s="175"/>
      <c r="DVB30" s="175"/>
      <c r="DVC30" s="175"/>
      <c r="DVD30" s="175"/>
      <c r="DVE30" s="175"/>
      <c r="DVF30" s="175"/>
      <c r="DVG30" s="175"/>
      <c r="DVH30" s="175"/>
      <c r="DVI30" s="175"/>
      <c r="DVJ30" s="175"/>
      <c r="DVK30" s="175"/>
      <c r="DVL30" s="175"/>
      <c r="DVM30" s="175"/>
      <c r="DVN30" s="175"/>
      <c r="DVO30" s="175"/>
      <c r="DVP30" s="175"/>
      <c r="DVQ30" s="175"/>
      <c r="DVR30" s="175"/>
      <c r="DVS30" s="175"/>
      <c r="DVT30" s="175"/>
      <c r="DVU30" s="175"/>
      <c r="DVV30" s="175"/>
      <c r="DVW30" s="175"/>
      <c r="DVX30" s="175"/>
      <c r="DVY30" s="175"/>
      <c r="DVZ30" s="175"/>
      <c r="DWA30" s="175"/>
      <c r="DWB30" s="175"/>
      <c r="DWC30" s="175"/>
      <c r="DWD30" s="175"/>
      <c r="DWE30" s="175"/>
      <c r="DWF30" s="175"/>
      <c r="DWG30" s="175"/>
      <c r="DWH30" s="175"/>
      <c r="DWI30" s="175"/>
      <c r="DWJ30" s="175"/>
      <c r="DWK30" s="175"/>
      <c r="DWL30" s="175"/>
      <c r="DWM30" s="175"/>
      <c r="DWN30" s="175"/>
      <c r="DWO30" s="175"/>
      <c r="DWP30" s="175"/>
      <c r="DWQ30" s="175"/>
      <c r="DWR30" s="175"/>
      <c r="DWS30" s="175"/>
      <c r="DWT30" s="175"/>
      <c r="DWU30" s="175"/>
      <c r="DWV30" s="175"/>
      <c r="DWW30" s="175"/>
      <c r="DWX30" s="175"/>
      <c r="DWY30" s="175"/>
      <c r="DWZ30" s="175"/>
      <c r="DXA30" s="175"/>
      <c r="DXB30" s="175"/>
      <c r="DXC30" s="175"/>
      <c r="DXD30" s="175"/>
      <c r="DXE30" s="175"/>
      <c r="DXF30" s="175"/>
      <c r="DXG30" s="175"/>
      <c r="DXH30" s="175"/>
      <c r="DXI30" s="175"/>
      <c r="DXJ30" s="175"/>
      <c r="DXK30" s="175"/>
      <c r="DXL30" s="175"/>
      <c r="DXM30" s="175"/>
      <c r="DXN30" s="175"/>
      <c r="DXO30" s="175"/>
      <c r="DXP30" s="175"/>
      <c r="DXQ30" s="175"/>
      <c r="DXR30" s="175"/>
      <c r="DXS30" s="175"/>
      <c r="DXT30" s="175"/>
      <c r="DXU30" s="175"/>
      <c r="DXV30" s="175"/>
      <c r="DXW30" s="175"/>
      <c r="DXX30" s="175"/>
      <c r="DXY30" s="175"/>
      <c r="DXZ30" s="175"/>
      <c r="DYA30" s="175"/>
      <c r="DYB30" s="175"/>
      <c r="DYC30" s="175"/>
      <c r="DYD30" s="175"/>
      <c r="DYE30" s="175"/>
      <c r="DYF30" s="175"/>
      <c r="DYG30" s="175"/>
      <c r="DYH30" s="175"/>
      <c r="DYI30" s="175"/>
      <c r="DYJ30" s="175"/>
      <c r="DYK30" s="175"/>
      <c r="DYL30" s="175"/>
      <c r="DYM30" s="175"/>
      <c r="DYN30" s="175"/>
      <c r="DYO30" s="175"/>
      <c r="DYP30" s="175"/>
      <c r="DYQ30" s="175"/>
      <c r="DYR30" s="175"/>
      <c r="DYS30" s="175"/>
      <c r="DYT30" s="175"/>
      <c r="DYU30" s="175"/>
      <c r="DYV30" s="175"/>
      <c r="DYW30" s="175"/>
      <c r="DYX30" s="175"/>
      <c r="DYY30" s="175"/>
      <c r="DYZ30" s="175"/>
      <c r="DZA30" s="175"/>
      <c r="DZB30" s="175"/>
      <c r="DZC30" s="175"/>
      <c r="DZD30" s="175"/>
      <c r="DZE30" s="175"/>
      <c r="DZF30" s="175"/>
      <c r="DZG30" s="175"/>
      <c r="DZH30" s="175"/>
      <c r="DZI30" s="175"/>
      <c r="DZJ30" s="175"/>
      <c r="DZK30" s="175"/>
      <c r="DZL30" s="175"/>
      <c r="DZM30" s="175"/>
      <c r="DZN30" s="175"/>
      <c r="DZO30" s="175"/>
      <c r="DZP30" s="175"/>
      <c r="DZQ30" s="175"/>
      <c r="DZR30" s="175"/>
      <c r="DZS30" s="175"/>
      <c r="DZT30" s="175"/>
      <c r="DZU30" s="175"/>
      <c r="DZV30" s="175"/>
      <c r="DZW30" s="175"/>
      <c r="DZX30" s="175"/>
      <c r="DZY30" s="175"/>
      <c r="DZZ30" s="175"/>
      <c r="EAA30" s="175"/>
      <c r="EAB30" s="175"/>
      <c r="EAC30" s="175"/>
      <c r="EAD30" s="175"/>
      <c r="EAE30" s="175"/>
      <c r="EAF30" s="175"/>
      <c r="EAG30" s="175"/>
      <c r="EAH30" s="175"/>
      <c r="EAI30" s="175"/>
      <c r="EAJ30" s="175"/>
      <c r="EAK30" s="175"/>
      <c r="EAL30" s="175"/>
      <c r="EAM30" s="175"/>
      <c r="EAN30" s="175"/>
      <c r="EAO30" s="175"/>
      <c r="EAP30" s="175"/>
      <c r="EAQ30" s="175"/>
      <c r="EAR30" s="175"/>
      <c r="EAS30" s="175"/>
      <c r="EAT30" s="175"/>
      <c r="EAU30" s="175"/>
      <c r="EAV30" s="175"/>
      <c r="EAW30" s="175"/>
      <c r="EAX30" s="175"/>
      <c r="EAY30" s="175"/>
      <c r="EAZ30" s="175"/>
      <c r="EBA30" s="175"/>
      <c r="EBB30" s="175"/>
      <c r="EBC30" s="175"/>
      <c r="EBD30" s="175"/>
      <c r="EBE30" s="175"/>
      <c r="EBF30" s="175"/>
      <c r="EBG30" s="175"/>
      <c r="EBH30" s="175"/>
      <c r="EBI30" s="175"/>
      <c r="EBJ30" s="175"/>
      <c r="EBK30" s="175"/>
      <c r="EBL30" s="175"/>
      <c r="EBM30" s="175"/>
      <c r="EBN30" s="175"/>
      <c r="EBO30" s="175"/>
      <c r="EBP30" s="175"/>
      <c r="EBQ30" s="175"/>
      <c r="EBR30" s="175"/>
      <c r="EBS30" s="175"/>
      <c r="EBT30" s="175"/>
      <c r="EBU30" s="175"/>
      <c r="EBV30" s="175"/>
      <c r="EBW30" s="175"/>
      <c r="EBX30" s="175"/>
      <c r="EBY30" s="175"/>
      <c r="EBZ30" s="175"/>
      <c r="ECA30" s="175"/>
      <c r="ECB30" s="175"/>
      <c r="ECC30" s="175"/>
      <c r="ECD30" s="175"/>
      <c r="ECE30" s="175"/>
      <c r="ECF30" s="175"/>
      <c r="ECG30" s="175"/>
      <c r="ECH30" s="175"/>
      <c r="ECI30" s="175"/>
      <c r="ECJ30" s="175"/>
      <c r="ECK30" s="175"/>
      <c r="ECL30" s="175"/>
      <c r="ECM30" s="175"/>
      <c r="ECN30" s="175"/>
      <c r="ECO30" s="175"/>
      <c r="ECP30" s="175"/>
      <c r="ECQ30" s="175"/>
      <c r="ECR30" s="175"/>
      <c r="ECS30" s="175"/>
      <c r="ECT30" s="175"/>
      <c r="ECU30" s="175"/>
      <c r="ECV30" s="175"/>
      <c r="ECW30" s="175"/>
      <c r="ECX30" s="175"/>
      <c r="ECY30" s="175"/>
      <c r="ECZ30" s="175"/>
      <c r="EDA30" s="175"/>
      <c r="EDB30" s="175"/>
      <c r="EDC30" s="175"/>
      <c r="EDD30" s="175"/>
      <c r="EDE30" s="175"/>
      <c r="EDF30" s="175"/>
      <c r="EDG30" s="175"/>
      <c r="EDH30" s="175"/>
      <c r="EDI30" s="175"/>
      <c r="EDJ30" s="175"/>
      <c r="EDK30" s="175"/>
      <c r="EDL30" s="175"/>
      <c r="EDM30" s="175"/>
      <c r="EDN30" s="175"/>
      <c r="EDO30" s="175"/>
      <c r="EDP30" s="175"/>
      <c r="EDQ30" s="175"/>
      <c r="EDR30" s="175"/>
      <c r="EDS30" s="175"/>
      <c r="EDT30" s="175"/>
      <c r="EDU30" s="175"/>
      <c r="EDV30" s="175"/>
      <c r="EDW30" s="175"/>
      <c r="EDX30" s="175"/>
      <c r="EDY30" s="175"/>
      <c r="EDZ30" s="175"/>
      <c r="EEA30" s="175"/>
      <c r="EEB30" s="175"/>
      <c r="EEC30" s="175"/>
      <c r="EED30" s="175"/>
      <c r="EEE30" s="175"/>
      <c r="EEF30" s="175"/>
      <c r="EEG30" s="175"/>
      <c r="EEH30" s="175"/>
      <c r="EEI30" s="175"/>
      <c r="EEJ30" s="175"/>
      <c r="EEK30" s="175"/>
      <c r="EEL30" s="175"/>
      <c r="EEM30" s="175"/>
      <c r="EEN30" s="175"/>
      <c r="EEO30" s="175"/>
      <c r="EEP30" s="175"/>
      <c r="EEQ30" s="175"/>
      <c r="EER30" s="175"/>
      <c r="EES30" s="175"/>
      <c r="EET30" s="175"/>
      <c r="EEU30" s="175"/>
      <c r="EEV30" s="175"/>
      <c r="EEW30" s="175"/>
      <c r="EEX30" s="175"/>
      <c r="EEY30" s="175"/>
      <c r="EEZ30" s="175"/>
      <c r="EFA30" s="175"/>
      <c r="EFB30" s="175"/>
      <c r="EFC30" s="175"/>
      <c r="EFD30" s="175"/>
      <c r="EFE30" s="175"/>
      <c r="EFF30" s="175"/>
      <c r="EFG30" s="175"/>
      <c r="EFH30" s="175"/>
      <c r="EFI30" s="175"/>
      <c r="EFJ30" s="175"/>
      <c r="EFK30" s="175"/>
      <c r="EFL30" s="175"/>
      <c r="EFM30" s="175"/>
      <c r="EFN30" s="175"/>
      <c r="EFO30" s="175"/>
      <c r="EFP30" s="175"/>
      <c r="EFQ30" s="175"/>
      <c r="EFR30" s="175"/>
      <c r="EFS30" s="175"/>
      <c r="EFT30" s="175"/>
      <c r="EFU30" s="175"/>
      <c r="EFV30" s="175"/>
      <c r="EFW30" s="175"/>
      <c r="EFX30" s="175"/>
      <c r="EFY30" s="175"/>
      <c r="EFZ30" s="175"/>
      <c r="EGA30" s="175"/>
      <c r="EGB30" s="175"/>
      <c r="EGC30" s="175"/>
      <c r="EGD30" s="175"/>
      <c r="EGE30" s="175"/>
      <c r="EGF30" s="175"/>
      <c r="EGG30" s="175"/>
      <c r="EGH30" s="175"/>
      <c r="EGI30" s="175"/>
      <c r="EGJ30" s="175"/>
      <c r="EGK30" s="175"/>
      <c r="EGL30" s="175"/>
      <c r="EGM30" s="175"/>
      <c r="EGN30" s="175"/>
      <c r="EGO30" s="175"/>
      <c r="EGP30" s="175"/>
      <c r="EGQ30" s="175"/>
      <c r="EGR30" s="175"/>
      <c r="EGS30" s="175"/>
      <c r="EGT30" s="175"/>
      <c r="EGU30" s="175"/>
      <c r="EGV30" s="175"/>
      <c r="EGW30" s="175"/>
      <c r="EGX30" s="175"/>
      <c r="EGY30" s="175"/>
      <c r="EGZ30" s="175"/>
      <c r="EHA30" s="175"/>
      <c r="EHB30" s="175"/>
      <c r="EHC30" s="175"/>
      <c r="EHD30" s="175"/>
      <c r="EHE30" s="175"/>
      <c r="EHF30" s="175"/>
      <c r="EHG30" s="175"/>
      <c r="EHH30" s="175"/>
      <c r="EHI30" s="175"/>
      <c r="EHJ30" s="175"/>
      <c r="EHK30" s="175"/>
      <c r="EHL30" s="175"/>
      <c r="EHM30" s="175"/>
      <c r="EHN30" s="175"/>
      <c r="EHO30" s="175"/>
      <c r="EHP30" s="175"/>
      <c r="EHQ30" s="175"/>
      <c r="EHR30" s="175"/>
      <c r="EHS30" s="175"/>
      <c r="EHT30" s="175"/>
      <c r="EHU30" s="175"/>
      <c r="EHV30" s="175"/>
      <c r="EHW30" s="175"/>
      <c r="EHX30" s="175"/>
      <c r="EHY30" s="175"/>
      <c r="EHZ30" s="175"/>
      <c r="EIA30" s="175"/>
      <c r="EIB30" s="175"/>
      <c r="EIC30" s="175"/>
      <c r="EID30" s="175"/>
      <c r="EIE30" s="175"/>
      <c r="EIF30" s="175"/>
      <c r="EIG30" s="175"/>
      <c r="EIH30" s="175"/>
      <c r="EII30" s="175"/>
      <c r="EIJ30" s="175"/>
      <c r="EIK30" s="175"/>
      <c r="EIL30" s="175"/>
      <c r="EIM30" s="175"/>
      <c r="EIN30" s="175"/>
      <c r="EIO30" s="175"/>
      <c r="EIP30" s="175"/>
      <c r="EIQ30" s="175"/>
      <c r="EIR30" s="175"/>
      <c r="EIS30" s="175"/>
      <c r="EIT30" s="175"/>
      <c r="EIU30" s="175"/>
      <c r="EIV30" s="175"/>
      <c r="EIW30" s="175"/>
      <c r="EIX30" s="175"/>
      <c r="EIY30" s="175"/>
      <c r="EIZ30" s="175"/>
      <c r="EJA30" s="175"/>
      <c r="EJB30" s="175"/>
      <c r="EJC30" s="175"/>
      <c r="EJD30" s="175"/>
      <c r="EJE30" s="175"/>
      <c r="EJF30" s="175"/>
      <c r="EJG30" s="175"/>
      <c r="EJH30" s="175"/>
      <c r="EJI30" s="175"/>
      <c r="EJJ30" s="175"/>
      <c r="EJK30" s="175"/>
      <c r="EJL30" s="175"/>
      <c r="EJM30" s="175"/>
      <c r="EJN30" s="175"/>
      <c r="EJO30" s="175"/>
      <c r="EJP30" s="175"/>
      <c r="EJQ30" s="175"/>
      <c r="EJR30" s="175"/>
      <c r="EJS30" s="175"/>
      <c r="EJT30" s="175"/>
      <c r="EJU30" s="175"/>
      <c r="EJV30" s="175"/>
      <c r="EJW30" s="175"/>
      <c r="EJX30" s="175"/>
      <c r="EJY30" s="175"/>
      <c r="EJZ30" s="175"/>
      <c r="EKA30" s="175"/>
      <c r="EKB30" s="175"/>
      <c r="EKC30" s="175"/>
      <c r="EKD30" s="175"/>
      <c r="EKE30" s="175"/>
      <c r="EKF30" s="175"/>
      <c r="EKG30" s="175"/>
      <c r="EKH30" s="175"/>
      <c r="EKI30" s="175"/>
      <c r="EKJ30" s="175"/>
      <c r="EKK30" s="175"/>
      <c r="EKL30" s="175"/>
      <c r="EKM30" s="175"/>
      <c r="EKN30" s="175"/>
      <c r="EKO30" s="175"/>
      <c r="EKP30" s="175"/>
      <c r="EKQ30" s="175"/>
      <c r="EKR30" s="175"/>
      <c r="EKS30" s="175"/>
      <c r="EKT30" s="175"/>
      <c r="EKU30" s="175"/>
      <c r="EKV30" s="175"/>
      <c r="EKW30" s="175"/>
      <c r="EKX30" s="175"/>
      <c r="EKY30" s="175"/>
      <c r="EKZ30" s="175"/>
      <c r="ELA30" s="175"/>
      <c r="ELB30" s="175"/>
      <c r="ELC30" s="175"/>
      <c r="ELD30" s="175"/>
      <c r="ELE30" s="175"/>
      <c r="ELF30" s="175"/>
      <c r="ELG30" s="175"/>
      <c r="ELH30" s="175"/>
      <c r="ELI30" s="175"/>
      <c r="ELJ30" s="175"/>
      <c r="ELK30" s="175"/>
      <c r="ELL30" s="175"/>
      <c r="ELM30" s="175"/>
      <c r="ELN30" s="175"/>
      <c r="ELO30" s="175"/>
      <c r="ELP30" s="175"/>
      <c r="ELQ30" s="175"/>
      <c r="ELR30" s="175"/>
      <c r="ELS30" s="175"/>
      <c r="ELT30" s="175"/>
      <c r="ELU30" s="175"/>
      <c r="ELV30" s="175"/>
      <c r="ELW30" s="175"/>
      <c r="ELX30" s="175"/>
      <c r="ELY30" s="175"/>
      <c r="ELZ30" s="175"/>
      <c r="EMA30" s="175"/>
      <c r="EMB30" s="175"/>
      <c r="EMC30" s="175"/>
      <c r="EMD30" s="175"/>
      <c r="EME30" s="175"/>
      <c r="EMF30" s="175"/>
      <c r="EMG30" s="175"/>
      <c r="EMH30" s="175"/>
      <c r="EMI30" s="175"/>
      <c r="EMJ30" s="175"/>
      <c r="EMK30" s="175"/>
      <c r="EML30" s="175"/>
      <c r="EMM30" s="175"/>
      <c r="EMN30" s="175"/>
      <c r="EMO30" s="175"/>
      <c r="EMP30" s="175"/>
      <c r="EMQ30" s="175"/>
      <c r="EMR30" s="175"/>
      <c r="EMS30" s="175"/>
      <c r="EMT30" s="175"/>
      <c r="EMU30" s="175"/>
      <c r="EMV30" s="175"/>
      <c r="EMW30" s="175"/>
      <c r="EMX30" s="175"/>
      <c r="EMY30" s="175"/>
      <c r="EMZ30" s="175"/>
      <c r="ENA30" s="175"/>
      <c r="ENB30" s="175"/>
      <c r="ENC30" s="175"/>
      <c r="END30" s="175"/>
      <c r="ENE30" s="175"/>
      <c r="ENF30" s="175"/>
      <c r="ENG30" s="175"/>
      <c r="ENH30" s="175"/>
      <c r="ENI30" s="175"/>
      <c r="ENJ30" s="175"/>
      <c r="ENK30" s="175"/>
      <c r="ENL30" s="175"/>
      <c r="ENM30" s="175"/>
      <c r="ENN30" s="175"/>
      <c r="ENO30" s="175"/>
      <c r="ENP30" s="175"/>
      <c r="ENQ30" s="175"/>
      <c r="ENR30" s="175"/>
      <c r="ENS30" s="175"/>
      <c r="ENT30" s="175"/>
      <c r="ENU30" s="175"/>
      <c r="ENV30" s="175"/>
      <c r="ENW30" s="175"/>
      <c r="ENX30" s="175"/>
      <c r="ENY30" s="175"/>
      <c r="ENZ30" s="175"/>
      <c r="EOA30" s="175"/>
      <c r="EOB30" s="175"/>
      <c r="EOC30" s="175"/>
      <c r="EOD30" s="175"/>
      <c r="EOE30" s="175"/>
      <c r="EOF30" s="175"/>
      <c r="EOG30" s="175"/>
      <c r="EOH30" s="175"/>
      <c r="EOI30" s="175"/>
      <c r="EOJ30" s="175"/>
      <c r="EOK30" s="175"/>
      <c r="EOL30" s="175"/>
      <c r="EOM30" s="175"/>
      <c r="EON30" s="175"/>
      <c r="EOO30" s="175"/>
      <c r="EOP30" s="175"/>
      <c r="EOQ30" s="175"/>
      <c r="EOR30" s="175"/>
      <c r="EOS30" s="175"/>
      <c r="EOT30" s="175"/>
      <c r="EOU30" s="175"/>
      <c r="EOV30" s="175"/>
      <c r="EOW30" s="175"/>
      <c r="EOX30" s="175"/>
      <c r="EOY30" s="175"/>
      <c r="EOZ30" s="175"/>
      <c r="EPA30" s="175"/>
      <c r="EPB30" s="175"/>
      <c r="EPC30" s="175"/>
      <c r="EPD30" s="175"/>
      <c r="EPE30" s="175"/>
      <c r="EPF30" s="175"/>
      <c r="EPG30" s="175"/>
      <c r="EPH30" s="175"/>
      <c r="EPI30" s="175"/>
      <c r="EPJ30" s="175"/>
      <c r="EPK30" s="175"/>
      <c r="EPL30" s="175"/>
      <c r="EPM30" s="175"/>
      <c r="EPN30" s="175"/>
      <c r="EPO30" s="175"/>
      <c r="EPP30" s="175"/>
      <c r="EPQ30" s="175"/>
      <c r="EPR30" s="175"/>
      <c r="EPS30" s="175"/>
      <c r="EPT30" s="175"/>
      <c r="EPU30" s="175"/>
      <c r="EPV30" s="175"/>
      <c r="EPW30" s="175"/>
      <c r="EPX30" s="175"/>
      <c r="EPY30" s="175"/>
      <c r="EPZ30" s="175"/>
      <c r="EQA30" s="175"/>
      <c r="EQB30" s="175"/>
      <c r="EQC30" s="175"/>
      <c r="EQD30" s="175"/>
      <c r="EQE30" s="175"/>
      <c r="EQF30" s="175"/>
      <c r="EQG30" s="175"/>
      <c r="EQH30" s="175"/>
      <c r="EQI30" s="175"/>
      <c r="EQJ30" s="175"/>
      <c r="EQK30" s="175"/>
      <c r="EQL30" s="175"/>
      <c r="EQM30" s="175"/>
      <c r="EQN30" s="175"/>
      <c r="EQO30" s="175"/>
      <c r="EQP30" s="175"/>
      <c r="EQQ30" s="175"/>
      <c r="EQR30" s="175"/>
      <c r="EQS30" s="175"/>
      <c r="EQT30" s="175"/>
      <c r="EQU30" s="175"/>
      <c r="EQV30" s="175"/>
      <c r="EQW30" s="175"/>
      <c r="EQX30" s="175"/>
      <c r="EQY30" s="175"/>
      <c r="EQZ30" s="175"/>
      <c r="ERA30" s="175"/>
      <c r="ERB30" s="175"/>
      <c r="ERC30" s="175"/>
      <c r="ERD30" s="175"/>
      <c r="ERE30" s="175"/>
      <c r="ERF30" s="175"/>
      <c r="ERG30" s="175"/>
      <c r="ERH30" s="175"/>
      <c r="ERI30" s="175"/>
      <c r="ERJ30" s="175"/>
      <c r="ERK30" s="175"/>
      <c r="ERL30" s="175"/>
      <c r="ERM30" s="175"/>
      <c r="ERN30" s="175"/>
      <c r="ERO30" s="175"/>
      <c r="ERP30" s="175"/>
      <c r="ERQ30" s="175"/>
      <c r="ERR30" s="175"/>
      <c r="ERS30" s="175"/>
      <c r="ERT30" s="175"/>
      <c r="ERU30" s="175"/>
      <c r="ERV30" s="175"/>
      <c r="ERW30" s="175"/>
      <c r="ERX30" s="175"/>
      <c r="ERY30" s="175"/>
      <c r="ERZ30" s="175"/>
      <c r="ESA30" s="175"/>
      <c r="ESB30" s="175"/>
      <c r="ESC30" s="175"/>
      <c r="ESD30" s="175"/>
      <c r="ESE30" s="175"/>
      <c r="ESF30" s="175"/>
      <c r="ESG30" s="175"/>
      <c r="ESH30" s="175"/>
      <c r="ESI30" s="175"/>
      <c r="ESJ30" s="175"/>
      <c r="ESK30" s="175"/>
      <c r="ESL30" s="175"/>
      <c r="ESM30" s="175"/>
      <c r="ESN30" s="175"/>
      <c r="ESO30" s="175"/>
      <c r="ESP30" s="175"/>
      <c r="ESQ30" s="175"/>
      <c r="ESR30" s="175"/>
      <c r="ESS30" s="175"/>
      <c r="EST30" s="175"/>
      <c r="ESU30" s="175"/>
      <c r="ESV30" s="175"/>
      <c r="ESW30" s="175"/>
      <c r="ESX30" s="175"/>
      <c r="ESY30" s="175"/>
      <c r="ESZ30" s="175"/>
      <c r="ETA30" s="175"/>
      <c r="ETB30" s="175"/>
      <c r="ETC30" s="175"/>
      <c r="ETD30" s="175"/>
      <c r="ETE30" s="175"/>
      <c r="ETF30" s="175"/>
      <c r="ETG30" s="175"/>
      <c r="ETH30" s="175"/>
      <c r="ETI30" s="175"/>
      <c r="ETJ30" s="175"/>
      <c r="ETK30" s="175"/>
      <c r="ETL30" s="175"/>
      <c r="ETM30" s="175"/>
      <c r="ETN30" s="175"/>
      <c r="ETO30" s="175"/>
      <c r="ETP30" s="175"/>
      <c r="ETQ30" s="175"/>
      <c r="ETR30" s="175"/>
      <c r="ETS30" s="175"/>
      <c r="ETT30" s="175"/>
      <c r="ETU30" s="175"/>
      <c r="ETV30" s="175"/>
      <c r="ETW30" s="175"/>
      <c r="ETX30" s="175"/>
      <c r="ETY30" s="175"/>
      <c r="ETZ30" s="175"/>
      <c r="EUA30" s="175"/>
      <c r="EUB30" s="175"/>
      <c r="EUC30" s="175"/>
      <c r="EUD30" s="175"/>
      <c r="EUE30" s="175"/>
      <c r="EUF30" s="175"/>
      <c r="EUG30" s="175"/>
      <c r="EUH30" s="175"/>
      <c r="EUI30" s="175"/>
      <c r="EUJ30" s="175"/>
      <c r="EUK30" s="175"/>
      <c r="EUL30" s="175"/>
      <c r="EUM30" s="175"/>
      <c r="EUN30" s="175"/>
      <c r="EUO30" s="175"/>
      <c r="EUP30" s="175"/>
      <c r="EUQ30" s="175"/>
      <c r="EUR30" s="175"/>
      <c r="EUS30" s="175"/>
      <c r="EUT30" s="175"/>
      <c r="EUU30" s="175"/>
      <c r="EUV30" s="175"/>
      <c r="EUW30" s="175"/>
      <c r="EUX30" s="175"/>
      <c r="EUY30" s="175"/>
      <c r="EUZ30" s="175"/>
      <c r="EVA30" s="175"/>
      <c r="EVB30" s="175"/>
      <c r="EVC30" s="175"/>
      <c r="EVD30" s="175"/>
      <c r="EVE30" s="175"/>
      <c r="EVF30" s="175"/>
      <c r="EVG30" s="175"/>
      <c r="EVH30" s="175"/>
      <c r="EVI30" s="175"/>
      <c r="EVJ30" s="175"/>
      <c r="EVK30" s="175"/>
      <c r="EVL30" s="175"/>
      <c r="EVM30" s="175"/>
      <c r="EVN30" s="175"/>
      <c r="EVO30" s="175"/>
      <c r="EVP30" s="175"/>
      <c r="EVQ30" s="175"/>
      <c r="EVR30" s="175"/>
      <c r="EVS30" s="175"/>
      <c r="EVT30" s="175"/>
      <c r="EVU30" s="175"/>
      <c r="EVV30" s="175"/>
      <c r="EVW30" s="175"/>
      <c r="EVX30" s="175"/>
      <c r="EVY30" s="175"/>
      <c r="EVZ30" s="175"/>
      <c r="EWA30" s="175"/>
      <c r="EWB30" s="175"/>
      <c r="EWC30" s="175"/>
      <c r="EWD30" s="175"/>
      <c r="EWE30" s="175"/>
      <c r="EWF30" s="175"/>
      <c r="EWG30" s="175"/>
      <c r="EWH30" s="175"/>
      <c r="EWI30" s="175"/>
      <c r="EWJ30" s="175"/>
      <c r="EWK30" s="175"/>
      <c r="EWL30" s="175"/>
      <c r="EWM30" s="175"/>
      <c r="EWN30" s="175"/>
      <c r="EWO30" s="175"/>
      <c r="EWP30" s="175"/>
      <c r="EWQ30" s="175"/>
      <c r="EWR30" s="175"/>
      <c r="EWS30" s="175"/>
      <c r="EWT30" s="175"/>
      <c r="EWU30" s="175"/>
      <c r="EWV30" s="175"/>
      <c r="EWW30" s="175"/>
      <c r="EWX30" s="175"/>
      <c r="EWY30" s="175"/>
      <c r="EWZ30" s="175"/>
      <c r="EXA30" s="175"/>
      <c r="EXB30" s="175"/>
      <c r="EXC30" s="175"/>
      <c r="EXD30" s="175"/>
      <c r="EXE30" s="175"/>
      <c r="EXF30" s="175"/>
      <c r="EXG30" s="175"/>
      <c r="EXH30" s="175"/>
      <c r="EXI30" s="175"/>
      <c r="EXJ30" s="175"/>
      <c r="EXK30" s="175"/>
      <c r="EXL30" s="175"/>
      <c r="EXM30" s="175"/>
      <c r="EXN30" s="175"/>
      <c r="EXO30" s="175"/>
      <c r="EXP30" s="175"/>
      <c r="EXQ30" s="175"/>
      <c r="EXR30" s="175"/>
      <c r="EXS30" s="175"/>
      <c r="EXT30" s="175"/>
      <c r="EXU30" s="175"/>
      <c r="EXV30" s="175"/>
      <c r="EXW30" s="175"/>
      <c r="EXX30" s="175"/>
      <c r="EXY30" s="175"/>
      <c r="EXZ30" s="175"/>
      <c r="EYA30" s="175"/>
      <c r="EYB30" s="175"/>
      <c r="EYC30" s="175"/>
      <c r="EYD30" s="175"/>
      <c r="EYE30" s="175"/>
      <c r="EYF30" s="175"/>
      <c r="EYG30" s="175"/>
      <c r="EYH30" s="175"/>
      <c r="EYI30" s="175"/>
      <c r="EYJ30" s="175"/>
      <c r="EYK30" s="175"/>
      <c r="EYL30" s="175"/>
      <c r="EYM30" s="175"/>
      <c r="EYN30" s="175"/>
      <c r="EYO30" s="175"/>
      <c r="EYP30" s="175"/>
      <c r="EYQ30" s="175"/>
      <c r="EYR30" s="175"/>
      <c r="EYS30" s="175"/>
      <c r="EYT30" s="175"/>
      <c r="EYU30" s="175"/>
      <c r="EYV30" s="175"/>
      <c r="EYW30" s="175"/>
      <c r="EYX30" s="175"/>
      <c r="EYY30" s="175"/>
      <c r="EYZ30" s="175"/>
      <c r="EZA30" s="175"/>
      <c r="EZB30" s="175"/>
      <c r="EZC30" s="175"/>
      <c r="EZD30" s="175"/>
      <c r="EZE30" s="175"/>
      <c r="EZF30" s="175"/>
      <c r="EZG30" s="175"/>
      <c r="EZH30" s="175"/>
      <c r="EZI30" s="175"/>
      <c r="EZJ30" s="175"/>
      <c r="EZK30" s="175"/>
      <c r="EZL30" s="175"/>
      <c r="EZM30" s="175"/>
      <c r="EZN30" s="175"/>
      <c r="EZO30" s="175"/>
      <c r="EZP30" s="175"/>
      <c r="EZQ30" s="175"/>
      <c r="EZR30" s="175"/>
      <c r="EZS30" s="175"/>
      <c r="EZT30" s="175"/>
      <c r="EZU30" s="175"/>
      <c r="EZV30" s="175"/>
      <c r="EZW30" s="175"/>
      <c r="EZX30" s="175"/>
      <c r="EZY30" s="175"/>
      <c r="EZZ30" s="175"/>
      <c r="FAA30" s="175"/>
      <c r="FAB30" s="175"/>
      <c r="FAC30" s="175"/>
      <c r="FAD30" s="175"/>
      <c r="FAE30" s="175"/>
      <c r="FAF30" s="175"/>
      <c r="FAG30" s="175"/>
      <c r="FAH30" s="175"/>
      <c r="FAI30" s="175"/>
      <c r="FAJ30" s="175"/>
      <c r="FAK30" s="175"/>
      <c r="FAL30" s="175"/>
      <c r="FAM30" s="175"/>
      <c r="FAN30" s="175"/>
      <c r="FAO30" s="175"/>
      <c r="FAP30" s="175"/>
      <c r="FAQ30" s="175"/>
      <c r="FAR30" s="175"/>
      <c r="FAS30" s="175"/>
      <c r="FAT30" s="175"/>
      <c r="FAU30" s="175"/>
      <c r="FAV30" s="175"/>
      <c r="FAW30" s="175"/>
      <c r="FAX30" s="175"/>
      <c r="FAY30" s="175"/>
      <c r="FAZ30" s="175"/>
      <c r="FBA30" s="175"/>
      <c r="FBB30" s="175"/>
      <c r="FBC30" s="175"/>
      <c r="FBD30" s="175"/>
      <c r="FBE30" s="175"/>
      <c r="FBF30" s="175"/>
      <c r="FBG30" s="175"/>
      <c r="FBH30" s="175"/>
      <c r="FBI30" s="175"/>
      <c r="FBJ30" s="175"/>
      <c r="FBK30" s="175"/>
      <c r="FBL30" s="175"/>
      <c r="FBM30" s="175"/>
      <c r="FBN30" s="175"/>
      <c r="FBO30" s="175"/>
      <c r="FBP30" s="175"/>
      <c r="FBQ30" s="175"/>
      <c r="FBR30" s="175"/>
      <c r="FBS30" s="175"/>
      <c r="FBT30" s="175"/>
      <c r="FBU30" s="175"/>
      <c r="FBV30" s="175"/>
      <c r="FBW30" s="175"/>
      <c r="FBX30" s="175"/>
      <c r="FBY30" s="175"/>
      <c r="FBZ30" s="175"/>
      <c r="FCA30" s="175"/>
      <c r="FCB30" s="175"/>
      <c r="FCC30" s="175"/>
      <c r="FCD30" s="175"/>
      <c r="FCE30" s="175"/>
      <c r="FCF30" s="175"/>
      <c r="FCG30" s="175"/>
      <c r="FCH30" s="175"/>
      <c r="FCI30" s="175"/>
      <c r="FCJ30" s="175"/>
      <c r="FCK30" s="175"/>
      <c r="FCL30" s="175"/>
      <c r="FCM30" s="175"/>
      <c r="FCN30" s="175"/>
      <c r="FCO30" s="175"/>
      <c r="FCP30" s="175"/>
      <c r="FCQ30" s="175"/>
      <c r="FCR30" s="175"/>
      <c r="FCS30" s="175"/>
      <c r="FCT30" s="175"/>
      <c r="FCU30" s="175"/>
      <c r="FCV30" s="175"/>
      <c r="FCW30" s="175"/>
      <c r="FCX30" s="175"/>
      <c r="FCY30" s="175"/>
      <c r="FCZ30" s="175"/>
      <c r="FDA30" s="175"/>
      <c r="FDB30" s="175"/>
      <c r="FDC30" s="175"/>
      <c r="FDD30" s="175"/>
      <c r="FDE30" s="175"/>
      <c r="FDF30" s="175"/>
      <c r="FDG30" s="175"/>
      <c r="FDH30" s="175"/>
      <c r="FDI30" s="175"/>
      <c r="FDJ30" s="175"/>
      <c r="FDK30" s="175"/>
      <c r="FDL30" s="175"/>
      <c r="FDM30" s="175"/>
      <c r="FDN30" s="175"/>
      <c r="FDO30" s="175"/>
      <c r="FDP30" s="175"/>
      <c r="FDQ30" s="175"/>
      <c r="FDR30" s="175"/>
      <c r="FDS30" s="175"/>
      <c r="FDT30" s="175"/>
      <c r="FDU30" s="175"/>
      <c r="FDV30" s="175"/>
      <c r="FDW30" s="175"/>
      <c r="FDX30" s="175"/>
      <c r="FDY30" s="175"/>
      <c r="FDZ30" s="175"/>
      <c r="FEA30" s="175"/>
      <c r="FEB30" s="175"/>
      <c r="FEC30" s="175"/>
      <c r="FED30" s="175"/>
      <c r="FEE30" s="175"/>
      <c r="FEF30" s="175"/>
      <c r="FEG30" s="175"/>
      <c r="FEH30" s="175"/>
      <c r="FEI30" s="175"/>
      <c r="FEJ30" s="175"/>
      <c r="FEK30" s="175"/>
      <c r="FEL30" s="175"/>
      <c r="FEM30" s="175"/>
      <c r="FEN30" s="175"/>
      <c r="FEO30" s="175"/>
      <c r="FEP30" s="175"/>
      <c r="FEQ30" s="175"/>
      <c r="FER30" s="175"/>
      <c r="FES30" s="175"/>
      <c r="FET30" s="175"/>
      <c r="FEU30" s="175"/>
      <c r="FEV30" s="175"/>
      <c r="FEW30" s="175"/>
      <c r="FEX30" s="175"/>
      <c r="FEY30" s="175"/>
      <c r="FEZ30" s="175"/>
      <c r="FFA30" s="175"/>
      <c r="FFB30" s="175"/>
      <c r="FFC30" s="175"/>
      <c r="FFD30" s="175"/>
      <c r="FFE30" s="175"/>
      <c r="FFF30" s="175"/>
      <c r="FFG30" s="175"/>
      <c r="FFH30" s="175"/>
      <c r="FFI30" s="175"/>
      <c r="FFJ30" s="175"/>
      <c r="FFK30" s="175"/>
      <c r="FFL30" s="175"/>
      <c r="FFM30" s="175"/>
      <c r="FFN30" s="175"/>
      <c r="FFO30" s="175"/>
      <c r="FFP30" s="175"/>
      <c r="FFQ30" s="175"/>
      <c r="FFR30" s="175"/>
      <c r="FFS30" s="175"/>
      <c r="FFT30" s="175"/>
      <c r="FFU30" s="175"/>
      <c r="FFV30" s="175"/>
      <c r="FFW30" s="175"/>
      <c r="FFX30" s="175"/>
      <c r="FFY30" s="175"/>
      <c r="FFZ30" s="175"/>
      <c r="FGA30" s="175"/>
      <c r="FGB30" s="175"/>
      <c r="FGC30" s="175"/>
      <c r="FGD30" s="175"/>
      <c r="FGE30" s="175"/>
      <c r="FGF30" s="175"/>
      <c r="FGG30" s="175"/>
      <c r="FGH30" s="175"/>
      <c r="FGI30" s="175"/>
      <c r="FGJ30" s="175"/>
      <c r="FGK30" s="175"/>
      <c r="FGL30" s="175"/>
      <c r="FGM30" s="175"/>
      <c r="FGN30" s="175"/>
      <c r="FGO30" s="175"/>
      <c r="FGP30" s="175"/>
      <c r="FGQ30" s="175"/>
      <c r="FGR30" s="175"/>
      <c r="FGS30" s="175"/>
      <c r="FGT30" s="175"/>
      <c r="FGU30" s="175"/>
      <c r="FGV30" s="175"/>
      <c r="FGW30" s="175"/>
      <c r="FGX30" s="175"/>
      <c r="FGY30" s="175"/>
      <c r="FGZ30" s="175"/>
      <c r="FHA30" s="175"/>
      <c r="FHB30" s="175"/>
      <c r="FHC30" s="175"/>
      <c r="FHD30" s="175"/>
      <c r="FHE30" s="175"/>
      <c r="FHF30" s="175"/>
      <c r="FHG30" s="175"/>
      <c r="FHH30" s="175"/>
      <c r="FHI30" s="175"/>
      <c r="FHJ30" s="175"/>
      <c r="FHK30" s="175"/>
      <c r="FHL30" s="175"/>
      <c r="FHM30" s="175"/>
      <c r="FHN30" s="175"/>
      <c r="FHO30" s="175"/>
      <c r="FHP30" s="175"/>
      <c r="FHQ30" s="175"/>
      <c r="FHR30" s="175"/>
      <c r="FHS30" s="175"/>
      <c r="FHT30" s="175"/>
      <c r="FHU30" s="175"/>
      <c r="FHV30" s="175"/>
      <c r="FHW30" s="175"/>
      <c r="FHX30" s="175"/>
      <c r="FHY30" s="175"/>
      <c r="FHZ30" s="175"/>
      <c r="FIA30" s="175"/>
      <c r="FIB30" s="175"/>
      <c r="FIC30" s="175"/>
      <c r="FID30" s="175"/>
      <c r="FIE30" s="175"/>
      <c r="FIF30" s="175"/>
      <c r="FIG30" s="175"/>
      <c r="FIH30" s="175"/>
      <c r="FII30" s="175"/>
      <c r="FIJ30" s="175"/>
      <c r="FIK30" s="175"/>
      <c r="FIL30" s="175"/>
      <c r="FIM30" s="175"/>
      <c r="FIN30" s="175"/>
      <c r="FIO30" s="175"/>
      <c r="FIP30" s="175"/>
      <c r="FIQ30" s="175"/>
      <c r="FIR30" s="175"/>
      <c r="FIS30" s="175"/>
      <c r="FIT30" s="175"/>
      <c r="FIU30" s="175"/>
      <c r="FIV30" s="175"/>
      <c r="FIW30" s="175"/>
      <c r="FIX30" s="175"/>
      <c r="FIY30" s="175"/>
      <c r="FIZ30" s="175"/>
      <c r="FJA30" s="175"/>
      <c r="FJB30" s="175"/>
      <c r="FJC30" s="175"/>
      <c r="FJD30" s="175"/>
      <c r="FJE30" s="175"/>
      <c r="FJF30" s="175"/>
      <c r="FJG30" s="175"/>
      <c r="FJH30" s="175"/>
      <c r="FJI30" s="175"/>
      <c r="FJJ30" s="175"/>
      <c r="FJK30" s="175"/>
      <c r="FJL30" s="175"/>
      <c r="FJM30" s="175"/>
      <c r="FJN30" s="175"/>
      <c r="FJO30" s="175"/>
      <c r="FJP30" s="175"/>
      <c r="FJQ30" s="175"/>
      <c r="FJR30" s="175"/>
      <c r="FJS30" s="175"/>
      <c r="FJT30" s="175"/>
      <c r="FJU30" s="175"/>
      <c r="FJV30" s="175"/>
      <c r="FJW30" s="175"/>
      <c r="FJX30" s="175"/>
      <c r="FJY30" s="175"/>
      <c r="FJZ30" s="175"/>
      <c r="FKA30" s="175"/>
      <c r="FKB30" s="175"/>
      <c r="FKC30" s="175"/>
      <c r="FKD30" s="175"/>
      <c r="FKE30" s="175"/>
      <c r="FKF30" s="175"/>
      <c r="FKG30" s="175"/>
      <c r="FKH30" s="175"/>
      <c r="FKI30" s="175"/>
      <c r="FKJ30" s="175"/>
      <c r="FKK30" s="175"/>
      <c r="FKL30" s="175"/>
      <c r="FKM30" s="175"/>
      <c r="FKN30" s="175"/>
      <c r="FKO30" s="175"/>
      <c r="FKP30" s="175"/>
      <c r="FKQ30" s="175"/>
      <c r="FKR30" s="175"/>
      <c r="FKS30" s="175"/>
      <c r="FKT30" s="175"/>
      <c r="FKU30" s="175"/>
      <c r="FKV30" s="175"/>
      <c r="FKW30" s="175"/>
      <c r="FKX30" s="175"/>
      <c r="FKY30" s="175"/>
      <c r="FKZ30" s="175"/>
      <c r="FLA30" s="175"/>
      <c r="FLB30" s="175"/>
      <c r="FLC30" s="175"/>
      <c r="FLD30" s="175"/>
      <c r="FLE30" s="175"/>
      <c r="FLF30" s="175"/>
      <c r="FLG30" s="175"/>
      <c r="FLH30" s="175"/>
      <c r="FLI30" s="175"/>
      <c r="FLJ30" s="175"/>
      <c r="FLK30" s="175"/>
      <c r="FLL30" s="175"/>
      <c r="FLM30" s="175"/>
      <c r="FLN30" s="175"/>
      <c r="FLO30" s="175"/>
      <c r="FLP30" s="175"/>
      <c r="FLQ30" s="175"/>
      <c r="FLR30" s="175"/>
      <c r="FLS30" s="175"/>
      <c r="FLT30" s="175"/>
      <c r="FLU30" s="175"/>
      <c r="FLV30" s="175"/>
      <c r="FLW30" s="175"/>
      <c r="FLX30" s="175"/>
      <c r="FLY30" s="175"/>
      <c r="FLZ30" s="175"/>
      <c r="FMA30" s="175"/>
      <c r="FMB30" s="175"/>
      <c r="FMC30" s="175"/>
      <c r="FMD30" s="175"/>
      <c r="FME30" s="175"/>
      <c r="FMF30" s="175"/>
      <c r="FMG30" s="175"/>
      <c r="FMH30" s="175"/>
      <c r="FMI30" s="175"/>
      <c r="FMJ30" s="175"/>
      <c r="FMK30" s="175"/>
      <c r="FML30" s="175"/>
      <c r="FMM30" s="175"/>
      <c r="FMN30" s="175"/>
      <c r="FMO30" s="175"/>
      <c r="FMP30" s="175"/>
      <c r="FMQ30" s="175"/>
      <c r="FMR30" s="175"/>
      <c r="FMS30" s="175"/>
      <c r="FMT30" s="175"/>
      <c r="FMU30" s="175"/>
      <c r="FMV30" s="175"/>
      <c r="FMW30" s="175"/>
      <c r="FMX30" s="175"/>
      <c r="FMY30" s="175"/>
      <c r="FMZ30" s="175"/>
      <c r="FNA30" s="175"/>
      <c r="FNB30" s="175"/>
      <c r="FNC30" s="175"/>
      <c r="FND30" s="175"/>
      <c r="FNE30" s="175"/>
      <c r="FNF30" s="175"/>
      <c r="FNG30" s="175"/>
      <c r="FNH30" s="175"/>
      <c r="FNI30" s="175"/>
      <c r="FNJ30" s="175"/>
      <c r="FNK30" s="175"/>
      <c r="FNL30" s="175"/>
      <c r="FNM30" s="175"/>
      <c r="FNN30" s="175"/>
      <c r="FNO30" s="175"/>
      <c r="FNP30" s="175"/>
      <c r="FNQ30" s="175"/>
      <c r="FNR30" s="175"/>
      <c r="FNS30" s="175"/>
      <c r="FNT30" s="175"/>
      <c r="FNU30" s="175"/>
      <c r="FNV30" s="175"/>
      <c r="FNW30" s="175"/>
      <c r="FNX30" s="175"/>
      <c r="FNY30" s="175"/>
      <c r="FNZ30" s="175"/>
      <c r="FOA30" s="175"/>
      <c r="FOB30" s="175"/>
      <c r="FOC30" s="175"/>
      <c r="FOD30" s="175"/>
      <c r="FOE30" s="175"/>
      <c r="FOF30" s="175"/>
      <c r="FOG30" s="175"/>
      <c r="FOH30" s="175"/>
      <c r="FOI30" s="175"/>
      <c r="FOJ30" s="175"/>
      <c r="FOK30" s="175"/>
      <c r="FOL30" s="175"/>
      <c r="FOM30" s="175"/>
      <c r="FON30" s="175"/>
      <c r="FOO30" s="175"/>
      <c r="FOP30" s="175"/>
      <c r="FOQ30" s="175"/>
      <c r="FOR30" s="175"/>
      <c r="FOS30" s="175"/>
      <c r="FOT30" s="175"/>
      <c r="FOU30" s="175"/>
      <c r="FOV30" s="175"/>
      <c r="FOW30" s="175"/>
      <c r="FOX30" s="175"/>
      <c r="FOY30" s="175"/>
      <c r="FOZ30" s="175"/>
      <c r="FPA30" s="175"/>
      <c r="FPB30" s="175"/>
      <c r="FPC30" s="175"/>
      <c r="FPD30" s="175"/>
      <c r="FPE30" s="175"/>
      <c r="FPF30" s="175"/>
      <c r="FPG30" s="175"/>
      <c r="FPH30" s="175"/>
      <c r="FPI30" s="175"/>
      <c r="FPJ30" s="175"/>
      <c r="FPK30" s="175"/>
      <c r="FPL30" s="175"/>
      <c r="FPM30" s="175"/>
      <c r="FPN30" s="175"/>
      <c r="FPO30" s="175"/>
      <c r="FPP30" s="175"/>
      <c r="FPQ30" s="175"/>
      <c r="FPR30" s="175"/>
      <c r="FPS30" s="175"/>
      <c r="FPT30" s="175"/>
      <c r="FPU30" s="175"/>
      <c r="FPV30" s="175"/>
      <c r="FPW30" s="175"/>
      <c r="FPX30" s="175"/>
      <c r="FPY30" s="175"/>
      <c r="FPZ30" s="175"/>
      <c r="FQA30" s="175"/>
      <c r="FQB30" s="175"/>
      <c r="FQC30" s="175"/>
      <c r="FQD30" s="175"/>
      <c r="FQE30" s="175"/>
      <c r="FQF30" s="175"/>
      <c r="FQG30" s="175"/>
      <c r="FQH30" s="175"/>
      <c r="FQI30" s="175"/>
      <c r="FQJ30" s="175"/>
      <c r="FQK30" s="175"/>
      <c r="FQL30" s="175"/>
      <c r="FQM30" s="175"/>
      <c r="FQN30" s="175"/>
      <c r="FQO30" s="175"/>
      <c r="FQP30" s="175"/>
      <c r="FQQ30" s="175"/>
      <c r="FQR30" s="175"/>
      <c r="FQS30" s="175"/>
      <c r="FQT30" s="175"/>
      <c r="FQU30" s="175"/>
      <c r="FQV30" s="175"/>
      <c r="FQW30" s="175"/>
      <c r="FQX30" s="175"/>
      <c r="FQY30" s="175"/>
      <c r="FQZ30" s="175"/>
      <c r="FRA30" s="175"/>
      <c r="FRB30" s="175"/>
      <c r="FRC30" s="175"/>
      <c r="FRD30" s="175"/>
      <c r="FRE30" s="175"/>
      <c r="FRF30" s="175"/>
      <c r="FRG30" s="175"/>
      <c r="FRH30" s="175"/>
      <c r="FRI30" s="175"/>
      <c r="FRJ30" s="175"/>
      <c r="FRK30" s="175"/>
      <c r="FRL30" s="175"/>
      <c r="FRM30" s="175"/>
      <c r="FRN30" s="175"/>
      <c r="FRO30" s="175"/>
      <c r="FRP30" s="175"/>
      <c r="FRQ30" s="175"/>
      <c r="FRR30" s="175"/>
      <c r="FRS30" s="175"/>
      <c r="FRT30" s="175"/>
      <c r="FRU30" s="175"/>
      <c r="FRV30" s="175"/>
      <c r="FRW30" s="175"/>
      <c r="FRX30" s="175"/>
      <c r="FRY30" s="175"/>
      <c r="FRZ30" s="175"/>
      <c r="FSA30" s="175"/>
      <c r="FSB30" s="175"/>
      <c r="FSC30" s="175"/>
      <c r="FSD30" s="175"/>
      <c r="FSE30" s="175"/>
      <c r="FSF30" s="175"/>
      <c r="FSG30" s="175"/>
      <c r="FSH30" s="175"/>
      <c r="FSI30" s="175"/>
      <c r="FSJ30" s="175"/>
      <c r="FSK30" s="175"/>
      <c r="FSL30" s="175"/>
      <c r="FSM30" s="175"/>
      <c r="FSN30" s="175"/>
      <c r="FSO30" s="175"/>
      <c r="FSP30" s="175"/>
      <c r="FSQ30" s="175"/>
      <c r="FSR30" s="175"/>
      <c r="FSS30" s="175"/>
      <c r="FST30" s="175"/>
      <c r="FSU30" s="175"/>
      <c r="FSV30" s="175"/>
      <c r="FSW30" s="175"/>
      <c r="FSX30" s="175"/>
      <c r="FSY30" s="175"/>
      <c r="FSZ30" s="175"/>
      <c r="FTA30" s="175"/>
      <c r="FTB30" s="175"/>
      <c r="FTC30" s="175"/>
      <c r="FTD30" s="175"/>
      <c r="FTE30" s="175"/>
      <c r="FTF30" s="175"/>
      <c r="FTG30" s="175"/>
      <c r="FTH30" s="175"/>
      <c r="FTI30" s="175"/>
      <c r="FTJ30" s="175"/>
      <c r="FTK30" s="175"/>
      <c r="FTL30" s="175"/>
      <c r="FTM30" s="175"/>
      <c r="FTN30" s="175"/>
      <c r="FTO30" s="175"/>
      <c r="FTP30" s="175"/>
      <c r="FTQ30" s="175"/>
      <c r="FTR30" s="175"/>
      <c r="FTS30" s="175"/>
      <c r="FTT30" s="175"/>
      <c r="FTU30" s="175"/>
      <c r="FTV30" s="175"/>
      <c r="FTW30" s="175"/>
      <c r="FTX30" s="175"/>
      <c r="FTY30" s="175"/>
      <c r="FTZ30" s="175"/>
      <c r="FUA30" s="175"/>
      <c r="FUB30" s="175"/>
      <c r="FUC30" s="175"/>
      <c r="FUD30" s="175"/>
      <c r="FUE30" s="175"/>
      <c r="FUF30" s="175"/>
      <c r="FUG30" s="175"/>
      <c r="FUH30" s="175"/>
      <c r="FUI30" s="175"/>
      <c r="FUJ30" s="175"/>
      <c r="FUK30" s="175"/>
      <c r="FUL30" s="175"/>
      <c r="FUM30" s="175"/>
      <c r="FUN30" s="175"/>
      <c r="FUO30" s="175"/>
      <c r="FUP30" s="175"/>
      <c r="FUQ30" s="175"/>
      <c r="FUR30" s="175"/>
      <c r="FUS30" s="175"/>
      <c r="FUT30" s="175"/>
      <c r="FUU30" s="175"/>
      <c r="FUV30" s="175"/>
      <c r="FUW30" s="175"/>
      <c r="FUX30" s="175"/>
      <c r="FUY30" s="175"/>
      <c r="FUZ30" s="175"/>
      <c r="FVA30" s="175"/>
      <c r="FVB30" s="175"/>
      <c r="FVC30" s="175"/>
      <c r="FVD30" s="175"/>
      <c r="FVE30" s="175"/>
      <c r="FVF30" s="175"/>
      <c r="FVG30" s="175"/>
      <c r="FVH30" s="175"/>
      <c r="FVI30" s="175"/>
      <c r="FVJ30" s="175"/>
      <c r="FVK30" s="175"/>
      <c r="FVL30" s="175"/>
      <c r="FVM30" s="175"/>
      <c r="FVN30" s="175"/>
      <c r="FVO30" s="175"/>
      <c r="FVP30" s="175"/>
      <c r="FVQ30" s="175"/>
      <c r="FVR30" s="175"/>
      <c r="FVS30" s="175"/>
      <c r="FVT30" s="175"/>
      <c r="FVU30" s="175"/>
      <c r="FVV30" s="175"/>
      <c r="FVW30" s="175"/>
      <c r="FVX30" s="175"/>
      <c r="FVY30" s="175"/>
      <c r="FVZ30" s="175"/>
      <c r="FWA30" s="175"/>
      <c r="FWB30" s="175"/>
      <c r="FWC30" s="175"/>
      <c r="FWD30" s="175"/>
      <c r="FWE30" s="175"/>
      <c r="FWF30" s="175"/>
      <c r="FWG30" s="175"/>
      <c r="FWH30" s="175"/>
      <c r="FWI30" s="175"/>
      <c r="FWJ30" s="175"/>
      <c r="FWK30" s="175"/>
      <c r="FWL30" s="175"/>
      <c r="FWM30" s="175"/>
      <c r="FWN30" s="175"/>
      <c r="FWO30" s="175"/>
      <c r="FWP30" s="175"/>
      <c r="FWQ30" s="175"/>
      <c r="FWR30" s="175"/>
      <c r="FWS30" s="175"/>
      <c r="FWT30" s="175"/>
      <c r="FWU30" s="175"/>
      <c r="FWV30" s="175"/>
      <c r="FWW30" s="175"/>
      <c r="FWX30" s="175"/>
      <c r="FWY30" s="175"/>
      <c r="FWZ30" s="175"/>
      <c r="FXA30" s="175"/>
      <c r="FXB30" s="175"/>
      <c r="FXC30" s="175"/>
      <c r="FXD30" s="175"/>
      <c r="FXE30" s="175"/>
      <c r="FXF30" s="175"/>
      <c r="FXG30" s="175"/>
      <c r="FXH30" s="175"/>
      <c r="FXI30" s="175"/>
      <c r="FXJ30" s="175"/>
      <c r="FXK30" s="175"/>
      <c r="FXL30" s="175"/>
      <c r="FXM30" s="175"/>
      <c r="FXN30" s="175"/>
      <c r="FXO30" s="175"/>
      <c r="FXP30" s="175"/>
      <c r="FXQ30" s="175"/>
      <c r="FXR30" s="175"/>
      <c r="FXS30" s="175"/>
      <c r="FXT30" s="175"/>
      <c r="FXU30" s="175"/>
      <c r="FXV30" s="175"/>
      <c r="FXW30" s="175"/>
      <c r="FXX30" s="175"/>
      <c r="FXY30" s="175"/>
      <c r="FXZ30" s="175"/>
      <c r="FYA30" s="175"/>
      <c r="FYB30" s="175"/>
      <c r="FYC30" s="175"/>
      <c r="FYD30" s="175"/>
      <c r="FYE30" s="175"/>
      <c r="FYF30" s="175"/>
      <c r="FYG30" s="175"/>
      <c r="FYH30" s="175"/>
      <c r="FYI30" s="175"/>
      <c r="FYJ30" s="175"/>
      <c r="FYK30" s="175"/>
      <c r="FYL30" s="175"/>
      <c r="FYM30" s="175"/>
      <c r="FYN30" s="175"/>
      <c r="FYO30" s="175"/>
      <c r="FYP30" s="175"/>
      <c r="FYQ30" s="175"/>
      <c r="FYR30" s="175"/>
      <c r="FYS30" s="175"/>
      <c r="FYT30" s="175"/>
      <c r="FYU30" s="175"/>
      <c r="FYV30" s="175"/>
      <c r="FYW30" s="175"/>
      <c r="FYX30" s="175"/>
      <c r="FYY30" s="175"/>
      <c r="FYZ30" s="175"/>
      <c r="FZA30" s="175"/>
      <c r="FZB30" s="175"/>
      <c r="FZC30" s="175"/>
      <c r="FZD30" s="175"/>
      <c r="FZE30" s="175"/>
      <c r="FZF30" s="175"/>
      <c r="FZG30" s="175"/>
      <c r="FZH30" s="175"/>
      <c r="FZI30" s="175"/>
      <c r="FZJ30" s="175"/>
      <c r="FZK30" s="175"/>
      <c r="FZL30" s="175"/>
      <c r="FZM30" s="175"/>
      <c r="FZN30" s="175"/>
      <c r="FZO30" s="175"/>
      <c r="FZP30" s="175"/>
      <c r="FZQ30" s="175"/>
      <c r="FZR30" s="175"/>
      <c r="FZS30" s="175"/>
      <c r="FZT30" s="175"/>
      <c r="FZU30" s="175"/>
      <c r="FZV30" s="175"/>
      <c r="FZW30" s="175"/>
      <c r="FZX30" s="175"/>
      <c r="FZY30" s="175"/>
      <c r="FZZ30" s="175"/>
      <c r="GAA30" s="175"/>
      <c r="GAB30" s="175"/>
      <c r="GAC30" s="175"/>
      <c r="GAD30" s="175"/>
      <c r="GAE30" s="175"/>
      <c r="GAF30" s="175"/>
      <c r="GAG30" s="175"/>
      <c r="GAH30" s="175"/>
      <c r="GAI30" s="175"/>
      <c r="GAJ30" s="175"/>
      <c r="GAK30" s="175"/>
      <c r="GAL30" s="175"/>
      <c r="GAM30" s="175"/>
      <c r="GAN30" s="175"/>
      <c r="GAO30" s="175"/>
      <c r="GAP30" s="175"/>
      <c r="GAQ30" s="175"/>
      <c r="GAR30" s="175"/>
      <c r="GAS30" s="175"/>
      <c r="GAT30" s="175"/>
      <c r="GAU30" s="175"/>
      <c r="GAV30" s="175"/>
      <c r="GAW30" s="175"/>
      <c r="GAX30" s="175"/>
      <c r="GAY30" s="175"/>
      <c r="GAZ30" s="175"/>
      <c r="GBA30" s="175"/>
      <c r="GBB30" s="175"/>
      <c r="GBC30" s="175"/>
      <c r="GBD30" s="175"/>
      <c r="GBE30" s="175"/>
      <c r="GBF30" s="175"/>
      <c r="GBG30" s="175"/>
      <c r="GBH30" s="175"/>
      <c r="GBI30" s="175"/>
      <c r="GBJ30" s="175"/>
      <c r="GBK30" s="175"/>
      <c r="GBL30" s="175"/>
      <c r="GBM30" s="175"/>
      <c r="GBN30" s="175"/>
      <c r="GBO30" s="175"/>
      <c r="GBP30" s="175"/>
      <c r="GBQ30" s="175"/>
      <c r="GBR30" s="175"/>
      <c r="GBS30" s="175"/>
      <c r="GBT30" s="175"/>
      <c r="GBU30" s="175"/>
      <c r="GBV30" s="175"/>
      <c r="GBW30" s="175"/>
      <c r="GBX30" s="175"/>
      <c r="GBY30" s="175"/>
      <c r="GBZ30" s="175"/>
      <c r="GCA30" s="175"/>
      <c r="GCB30" s="175"/>
      <c r="GCC30" s="175"/>
      <c r="GCD30" s="175"/>
      <c r="GCE30" s="175"/>
      <c r="GCF30" s="175"/>
      <c r="GCG30" s="175"/>
      <c r="GCH30" s="175"/>
      <c r="GCI30" s="175"/>
      <c r="GCJ30" s="175"/>
      <c r="GCK30" s="175"/>
      <c r="GCL30" s="175"/>
      <c r="GCM30" s="175"/>
      <c r="GCN30" s="175"/>
      <c r="GCO30" s="175"/>
      <c r="GCP30" s="175"/>
      <c r="GCQ30" s="175"/>
      <c r="GCR30" s="175"/>
      <c r="GCS30" s="175"/>
      <c r="GCT30" s="175"/>
      <c r="GCU30" s="175"/>
      <c r="GCV30" s="175"/>
      <c r="GCW30" s="175"/>
      <c r="GCX30" s="175"/>
      <c r="GCY30" s="175"/>
      <c r="GCZ30" s="175"/>
      <c r="GDA30" s="175"/>
      <c r="GDB30" s="175"/>
      <c r="GDC30" s="175"/>
      <c r="GDD30" s="175"/>
      <c r="GDE30" s="175"/>
      <c r="GDF30" s="175"/>
      <c r="GDG30" s="175"/>
      <c r="GDH30" s="175"/>
      <c r="GDI30" s="175"/>
      <c r="GDJ30" s="175"/>
      <c r="GDK30" s="175"/>
      <c r="GDL30" s="175"/>
      <c r="GDM30" s="175"/>
      <c r="GDN30" s="175"/>
      <c r="GDO30" s="175"/>
      <c r="GDP30" s="175"/>
      <c r="GDQ30" s="175"/>
      <c r="GDR30" s="175"/>
      <c r="GDS30" s="175"/>
      <c r="GDT30" s="175"/>
      <c r="GDU30" s="175"/>
      <c r="GDV30" s="175"/>
      <c r="GDW30" s="175"/>
      <c r="GDX30" s="175"/>
      <c r="GDY30" s="175"/>
      <c r="GDZ30" s="175"/>
      <c r="GEA30" s="175"/>
      <c r="GEB30" s="175"/>
      <c r="GEC30" s="175"/>
      <c r="GED30" s="175"/>
      <c r="GEE30" s="175"/>
      <c r="GEF30" s="175"/>
      <c r="GEG30" s="175"/>
      <c r="GEH30" s="175"/>
      <c r="GEI30" s="175"/>
      <c r="GEJ30" s="175"/>
      <c r="GEK30" s="175"/>
      <c r="GEL30" s="175"/>
      <c r="GEM30" s="175"/>
      <c r="GEN30" s="175"/>
      <c r="GEO30" s="175"/>
      <c r="GEP30" s="175"/>
      <c r="GEQ30" s="175"/>
      <c r="GER30" s="175"/>
      <c r="GES30" s="175"/>
      <c r="GET30" s="175"/>
      <c r="GEU30" s="175"/>
      <c r="GEV30" s="175"/>
      <c r="GEW30" s="175"/>
      <c r="GEX30" s="175"/>
      <c r="GEY30" s="175"/>
      <c r="GEZ30" s="175"/>
      <c r="GFA30" s="175"/>
      <c r="GFB30" s="175"/>
      <c r="GFC30" s="175"/>
      <c r="GFD30" s="175"/>
      <c r="GFE30" s="175"/>
      <c r="GFF30" s="175"/>
      <c r="GFG30" s="175"/>
      <c r="GFH30" s="175"/>
      <c r="GFI30" s="175"/>
      <c r="GFJ30" s="175"/>
      <c r="GFK30" s="175"/>
      <c r="GFL30" s="175"/>
      <c r="GFM30" s="175"/>
      <c r="GFN30" s="175"/>
      <c r="GFO30" s="175"/>
      <c r="GFP30" s="175"/>
      <c r="GFQ30" s="175"/>
      <c r="GFR30" s="175"/>
      <c r="GFS30" s="175"/>
      <c r="GFT30" s="175"/>
      <c r="GFU30" s="175"/>
      <c r="GFV30" s="175"/>
      <c r="GFW30" s="175"/>
      <c r="GFX30" s="175"/>
      <c r="GFY30" s="175"/>
      <c r="GFZ30" s="175"/>
      <c r="GGA30" s="175"/>
      <c r="GGB30" s="175"/>
      <c r="GGC30" s="175"/>
      <c r="GGD30" s="175"/>
      <c r="GGE30" s="175"/>
      <c r="GGF30" s="175"/>
      <c r="GGG30" s="175"/>
      <c r="GGH30" s="175"/>
      <c r="GGI30" s="175"/>
      <c r="GGJ30" s="175"/>
      <c r="GGK30" s="175"/>
      <c r="GGL30" s="175"/>
      <c r="GGM30" s="175"/>
      <c r="GGN30" s="175"/>
      <c r="GGO30" s="175"/>
      <c r="GGP30" s="175"/>
      <c r="GGQ30" s="175"/>
      <c r="GGR30" s="175"/>
      <c r="GGS30" s="175"/>
      <c r="GGT30" s="175"/>
      <c r="GGU30" s="175"/>
      <c r="GGV30" s="175"/>
      <c r="GGW30" s="175"/>
      <c r="GGX30" s="175"/>
      <c r="GGY30" s="175"/>
      <c r="GGZ30" s="175"/>
      <c r="GHA30" s="175"/>
      <c r="GHB30" s="175"/>
      <c r="GHC30" s="175"/>
      <c r="GHD30" s="175"/>
      <c r="GHE30" s="175"/>
      <c r="GHF30" s="175"/>
      <c r="GHG30" s="175"/>
      <c r="GHH30" s="175"/>
      <c r="GHI30" s="175"/>
      <c r="GHJ30" s="175"/>
      <c r="GHK30" s="175"/>
      <c r="GHL30" s="175"/>
      <c r="GHM30" s="175"/>
      <c r="GHN30" s="175"/>
      <c r="GHO30" s="175"/>
      <c r="GHP30" s="175"/>
      <c r="GHQ30" s="175"/>
      <c r="GHR30" s="175"/>
      <c r="GHS30" s="175"/>
      <c r="GHT30" s="175"/>
      <c r="GHU30" s="175"/>
      <c r="GHV30" s="175"/>
      <c r="GHW30" s="175"/>
      <c r="GHX30" s="175"/>
      <c r="GHY30" s="175"/>
      <c r="GHZ30" s="175"/>
      <c r="GIA30" s="175"/>
      <c r="GIB30" s="175"/>
      <c r="GIC30" s="175"/>
      <c r="GID30" s="175"/>
      <c r="GIE30" s="175"/>
      <c r="GIF30" s="175"/>
      <c r="GIG30" s="175"/>
      <c r="GIH30" s="175"/>
      <c r="GII30" s="175"/>
      <c r="GIJ30" s="175"/>
      <c r="GIK30" s="175"/>
      <c r="GIL30" s="175"/>
      <c r="GIM30" s="175"/>
      <c r="GIN30" s="175"/>
      <c r="GIO30" s="175"/>
      <c r="GIP30" s="175"/>
      <c r="GIQ30" s="175"/>
      <c r="GIR30" s="175"/>
      <c r="GIS30" s="175"/>
      <c r="GIT30" s="175"/>
      <c r="GIU30" s="175"/>
      <c r="GIV30" s="175"/>
      <c r="GIW30" s="175"/>
      <c r="GIX30" s="175"/>
      <c r="GIY30" s="175"/>
      <c r="GIZ30" s="175"/>
      <c r="GJA30" s="175"/>
      <c r="GJB30" s="175"/>
      <c r="GJC30" s="175"/>
      <c r="GJD30" s="175"/>
      <c r="GJE30" s="175"/>
      <c r="GJF30" s="175"/>
      <c r="GJG30" s="175"/>
      <c r="GJH30" s="175"/>
      <c r="GJI30" s="175"/>
      <c r="GJJ30" s="175"/>
      <c r="GJK30" s="175"/>
      <c r="GJL30" s="175"/>
      <c r="GJM30" s="175"/>
      <c r="GJN30" s="175"/>
      <c r="GJO30" s="175"/>
      <c r="GJP30" s="175"/>
      <c r="GJQ30" s="175"/>
      <c r="GJR30" s="175"/>
      <c r="GJS30" s="175"/>
      <c r="GJT30" s="175"/>
      <c r="GJU30" s="175"/>
      <c r="GJV30" s="175"/>
      <c r="GJW30" s="175"/>
      <c r="GJX30" s="175"/>
      <c r="GJY30" s="175"/>
      <c r="GJZ30" s="175"/>
      <c r="GKA30" s="175"/>
      <c r="GKB30" s="175"/>
      <c r="GKC30" s="175"/>
      <c r="GKD30" s="175"/>
      <c r="GKE30" s="175"/>
      <c r="GKF30" s="175"/>
      <c r="GKG30" s="175"/>
      <c r="GKH30" s="175"/>
      <c r="GKI30" s="175"/>
      <c r="GKJ30" s="175"/>
      <c r="GKK30" s="175"/>
      <c r="GKL30" s="175"/>
      <c r="GKM30" s="175"/>
      <c r="GKN30" s="175"/>
      <c r="GKO30" s="175"/>
      <c r="GKP30" s="175"/>
      <c r="GKQ30" s="175"/>
      <c r="GKR30" s="175"/>
      <c r="GKS30" s="175"/>
      <c r="GKT30" s="175"/>
      <c r="GKU30" s="175"/>
      <c r="GKV30" s="175"/>
      <c r="GKW30" s="175"/>
      <c r="GKX30" s="175"/>
      <c r="GKY30" s="175"/>
      <c r="GKZ30" s="175"/>
      <c r="GLA30" s="175"/>
      <c r="GLB30" s="175"/>
      <c r="GLC30" s="175"/>
      <c r="GLD30" s="175"/>
      <c r="GLE30" s="175"/>
      <c r="GLF30" s="175"/>
      <c r="GLG30" s="175"/>
      <c r="GLH30" s="175"/>
      <c r="GLI30" s="175"/>
      <c r="GLJ30" s="175"/>
      <c r="GLK30" s="175"/>
      <c r="GLL30" s="175"/>
      <c r="GLM30" s="175"/>
      <c r="GLN30" s="175"/>
      <c r="GLO30" s="175"/>
      <c r="GLP30" s="175"/>
      <c r="GLQ30" s="175"/>
      <c r="GLR30" s="175"/>
      <c r="GLS30" s="175"/>
      <c r="GLT30" s="175"/>
      <c r="GLU30" s="175"/>
      <c r="GLV30" s="175"/>
      <c r="GLW30" s="175"/>
      <c r="GLX30" s="175"/>
      <c r="GLY30" s="175"/>
      <c r="GLZ30" s="175"/>
      <c r="GMA30" s="175"/>
      <c r="GMB30" s="175"/>
      <c r="GMC30" s="175"/>
      <c r="GMD30" s="175"/>
      <c r="GME30" s="175"/>
      <c r="GMF30" s="175"/>
      <c r="GMG30" s="175"/>
      <c r="GMH30" s="175"/>
      <c r="GMI30" s="175"/>
      <c r="GMJ30" s="175"/>
      <c r="GMK30" s="175"/>
      <c r="GML30" s="175"/>
      <c r="GMM30" s="175"/>
      <c r="GMN30" s="175"/>
      <c r="GMO30" s="175"/>
      <c r="GMP30" s="175"/>
      <c r="GMQ30" s="175"/>
      <c r="GMR30" s="175"/>
      <c r="GMS30" s="175"/>
      <c r="GMT30" s="175"/>
      <c r="GMU30" s="175"/>
      <c r="GMV30" s="175"/>
      <c r="GMW30" s="175"/>
      <c r="GMX30" s="175"/>
      <c r="GMY30" s="175"/>
      <c r="GMZ30" s="175"/>
      <c r="GNA30" s="175"/>
      <c r="GNB30" s="175"/>
      <c r="GNC30" s="175"/>
      <c r="GND30" s="175"/>
      <c r="GNE30" s="175"/>
      <c r="GNF30" s="175"/>
      <c r="GNG30" s="175"/>
      <c r="GNH30" s="175"/>
      <c r="GNI30" s="175"/>
      <c r="GNJ30" s="175"/>
      <c r="GNK30" s="175"/>
      <c r="GNL30" s="175"/>
      <c r="GNM30" s="175"/>
      <c r="GNN30" s="175"/>
      <c r="GNO30" s="175"/>
      <c r="GNP30" s="175"/>
      <c r="GNQ30" s="175"/>
      <c r="GNR30" s="175"/>
      <c r="GNS30" s="175"/>
      <c r="GNT30" s="175"/>
      <c r="GNU30" s="175"/>
      <c r="GNV30" s="175"/>
      <c r="GNW30" s="175"/>
      <c r="GNX30" s="175"/>
      <c r="GNY30" s="175"/>
      <c r="GNZ30" s="175"/>
      <c r="GOA30" s="175"/>
      <c r="GOB30" s="175"/>
      <c r="GOC30" s="175"/>
      <c r="GOD30" s="175"/>
      <c r="GOE30" s="175"/>
      <c r="GOF30" s="175"/>
      <c r="GOG30" s="175"/>
      <c r="GOH30" s="175"/>
      <c r="GOI30" s="175"/>
      <c r="GOJ30" s="175"/>
      <c r="GOK30" s="175"/>
      <c r="GOL30" s="175"/>
      <c r="GOM30" s="175"/>
      <c r="GON30" s="175"/>
      <c r="GOO30" s="175"/>
      <c r="GOP30" s="175"/>
      <c r="GOQ30" s="175"/>
      <c r="GOR30" s="175"/>
      <c r="GOS30" s="175"/>
      <c r="GOT30" s="175"/>
      <c r="GOU30" s="175"/>
      <c r="GOV30" s="175"/>
      <c r="GOW30" s="175"/>
      <c r="GOX30" s="175"/>
      <c r="GOY30" s="175"/>
      <c r="GOZ30" s="175"/>
      <c r="GPA30" s="175"/>
      <c r="GPB30" s="175"/>
      <c r="GPC30" s="175"/>
      <c r="GPD30" s="175"/>
      <c r="GPE30" s="175"/>
      <c r="GPF30" s="175"/>
      <c r="GPG30" s="175"/>
      <c r="GPH30" s="175"/>
      <c r="GPI30" s="175"/>
      <c r="GPJ30" s="175"/>
      <c r="GPK30" s="175"/>
      <c r="GPL30" s="175"/>
      <c r="GPM30" s="175"/>
      <c r="GPN30" s="175"/>
      <c r="GPO30" s="175"/>
      <c r="GPP30" s="175"/>
      <c r="GPQ30" s="175"/>
      <c r="GPR30" s="175"/>
      <c r="GPS30" s="175"/>
      <c r="GPT30" s="175"/>
      <c r="GPU30" s="175"/>
      <c r="GPV30" s="175"/>
      <c r="GPW30" s="175"/>
      <c r="GPX30" s="175"/>
      <c r="GPY30" s="175"/>
      <c r="GPZ30" s="175"/>
      <c r="GQA30" s="175"/>
      <c r="GQB30" s="175"/>
      <c r="GQC30" s="175"/>
      <c r="GQD30" s="175"/>
      <c r="GQE30" s="175"/>
      <c r="GQF30" s="175"/>
      <c r="GQG30" s="175"/>
      <c r="GQH30" s="175"/>
      <c r="GQI30" s="175"/>
      <c r="GQJ30" s="175"/>
      <c r="GQK30" s="175"/>
      <c r="GQL30" s="175"/>
      <c r="GQM30" s="175"/>
      <c r="GQN30" s="175"/>
      <c r="GQO30" s="175"/>
      <c r="GQP30" s="175"/>
      <c r="GQQ30" s="175"/>
      <c r="GQR30" s="175"/>
      <c r="GQS30" s="175"/>
      <c r="GQT30" s="175"/>
      <c r="GQU30" s="175"/>
      <c r="GQV30" s="175"/>
      <c r="GQW30" s="175"/>
      <c r="GQX30" s="175"/>
      <c r="GQY30" s="175"/>
      <c r="GQZ30" s="175"/>
      <c r="GRA30" s="175"/>
      <c r="GRB30" s="175"/>
      <c r="GRC30" s="175"/>
      <c r="GRD30" s="175"/>
      <c r="GRE30" s="175"/>
      <c r="GRF30" s="175"/>
      <c r="GRG30" s="175"/>
      <c r="GRH30" s="175"/>
      <c r="GRI30" s="175"/>
      <c r="GRJ30" s="175"/>
      <c r="GRK30" s="175"/>
      <c r="GRL30" s="175"/>
      <c r="GRM30" s="175"/>
      <c r="GRN30" s="175"/>
      <c r="GRO30" s="175"/>
      <c r="GRP30" s="175"/>
      <c r="GRQ30" s="175"/>
      <c r="GRR30" s="175"/>
      <c r="GRS30" s="175"/>
      <c r="GRT30" s="175"/>
      <c r="GRU30" s="175"/>
      <c r="GRV30" s="175"/>
      <c r="GRW30" s="175"/>
      <c r="GRX30" s="175"/>
      <c r="GRY30" s="175"/>
      <c r="GRZ30" s="175"/>
      <c r="GSA30" s="175"/>
      <c r="GSB30" s="175"/>
      <c r="GSC30" s="175"/>
      <c r="GSD30" s="175"/>
      <c r="GSE30" s="175"/>
      <c r="GSF30" s="175"/>
      <c r="GSG30" s="175"/>
      <c r="GSH30" s="175"/>
      <c r="GSI30" s="175"/>
      <c r="GSJ30" s="175"/>
      <c r="GSK30" s="175"/>
      <c r="GSL30" s="175"/>
      <c r="GSM30" s="175"/>
      <c r="GSN30" s="175"/>
      <c r="GSO30" s="175"/>
      <c r="GSP30" s="175"/>
      <c r="GSQ30" s="175"/>
      <c r="GSR30" s="175"/>
      <c r="GSS30" s="175"/>
      <c r="GST30" s="175"/>
      <c r="GSU30" s="175"/>
      <c r="GSV30" s="175"/>
      <c r="GSW30" s="175"/>
      <c r="GSX30" s="175"/>
      <c r="GSY30" s="175"/>
      <c r="GSZ30" s="175"/>
      <c r="GTA30" s="175"/>
      <c r="GTB30" s="175"/>
      <c r="GTC30" s="175"/>
      <c r="GTD30" s="175"/>
      <c r="GTE30" s="175"/>
      <c r="GTF30" s="175"/>
      <c r="GTG30" s="175"/>
      <c r="GTH30" s="175"/>
      <c r="GTI30" s="175"/>
      <c r="GTJ30" s="175"/>
      <c r="GTK30" s="175"/>
      <c r="GTL30" s="175"/>
      <c r="GTM30" s="175"/>
      <c r="GTN30" s="175"/>
      <c r="GTO30" s="175"/>
      <c r="GTP30" s="175"/>
      <c r="GTQ30" s="175"/>
      <c r="GTR30" s="175"/>
      <c r="GTS30" s="175"/>
      <c r="GTT30" s="175"/>
      <c r="GTU30" s="175"/>
      <c r="GTV30" s="175"/>
      <c r="GTW30" s="175"/>
      <c r="GTX30" s="175"/>
      <c r="GTY30" s="175"/>
      <c r="GTZ30" s="175"/>
      <c r="GUA30" s="175"/>
      <c r="GUB30" s="175"/>
      <c r="GUC30" s="175"/>
      <c r="GUD30" s="175"/>
      <c r="GUE30" s="175"/>
      <c r="GUF30" s="175"/>
      <c r="GUG30" s="175"/>
      <c r="GUH30" s="175"/>
      <c r="GUI30" s="175"/>
      <c r="GUJ30" s="175"/>
      <c r="GUK30" s="175"/>
      <c r="GUL30" s="175"/>
      <c r="GUM30" s="175"/>
      <c r="GUN30" s="175"/>
      <c r="GUO30" s="175"/>
      <c r="GUP30" s="175"/>
      <c r="GUQ30" s="175"/>
      <c r="GUR30" s="175"/>
      <c r="GUS30" s="175"/>
      <c r="GUT30" s="175"/>
      <c r="GUU30" s="175"/>
      <c r="GUV30" s="175"/>
      <c r="GUW30" s="175"/>
      <c r="GUX30" s="175"/>
      <c r="GUY30" s="175"/>
      <c r="GUZ30" s="175"/>
      <c r="GVA30" s="175"/>
      <c r="GVB30" s="175"/>
      <c r="GVC30" s="175"/>
      <c r="GVD30" s="175"/>
      <c r="GVE30" s="175"/>
      <c r="GVF30" s="175"/>
      <c r="GVG30" s="175"/>
      <c r="GVH30" s="175"/>
      <c r="GVI30" s="175"/>
      <c r="GVJ30" s="175"/>
      <c r="GVK30" s="175"/>
      <c r="GVL30" s="175"/>
      <c r="GVM30" s="175"/>
      <c r="GVN30" s="175"/>
      <c r="GVO30" s="175"/>
      <c r="GVP30" s="175"/>
      <c r="GVQ30" s="175"/>
      <c r="GVR30" s="175"/>
      <c r="GVS30" s="175"/>
      <c r="GVT30" s="175"/>
      <c r="GVU30" s="175"/>
      <c r="GVV30" s="175"/>
      <c r="GVW30" s="175"/>
      <c r="GVX30" s="175"/>
      <c r="GVY30" s="175"/>
      <c r="GVZ30" s="175"/>
      <c r="GWA30" s="175"/>
      <c r="GWB30" s="175"/>
      <c r="GWC30" s="175"/>
      <c r="GWD30" s="175"/>
      <c r="GWE30" s="175"/>
      <c r="GWF30" s="175"/>
      <c r="GWG30" s="175"/>
      <c r="GWH30" s="175"/>
      <c r="GWI30" s="175"/>
      <c r="GWJ30" s="175"/>
      <c r="GWK30" s="175"/>
      <c r="GWL30" s="175"/>
      <c r="GWM30" s="175"/>
      <c r="GWN30" s="175"/>
      <c r="GWO30" s="175"/>
      <c r="GWP30" s="175"/>
      <c r="GWQ30" s="175"/>
      <c r="GWR30" s="175"/>
      <c r="GWS30" s="175"/>
      <c r="GWT30" s="175"/>
      <c r="GWU30" s="175"/>
      <c r="GWV30" s="175"/>
      <c r="GWW30" s="175"/>
      <c r="GWX30" s="175"/>
      <c r="GWY30" s="175"/>
      <c r="GWZ30" s="175"/>
      <c r="GXA30" s="175"/>
      <c r="GXB30" s="175"/>
      <c r="GXC30" s="175"/>
      <c r="GXD30" s="175"/>
      <c r="GXE30" s="175"/>
      <c r="GXF30" s="175"/>
      <c r="GXG30" s="175"/>
      <c r="GXH30" s="175"/>
      <c r="GXI30" s="175"/>
      <c r="GXJ30" s="175"/>
      <c r="GXK30" s="175"/>
      <c r="GXL30" s="175"/>
      <c r="GXM30" s="175"/>
      <c r="GXN30" s="175"/>
      <c r="GXO30" s="175"/>
      <c r="GXP30" s="175"/>
      <c r="GXQ30" s="175"/>
      <c r="GXR30" s="175"/>
      <c r="GXS30" s="175"/>
      <c r="GXT30" s="175"/>
      <c r="GXU30" s="175"/>
      <c r="GXV30" s="175"/>
      <c r="GXW30" s="175"/>
      <c r="GXX30" s="175"/>
      <c r="GXY30" s="175"/>
      <c r="GXZ30" s="175"/>
      <c r="GYA30" s="175"/>
      <c r="GYB30" s="175"/>
      <c r="GYC30" s="175"/>
      <c r="GYD30" s="175"/>
      <c r="GYE30" s="175"/>
      <c r="GYF30" s="175"/>
      <c r="GYG30" s="175"/>
      <c r="GYH30" s="175"/>
      <c r="GYI30" s="175"/>
      <c r="GYJ30" s="175"/>
      <c r="GYK30" s="175"/>
      <c r="GYL30" s="175"/>
      <c r="GYM30" s="175"/>
      <c r="GYN30" s="175"/>
      <c r="GYO30" s="175"/>
      <c r="GYP30" s="175"/>
      <c r="GYQ30" s="175"/>
      <c r="GYR30" s="175"/>
      <c r="GYS30" s="175"/>
      <c r="GYT30" s="175"/>
      <c r="GYU30" s="175"/>
      <c r="GYV30" s="175"/>
      <c r="GYW30" s="175"/>
      <c r="GYX30" s="175"/>
      <c r="GYY30" s="175"/>
      <c r="GYZ30" s="175"/>
      <c r="GZA30" s="175"/>
      <c r="GZB30" s="175"/>
      <c r="GZC30" s="175"/>
      <c r="GZD30" s="175"/>
      <c r="GZE30" s="175"/>
      <c r="GZF30" s="175"/>
      <c r="GZG30" s="175"/>
      <c r="GZH30" s="175"/>
      <c r="GZI30" s="175"/>
      <c r="GZJ30" s="175"/>
      <c r="GZK30" s="175"/>
      <c r="GZL30" s="175"/>
      <c r="GZM30" s="175"/>
      <c r="GZN30" s="175"/>
      <c r="GZO30" s="175"/>
      <c r="GZP30" s="175"/>
      <c r="GZQ30" s="175"/>
      <c r="GZR30" s="175"/>
      <c r="GZS30" s="175"/>
      <c r="GZT30" s="175"/>
      <c r="GZU30" s="175"/>
      <c r="GZV30" s="175"/>
      <c r="GZW30" s="175"/>
      <c r="GZX30" s="175"/>
      <c r="GZY30" s="175"/>
      <c r="GZZ30" s="175"/>
      <c r="HAA30" s="175"/>
      <c r="HAB30" s="175"/>
      <c r="HAC30" s="175"/>
      <c r="HAD30" s="175"/>
      <c r="HAE30" s="175"/>
      <c r="HAF30" s="175"/>
      <c r="HAG30" s="175"/>
      <c r="HAH30" s="175"/>
      <c r="HAI30" s="175"/>
      <c r="HAJ30" s="175"/>
      <c r="HAK30" s="175"/>
      <c r="HAL30" s="175"/>
      <c r="HAM30" s="175"/>
      <c r="HAN30" s="175"/>
      <c r="HAO30" s="175"/>
      <c r="HAP30" s="175"/>
      <c r="HAQ30" s="175"/>
      <c r="HAR30" s="175"/>
      <c r="HAS30" s="175"/>
      <c r="HAT30" s="175"/>
      <c r="HAU30" s="175"/>
      <c r="HAV30" s="175"/>
      <c r="HAW30" s="175"/>
      <c r="HAX30" s="175"/>
      <c r="HAY30" s="175"/>
      <c r="HAZ30" s="175"/>
      <c r="HBA30" s="175"/>
      <c r="HBB30" s="175"/>
      <c r="HBC30" s="175"/>
      <c r="HBD30" s="175"/>
      <c r="HBE30" s="175"/>
      <c r="HBF30" s="175"/>
      <c r="HBG30" s="175"/>
      <c r="HBH30" s="175"/>
      <c r="HBI30" s="175"/>
      <c r="HBJ30" s="175"/>
      <c r="HBK30" s="175"/>
      <c r="HBL30" s="175"/>
      <c r="HBM30" s="175"/>
      <c r="HBN30" s="175"/>
      <c r="HBO30" s="175"/>
      <c r="HBP30" s="175"/>
      <c r="HBQ30" s="175"/>
      <c r="HBR30" s="175"/>
      <c r="HBS30" s="175"/>
      <c r="HBT30" s="175"/>
      <c r="HBU30" s="175"/>
      <c r="HBV30" s="175"/>
      <c r="HBW30" s="175"/>
      <c r="HBX30" s="175"/>
      <c r="HBY30" s="175"/>
      <c r="HBZ30" s="175"/>
      <c r="HCA30" s="175"/>
      <c r="HCB30" s="175"/>
      <c r="HCC30" s="175"/>
      <c r="HCD30" s="175"/>
      <c r="HCE30" s="175"/>
      <c r="HCF30" s="175"/>
      <c r="HCG30" s="175"/>
      <c r="HCH30" s="175"/>
      <c r="HCI30" s="175"/>
      <c r="HCJ30" s="175"/>
      <c r="HCK30" s="175"/>
      <c r="HCL30" s="175"/>
      <c r="HCM30" s="175"/>
      <c r="HCN30" s="175"/>
      <c r="HCO30" s="175"/>
      <c r="HCP30" s="175"/>
      <c r="HCQ30" s="175"/>
      <c r="HCR30" s="175"/>
      <c r="HCS30" s="175"/>
      <c r="HCT30" s="175"/>
      <c r="HCU30" s="175"/>
      <c r="HCV30" s="175"/>
      <c r="HCW30" s="175"/>
      <c r="HCX30" s="175"/>
      <c r="HCY30" s="175"/>
      <c r="HCZ30" s="175"/>
      <c r="HDA30" s="175"/>
      <c r="HDB30" s="175"/>
      <c r="HDC30" s="175"/>
      <c r="HDD30" s="175"/>
      <c r="HDE30" s="175"/>
      <c r="HDF30" s="175"/>
      <c r="HDG30" s="175"/>
      <c r="HDH30" s="175"/>
      <c r="HDI30" s="175"/>
      <c r="HDJ30" s="175"/>
      <c r="HDK30" s="175"/>
      <c r="HDL30" s="175"/>
      <c r="HDM30" s="175"/>
      <c r="HDN30" s="175"/>
      <c r="HDO30" s="175"/>
      <c r="HDP30" s="175"/>
      <c r="HDQ30" s="175"/>
      <c r="HDR30" s="175"/>
      <c r="HDS30" s="175"/>
      <c r="HDT30" s="175"/>
      <c r="HDU30" s="175"/>
      <c r="HDV30" s="175"/>
      <c r="HDW30" s="175"/>
      <c r="HDX30" s="175"/>
      <c r="HDY30" s="175"/>
      <c r="HDZ30" s="175"/>
      <c r="HEA30" s="175"/>
      <c r="HEB30" s="175"/>
      <c r="HEC30" s="175"/>
      <c r="HED30" s="175"/>
      <c r="HEE30" s="175"/>
      <c r="HEF30" s="175"/>
      <c r="HEG30" s="175"/>
      <c r="HEH30" s="175"/>
      <c r="HEI30" s="175"/>
      <c r="HEJ30" s="175"/>
      <c r="HEK30" s="175"/>
      <c r="HEL30" s="175"/>
      <c r="HEM30" s="175"/>
      <c r="HEN30" s="175"/>
      <c r="HEO30" s="175"/>
      <c r="HEP30" s="175"/>
      <c r="HEQ30" s="175"/>
      <c r="HER30" s="175"/>
      <c r="HES30" s="175"/>
      <c r="HET30" s="175"/>
      <c r="HEU30" s="175"/>
      <c r="HEV30" s="175"/>
      <c r="HEW30" s="175"/>
      <c r="HEX30" s="175"/>
      <c r="HEY30" s="175"/>
      <c r="HEZ30" s="175"/>
      <c r="HFA30" s="175"/>
      <c r="HFB30" s="175"/>
      <c r="HFC30" s="175"/>
      <c r="HFD30" s="175"/>
      <c r="HFE30" s="175"/>
      <c r="HFF30" s="175"/>
      <c r="HFG30" s="175"/>
      <c r="HFH30" s="175"/>
      <c r="HFI30" s="175"/>
      <c r="HFJ30" s="175"/>
      <c r="HFK30" s="175"/>
      <c r="HFL30" s="175"/>
      <c r="HFM30" s="175"/>
      <c r="HFN30" s="175"/>
      <c r="HFO30" s="175"/>
      <c r="HFP30" s="175"/>
      <c r="HFQ30" s="175"/>
      <c r="HFR30" s="175"/>
      <c r="HFS30" s="175"/>
      <c r="HFT30" s="175"/>
      <c r="HFU30" s="175"/>
      <c r="HFV30" s="175"/>
      <c r="HFW30" s="175"/>
      <c r="HFX30" s="175"/>
      <c r="HFY30" s="175"/>
      <c r="HFZ30" s="175"/>
      <c r="HGA30" s="175"/>
      <c r="HGB30" s="175"/>
      <c r="HGC30" s="175"/>
      <c r="HGD30" s="175"/>
      <c r="HGE30" s="175"/>
      <c r="HGF30" s="175"/>
      <c r="HGG30" s="175"/>
      <c r="HGH30" s="175"/>
      <c r="HGI30" s="175"/>
      <c r="HGJ30" s="175"/>
      <c r="HGK30" s="175"/>
      <c r="HGL30" s="175"/>
      <c r="HGM30" s="175"/>
      <c r="HGN30" s="175"/>
      <c r="HGO30" s="175"/>
      <c r="HGP30" s="175"/>
      <c r="HGQ30" s="175"/>
      <c r="HGR30" s="175"/>
      <c r="HGS30" s="175"/>
      <c r="HGT30" s="175"/>
      <c r="HGU30" s="175"/>
      <c r="HGV30" s="175"/>
      <c r="HGW30" s="175"/>
      <c r="HGX30" s="175"/>
      <c r="HGY30" s="175"/>
      <c r="HGZ30" s="175"/>
      <c r="HHA30" s="175"/>
      <c r="HHB30" s="175"/>
      <c r="HHC30" s="175"/>
      <c r="HHD30" s="175"/>
      <c r="HHE30" s="175"/>
      <c r="HHF30" s="175"/>
      <c r="HHG30" s="175"/>
      <c r="HHH30" s="175"/>
      <c r="HHI30" s="175"/>
      <c r="HHJ30" s="175"/>
      <c r="HHK30" s="175"/>
      <c r="HHL30" s="175"/>
      <c r="HHM30" s="175"/>
      <c r="HHN30" s="175"/>
      <c r="HHO30" s="175"/>
      <c r="HHP30" s="175"/>
      <c r="HHQ30" s="175"/>
      <c r="HHR30" s="175"/>
      <c r="HHS30" s="175"/>
      <c r="HHT30" s="175"/>
      <c r="HHU30" s="175"/>
      <c r="HHV30" s="175"/>
      <c r="HHW30" s="175"/>
      <c r="HHX30" s="175"/>
      <c r="HHY30" s="175"/>
      <c r="HHZ30" s="175"/>
      <c r="HIA30" s="175"/>
      <c r="HIB30" s="175"/>
      <c r="HIC30" s="175"/>
      <c r="HID30" s="175"/>
      <c r="HIE30" s="175"/>
      <c r="HIF30" s="175"/>
      <c r="HIG30" s="175"/>
      <c r="HIH30" s="175"/>
      <c r="HII30" s="175"/>
      <c r="HIJ30" s="175"/>
      <c r="HIK30" s="175"/>
      <c r="HIL30" s="175"/>
      <c r="HIM30" s="175"/>
      <c r="HIN30" s="175"/>
      <c r="HIO30" s="175"/>
      <c r="HIP30" s="175"/>
      <c r="HIQ30" s="175"/>
      <c r="HIR30" s="175"/>
      <c r="HIS30" s="175"/>
      <c r="HIT30" s="175"/>
      <c r="HIU30" s="175"/>
      <c r="HIV30" s="175"/>
      <c r="HIW30" s="175"/>
      <c r="HIX30" s="175"/>
      <c r="HIY30" s="175"/>
      <c r="HIZ30" s="175"/>
      <c r="HJA30" s="175"/>
      <c r="HJB30" s="175"/>
      <c r="HJC30" s="175"/>
      <c r="HJD30" s="175"/>
      <c r="HJE30" s="175"/>
      <c r="HJF30" s="175"/>
      <c r="HJG30" s="175"/>
      <c r="HJH30" s="175"/>
      <c r="HJI30" s="175"/>
      <c r="HJJ30" s="175"/>
      <c r="HJK30" s="175"/>
      <c r="HJL30" s="175"/>
      <c r="HJM30" s="175"/>
      <c r="HJN30" s="175"/>
      <c r="HJO30" s="175"/>
      <c r="HJP30" s="175"/>
      <c r="HJQ30" s="175"/>
      <c r="HJR30" s="175"/>
      <c r="HJS30" s="175"/>
      <c r="HJT30" s="175"/>
      <c r="HJU30" s="175"/>
      <c r="HJV30" s="175"/>
      <c r="HJW30" s="175"/>
      <c r="HJX30" s="175"/>
      <c r="HJY30" s="175"/>
      <c r="HJZ30" s="175"/>
      <c r="HKA30" s="175"/>
      <c r="HKB30" s="175"/>
      <c r="HKC30" s="175"/>
      <c r="HKD30" s="175"/>
      <c r="HKE30" s="175"/>
      <c r="HKF30" s="175"/>
      <c r="HKG30" s="175"/>
      <c r="HKH30" s="175"/>
      <c r="HKI30" s="175"/>
      <c r="HKJ30" s="175"/>
      <c r="HKK30" s="175"/>
      <c r="HKL30" s="175"/>
      <c r="HKM30" s="175"/>
      <c r="HKN30" s="175"/>
      <c r="HKO30" s="175"/>
      <c r="HKP30" s="175"/>
      <c r="HKQ30" s="175"/>
      <c r="HKR30" s="175"/>
      <c r="HKS30" s="175"/>
      <c r="HKT30" s="175"/>
      <c r="HKU30" s="175"/>
      <c r="HKV30" s="175"/>
      <c r="HKW30" s="175"/>
      <c r="HKX30" s="175"/>
      <c r="HKY30" s="175"/>
      <c r="HKZ30" s="175"/>
      <c r="HLA30" s="175"/>
      <c r="HLB30" s="175"/>
      <c r="HLC30" s="175"/>
      <c r="HLD30" s="175"/>
      <c r="HLE30" s="175"/>
      <c r="HLF30" s="175"/>
      <c r="HLG30" s="175"/>
      <c r="HLH30" s="175"/>
      <c r="HLI30" s="175"/>
      <c r="HLJ30" s="175"/>
      <c r="HLK30" s="175"/>
      <c r="HLL30" s="175"/>
      <c r="HLM30" s="175"/>
      <c r="HLN30" s="175"/>
      <c r="HLO30" s="175"/>
      <c r="HLP30" s="175"/>
      <c r="HLQ30" s="175"/>
      <c r="HLR30" s="175"/>
      <c r="HLS30" s="175"/>
      <c r="HLT30" s="175"/>
      <c r="HLU30" s="175"/>
      <c r="HLV30" s="175"/>
      <c r="HLW30" s="175"/>
      <c r="HLX30" s="175"/>
      <c r="HLY30" s="175"/>
      <c r="HLZ30" s="175"/>
      <c r="HMA30" s="175"/>
      <c r="HMB30" s="175"/>
      <c r="HMC30" s="175"/>
      <c r="HMD30" s="175"/>
      <c r="HME30" s="175"/>
      <c r="HMF30" s="175"/>
      <c r="HMG30" s="175"/>
      <c r="HMH30" s="175"/>
      <c r="HMI30" s="175"/>
      <c r="HMJ30" s="175"/>
      <c r="HMK30" s="175"/>
      <c r="HML30" s="175"/>
      <c r="HMM30" s="175"/>
      <c r="HMN30" s="175"/>
      <c r="HMO30" s="175"/>
      <c r="HMP30" s="175"/>
      <c r="HMQ30" s="175"/>
      <c r="HMR30" s="175"/>
      <c r="HMS30" s="175"/>
      <c r="HMT30" s="175"/>
      <c r="HMU30" s="175"/>
      <c r="HMV30" s="175"/>
      <c r="HMW30" s="175"/>
      <c r="HMX30" s="175"/>
      <c r="HMY30" s="175"/>
      <c r="HMZ30" s="175"/>
      <c r="HNA30" s="175"/>
      <c r="HNB30" s="175"/>
      <c r="HNC30" s="175"/>
      <c r="HND30" s="175"/>
      <c r="HNE30" s="175"/>
      <c r="HNF30" s="175"/>
      <c r="HNG30" s="175"/>
      <c r="HNH30" s="175"/>
      <c r="HNI30" s="175"/>
      <c r="HNJ30" s="175"/>
      <c r="HNK30" s="175"/>
      <c r="HNL30" s="175"/>
      <c r="HNM30" s="175"/>
      <c r="HNN30" s="175"/>
      <c r="HNO30" s="175"/>
      <c r="HNP30" s="175"/>
      <c r="HNQ30" s="175"/>
      <c r="HNR30" s="175"/>
      <c r="HNS30" s="175"/>
      <c r="HNT30" s="175"/>
      <c r="HNU30" s="175"/>
      <c r="HNV30" s="175"/>
      <c r="HNW30" s="175"/>
      <c r="HNX30" s="175"/>
      <c r="HNY30" s="175"/>
      <c r="HNZ30" s="175"/>
      <c r="HOA30" s="175"/>
      <c r="HOB30" s="175"/>
      <c r="HOC30" s="175"/>
      <c r="HOD30" s="175"/>
      <c r="HOE30" s="175"/>
      <c r="HOF30" s="175"/>
      <c r="HOG30" s="175"/>
      <c r="HOH30" s="175"/>
      <c r="HOI30" s="175"/>
      <c r="HOJ30" s="175"/>
      <c r="HOK30" s="175"/>
      <c r="HOL30" s="175"/>
      <c r="HOM30" s="175"/>
      <c r="HON30" s="175"/>
      <c r="HOO30" s="175"/>
      <c r="HOP30" s="175"/>
      <c r="HOQ30" s="175"/>
      <c r="HOR30" s="175"/>
      <c r="HOS30" s="175"/>
      <c r="HOT30" s="175"/>
      <c r="HOU30" s="175"/>
      <c r="HOV30" s="175"/>
      <c r="HOW30" s="175"/>
      <c r="HOX30" s="175"/>
      <c r="HOY30" s="175"/>
      <c r="HOZ30" s="175"/>
      <c r="HPA30" s="175"/>
      <c r="HPB30" s="175"/>
      <c r="HPC30" s="175"/>
      <c r="HPD30" s="175"/>
      <c r="HPE30" s="175"/>
      <c r="HPF30" s="175"/>
      <c r="HPG30" s="175"/>
      <c r="HPH30" s="175"/>
      <c r="HPI30" s="175"/>
      <c r="HPJ30" s="175"/>
      <c r="HPK30" s="175"/>
      <c r="HPL30" s="175"/>
      <c r="HPM30" s="175"/>
      <c r="HPN30" s="175"/>
      <c r="HPO30" s="175"/>
      <c r="HPP30" s="175"/>
      <c r="HPQ30" s="175"/>
      <c r="HPR30" s="175"/>
      <c r="HPS30" s="175"/>
      <c r="HPT30" s="175"/>
      <c r="HPU30" s="175"/>
      <c r="HPV30" s="175"/>
      <c r="HPW30" s="175"/>
      <c r="HPX30" s="175"/>
      <c r="HPY30" s="175"/>
      <c r="HPZ30" s="175"/>
      <c r="HQA30" s="175"/>
      <c r="HQB30" s="175"/>
      <c r="HQC30" s="175"/>
      <c r="HQD30" s="175"/>
      <c r="HQE30" s="175"/>
      <c r="HQF30" s="175"/>
      <c r="HQG30" s="175"/>
      <c r="HQH30" s="175"/>
      <c r="HQI30" s="175"/>
      <c r="HQJ30" s="175"/>
      <c r="HQK30" s="175"/>
      <c r="HQL30" s="175"/>
      <c r="HQM30" s="175"/>
      <c r="HQN30" s="175"/>
      <c r="HQO30" s="175"/>
      <c r="HQP30" s="175"/>
      <c r="HQQ30" s="175"/>
      <c r="HQR30" s="175"/>
      <c r="HQS30" s="175"/>
      <c r="HQT30" s="175"/>
      <c r="HQU30" s="175"/>
      <c r="HQV30" s="175"/>
      <c r="HQW30" s="175"/>
      <c r="HQX30" s="175"/>
      <c r="HQY30" s="175"/>
      <c r="HQZ30" s="175"/>
      <c r="HRA30" s="175"/>
      <c r="HRB30" s="175"/>
      <c r="HRC30" s="175"/>
      <c r="HRD30" s="175"/>
      <c r="HRE30" s="175"/>
      <c r="HRF30" s="175"/>
      <c r="HRG30" s="175"/>
      <c r="HRH30" s="175"/>
      <c r="HRI30" s="175"/>
      <c r="HRJ30" s="175"/>
      <c r="HRK30" s="175"/>
      <c r="HRL30" s="175"/>
      <c r="HRM30" s="175"/>
      <c r="HRN30" s="175"/>
      <c r="HRO30" s="175"/>
      <c r="HRP30" s="175"/>
      <c r="HRQ30" s="175"/>
      <c r="HRR30" s="175"/>
      <c r="HRS30" s="175"/>
      <c r="HRT30" s="175"/>
      <c r="HRU30" s="175"/>
      <c r="HRV30" s="175"/>
      <c r="HRW30" s="175"/>
      <c r="HRX30" s="175"/>
      <c r="HRY30" s="175"/>
      <c r="HRZ30" s="175"/>
      <c r="HSA30" s="175"/>
      <c r="HSB30" s="175"/>
      <c r="HSC30" s="175"/>
      <c r="HSD30" s="175"/>
      <c r="HSE30" s="175"/>
      <c r="HSF30" s="175"/>
      <c r="HSG30" s="175"/>
      <c r="HSH30" s="175"/>
      <c r="HSI30" s="175"/>
      <c r="HSJ30" s="175"/>
      <c r="HSK30" s="175"/>
      <c r="HSL30" s="175"/>
      <c r="HSM30" s="175"/>
      <c r="HSN30" s="175"/>
      <c r="HSO30" s="175"/>
      <c r="HSP30" s="175"/>
      <c r="HSQ30" s="175"/>
      <c r="HSR30" s="175"/>
      <c r="HSS30" s="175"/>
      <c r="HST30" s="175"/>
      <c r="HSU30" s="175"/>
      <c r="HSV30" s="175"/>
      <c r="HSW30" s="175"/>
      <c r="HSX30" s="175"/>
      <c r="HSY30" s="175"/>
      <c r="HSZ30" s="175"/>
      <c r="HTA30" s="175"/>
      <c r="HTB30" s="175"/>
      <c r="HTC30" s="175"/>
      <c r="HTD30" s="175"/>
      <c r="HTE30" s="175"/>
      <c r="HTF30" s="175"/>
      <c r="HTG30" s="175"/>
      <c r="HTH30" s="175"/>
      <c r="HTI30" s="175"/>
      <c r="HTJ30" s="175"/>
      <c r="HTK30" s="175"/>
      <c r="HTL30" s="175"/>
      <c r="HTM30" s="175"/>
      <c r="HTN30" s="175"/>
      <c r="HTO30" s="175"/>
      <c r="HTP30" s="175"/>
      <c r="HTQ30" s="175"/>
      <c r="HTR30" s="175"/>
      <c r="HTS30" s="175"/>
      <c r="HTT30" s="175"/>
      <c r="HTU30" s="175"/>
      <c r="HTV30" s="175"/>
      <c r="HTW30" s="175"/>
      <c r="HTX30" s="175"/>
      <c r="HTY30" s="175"/>
      <c r="HTZ30" s="175"/>
      <c r="HUA30" s="175"/>
      <c r="HUB30" s="175"/>
      <c r="HUC30" s="175"/>
      <c r="HUD30" s="175"/>
      <c r="HUE30" s="175"/>
      <c r="HUF30" s="175"/>
      <c r="HUG30" s="175"/>
      <c r="HUH30" s="175"/>
      <c r="HUI30" s="175"/>
      <c r="HUJ30" s="175"/>
      <c r="HUK30" s="175"/>
      <c r="HUL30" s="175"/>
      <c r="HUM30" s="175"/>
      <c r="HUN30" s="175"/>
      <c r="HUO30" s="175"/>
      <c r="HUP30" s="175"/>
      <c r="HUQ30" s="175"/>
      <c r="HUR30" s="175"/>
      <c r="HUS30" s="175"/>
      <c r="HUT30" s="175"/>
      <c r="HUU30" s="175"/>
      <c r="HUV30" s="175"/>
      <c r="HUW30" s="175"/>
      <c r="HUX30" s="175"/>
      <c r="HUY30" s="175"/>
      <c r="HUZ30" s="175"/>
      <c r="HVA30" s="175"/>
      <c r="HVB30" s="175"/>
      <c r="HVC30" s="175"/>
      <c r="HVD30" s="175"/>
      <c r="HVE30" s="175"/>
      <c r="HVF30" s="175"/>
      <c r="HVG30" s="175"/>
      <c r="HVH30" s="175"/>
      <c r="HVI30" s="175"/>
      <c r="HVJ30" s="175"/>
      <c r="HVK30" s="175"/>
      <c r="HVL30" s="175"/>
      <c r="HVM30" s="175"/>
      <c r="HVN30" s="175"/>
      <c r="HVO30" s="175"/>
      <c r="HVP30" s="175"/>
      <c r="HVQ30" s="175"/>
      <c r="HVR30" s="175"/>
      <c r="HVS30" s="175"/>
      <c r="HVT30" s="175"/>
      <c r="HVU30" s="175"/>
      <c r="HVV30" s="175"/>
      <c r="HVW30" s="175"/>
      <c r="HVX30" s="175"/>
      <c r="HVY30" s="175"/>
      <c r="HVZ30" s="175"/>
      <c r="HWA30" s="175"/>
      <c r="HWB30" s="175"/>
      <c r="HWC30" s="175"/>
      <c r="HWD30" s="175"/>
      <c r="HWE30" s="175"/>
      <c r="HWF30" s="175"/>
      <c r="HWG30" s="175"/>
      <c r="HWH30" s="175"/>
      <c r="HWI30" s="175"/>
      <c r="HWJ30" s="175"/>
      <c r="HWK30" s="175"/>
      <c r="HWL30" s="175"/>
      <c r="HWM30" s="175"/>
      <c r="HWN30" s="175"/>
      <c r="HWO30" s="175"/>
      <c r="HWP30" s="175"/>
      <c r="HWQ30" s="175"/>
      <c r="HWR30" s="175"/>
      <c r="HWS30" s="175"/>
      <c r="HWT30" s="175"/>
      <c r="HWU30" s="175"/>
      <c r="HWV30" s="175"/>
      <c r="HWW30" s="175"/>
      <c r="HWX30" s="175"/>
      <c r="HWY30" s="175"/>
      <c r="HWZ30" s="175"/>
      <c r="HXA30" s="175"/>
      <c r="HXB30" s="175"/>
      <c r="HXC30" s="175"/>
      <c r="HXD30" s="175"/>
      <c r="HXE30" s="175"/>
      <c r="HXF30" s="175"/>
      <c r="HXG30" s="175"/>
      <c r="HXH30" s="175"/>
      <c r="HXI30" s="175"/>
      <c r="HXJ30" s="175"/>
      <c r="HXK30" s="175"/>
      <c r="HXL30" s="175"/>
      <c r="HXM30" s="175"/>
      <c r="HXN30" s="175"/>
      <c r="HXO30" s="175"/>
      <c r="HXP30" s="175"/>
      <c r="HXQ30" s="175"/>
      <c r="HXR30" s="175"/>
      <c r="HXS30" s="175"/>
      <c r="HXT30" s="175"/>
      <c r="HXU30" s="175"/>
      <c r="HXV30" s="175"/>
      <c r="HXW30" s="175"/>
      <c r="HXX30" s="175"/>
      <c r="HXY30" s="175"/>
      <c r="HXZ30" s="175"/>
      <c r="HYA30" s="175"/>
      <c r="HYB30" s="175"/>
      <c r="HYC30" s="175"/>
      <c r="HYD30" s="175"/>
      <c r="HYE30" s="175"/>
      <c r="HYF30" s="175"/>
      <c r="HYG30" s="175"/>
      <c r="HYH30" s="175"/>
      <c r="HYI30" s="175"/>
      <c r="HYJ30" s="175"/>
      <c r="HYK30" s="175"/>
      <c r="HYL30" s="175"/>
      <c r="HYM30" s="175"/>
      <c r="HYN30" s="175"/>
      <c r="HYO30" s="175"/>
      <c r="HYP30" s="175"/>
      <c r="HYQ30" s="175"/>
      <c r="HYR30" s="175"/>
      <c r="HYS30" s="175"/>
      <c r="HYT30" s="175"/>
      <c r="HYU30" s="175"/>
      <c r="HYV30" s="175"/>
      <c r="HYW30" s="175"/>
      <c r="HYX30" s="175"/>
      <c r="HYY30" s="175"/>
      <c r="HYZ30" s="175"/>
      <c r="HZA30" s="175"/>
      <c r="HZB30" s="175"/>
      <c r="HZC30" s="175"/>
      <c r="HZD30" s="175"/>
      <c r="HZE30" s="175"/>
      <c r="HZF30" s="175"/>
      <c r="HZG30" s="175"/>
      <c r="HZH30" s="175"/>
      <c r="HZI30" s="175"/>
      <c r="HZJ30" s="175"/>
      <c r="HZK30" s="175"/>
      <c r="HZL30" s="175"/>
      <c r="HZM30" s="175"/>
      <c r="HZN30" s="175"/>
      <c r="HZO30" s="175"/>
      <c r="HZP30" s="175"/>
      <c r="HZQ30" s="175"/>
      <c r="HZR30" s="175"/>
      <c r="HZS30" s="175"/>
      <c r="HZT30" s="175"/>
      <c r="HZU30" s="175"/>
      <c r="HZV30" s="175"/>
      <c r="HZW30" s="175"/>
      <c r="HZX30" s="175"/>
      <c r="HZY30" s="175"/>
      <c r="HZZ30" s="175"/>
      <c r="IAA30" s="175"/>
      <c r="IAB30" s="175"/>
      <c r="IAC30" s="175"/>
      <c r="IAD30" s="175"/>
      <c r="IAE30" s="175"/>
      <c r="IAF30" s="175"/>
      <c r="IAG30" s="175"/>
      <c r="IAH30" s="175"/>
      <c r="IAI30" s="175"/>
      <c r="IAJ30" s="175"/>
      <c r="IAK30" s="175"/>
      <c r="IAL30" s="175"/>
      <c r="IAM30" s="175"/>
      <c r="IAN30" s="175"/>
      <c r="IAO30" s="175"/>
      <c r="IAP30" s="175"/>
      <c r="IAQ30" s="175"/>
      <c r="IAR30" s="175"/>
      <c r="IAS30" s="175"/>
      <c r="IAT30" s="175"/>
      <c r="IAU30" s="175"/>
      <c r="IAV30" s="175"/>
      <c r="IAW30" s="175"/>
      <c r="IAX30" s="175"/>
      <c r="IAY30" s="175"/>
      <c r="IAZ30" s="175"/>
      <c r="IBA30" s="175"/>
      <c r="IBB30" s="175"/>
      <c r="IBC30" s="175"/>
      <c r="IBD30" s="175"/>
      <c r="IBE30" s="175"/>
      <c r="IBF30" s="175"/>
      <c r="IBG30" s="175"/>
      <c r="IBH30" s="175"/>
      <c r="IBI30" s="175"/>
      <c r="IBJ30" s="175"/>
      <c r="IBK30" s="175"/>
      <c r="IBL30" s="175"/>
      <c r="IBM30" s="175"/>
      <c r="IBN30" s="175"/>
      <c r="IBO30" s="175"/>
      <c r="IBP30" s="175"/>
      <c r="IBQ30" s="175"/>
      <c r="IBR30" s="175"/>
      <c r="IBS30" s="175"/>
      <c r="IBT30" s="175"/>
      <c r="IBU30" s="175"/>
      <c r="IBV30" s="175"/>
      <c r="IBW30" s="175"/>
      <c r="IBX30" s="175"/>
      <c r="IBY30" s="175"/>
      <c r="IBZ30" s="175"/>
      <c r="ICA30" s="175"/>
      <c r="ICB30" s="175"/>
      <c r="ICC30" s="175"/>
      <c r="ICD30" s="175"/>
      <c r="ICE30" s="175"/>
      <c r="ICF30" s="175"/>
      <c r="ICG30" s="175"/>
      <c r="ICH30" s="175"/>
      <c r="ICI30" s="175"/>
      <c r="ICJ30" s="175"/>
      <c r="ICK30" s="175"/>
      <c r="ICL30" s="175"/>
      <c r="ICM30" s="175"/>
      <c r="ICN30" s="175"/>
      <c r="ICO30" s="175"/>
      <c r="ICP30" s="175"/>
      <c r="ICQ30" s="175"/>
      <c r="ICR30" s="175"/>
      <c r="ICS30" s="175"/>
      <c r="ICT30" s="175"/>
      <c r="ICU30" s="175"/>
      <c r="ICV30" s="175"/>
      <c r="ICW30" s="175"/>
      <c r="ICX30" s="175"/>
      <c r="ICY30" s="175"/>
      <c r="ICZ30" s="175"/>
      <c r="IDA30" s="175"/>
      <c r="IDB30" s="175"/>
      <c r="IDC30" s="175"/>
      <c r="IDD30" s="175"/>
      <c r="IDE30" s="175"/>
      <c r="IDF30" s="175"/>
      <c r="IDG30" s="175"/>
      <c r="IDH30" s="175"/>
      <c r="IDI30" s="175"/>
      <c r="IDJ30" s="175"/>
      <c r="IDK30" s="175"/>
      <c r="IDL30" s="175"/>
      <c r="IDM30" s="175"/>
      <c r="IDN30" s="175"/>
      <c r="IDO30" s="175"/>
      <c r="IDP30" s="175"/>
      <c r="IDQ30" s="175"/>
      <c r="IDR30" s="175"/>
      <c r="IDS30" s="175"/>
      <c r="IDT30" s="175"/>
      <c r="IDU30" s="175"/>
      <c r="IDV30" s="175"/>
      <c r="IDW30" s="175"/>
      <c r="IDX30" s="175"/>
      <c r="IDY30" s="175"/>
      <c r="IDZ30" s="175"/>
      <c r="IEA30" s="175"/>
      <c r="IEB30" s="175"/>
      <c r="IEC30" s="175"/>
      <c r="IED30" s="175"/>
      <c r="IEE30" s="175"/>
      <c r="IEF30" s="175"/>
      <c r="IEG30" s="175"/>
      <c r="IEH30" s="175"/>
      <c r="IEI30" s="175"/>
      <c r="IEJ30" s="175"/>
      <c r="IEK30" s="175"/>
      <c r="IEL30" s="175"/>
      <c r="IEM30" s="175"/>
      <c r="IEN30" s="175"/>
      <c r="IEO30" s="175"/>
      <c r="IEP30" s="175"/>
      <c r="IEQ30" s="175"/>
      <c r="IER30" s="175"/>
      <c r="IES30" s="175"/>
      <c r="IET30" s="175"/>
      <c r="IEU30" s="175"/>
      <c r="IEV30" s="175"/>
      <c r="IEW30" s="175"/>
      <c r="IEX30" s="175"/>
      <c r="IEY30" s="175"/>
      <c r="IEZ30" s="175"/>
      <c r="IFA30" s="175"/>
      <c r="IFB30" s="175"/>
      <c r="IFC30" s="175"/>
      <c r="IFD30" s="175"/>
      <c r="IFE30" s="175"/>
      <c r="IFF30" s="175"/>
      <c r="IFG30" s="175"/>
      <c r="IFH30" s="175"/>
      <c r="IFI30" s="175"/>
      <c r="IFJ30" s="175"/>
      <c r="IFK30" s="175"/>
      <c r="IFL30" s="175"/>
      <c r="IFM30" s="175"/>
      <c r="IFN30" s="175"/>
      <c r="IFO30" s="175"/>
      <c r="IFP30" s="175"/>
      <c r="IFQ30" s="175"/>
      <c r="IFR30" s="175"/>
      <c r="IFS30" s="175"/>
      <c r="IFT30" s="175"/>
      <c r="IFU30" s="175"/>
      <c r="IFV30" s="175"/>
      <c r="IFW30" s="175"/>
      <c r="IFX30" s="175"/>
      <c r="IFY30" s="175"/>
      <c r="IFZ30" s="175"/>
      <c r="IGA30" s="175"/>
      <c r="IGB30" s="175"/>
      <c r="IGC30" s="175"/>
      <c r="IGD30" s="175"/>
      <c r="IGE30" s="175"/>
      <c r="IGF30" s="175"/>
      <c r="IGG30" s="175"/>
      <c r="IGH30" s="175"/>
      <c r="IGI30" s="175"/>
      <c r="IGJ30" s="175"/>
      <c r="IGK30" s="175"/>
      <c r="IGL30" s="175"/>
      <c r="IGM30" s="175"/>
      <c r="IGN30" s="175"/>
      <c r="IGO30" s="175"/>
      <c r="IGP30" s="175"/>
      <c r="IGQ30" s="175"/>
      <c r="IGR30" s="175"/>
      <c r="IGS30" s="175"/>
      <c r="IGT30" s="175"/>
      <c r="IGU30" s="175"/>
      <c r="IGV30" s="175"/>
      <c r="IGW30" s="175"/>
      <c r="IGX30" s="175"/>
      <c r="IGY30" s="175"/>
      <c r="IGZ30" s="175"/>
      <c r="IHA30" s="175"/>
      <c r="IHB30" s="175"/>
      <c r="IHC30" s="175"/>
      <c r="IHD30" s="175"/>
      <c r="IHE30" s="175"/>
      <c r="IHF30" s="175"/>
      <c r="IHG30" s="175"/>
      <c r="IHH30" s="175"/>
      <c r="IHI30" s="175"/>
      <c r="IHJ30" s="175"/>
      <c r="IHK30" s="175"/>
      <c r="IHL30" s="175"/>
      <c r="IHM30" s="175"/>
      <c r="IHN30" s="175"/>
      <c r="IHO30" s="175"/>
      <c r="IHP30" s="175"/>
      <c r="IHQ30" s="175"/>
      <c r="IHR30" s="175"/>
      <c r="IHS30" s="175"/>
      <c r="IHT30" s="175"/>
      <c r="IHU30" s="175"/>
      <c r="IHV30" s="175"/>
      <c r="IHW30" s="175"/>
      <c r="IHX30" s="175"/>
      <c r="IHY30" s="175"/>
      <c r="IHZ30" s="175"/>
      <c r="IIA30" s="175"/>
      <c r="IIB30" s="175"/>
      <c r="IIC30" s="175"/>
      <c r="IID30" s="175"/>
      <c r="IIE30" s="175"/>
      <c r="IIF30" s="175"/>
      <c r="IIG30" s="175"/>
      <c r="IIH30" s="175"/>
      <c r="III30" s="175"/>
      <c r="IIJ30" s="175"/>
      <c r="IIK30" s="175"/>
      <c r="IIL30" s="175"/>
      <c r="IIM30" s="175"/>
      <c r="IIN30" s="175"/>
      <c r="IIO30" s="175"/>
      <c r="IIP30" s="175"/>
      <c r="IIQ30" s="175"/>
      <c r="IIR30" s="175"/>
      <c r="IIS30" s="175"/>
      <c r="IIT30" s="175"/>
      <c r="IIU30" s="175"/>
      <c r="IIV30" s="175"/>
      <c r="IIW30" s="175"/>
      <c r="IIX30" s="175"/>
      <c r="IIY30" s="175"/>
      <c r="IIZ30" s="175"/>
      <c r="IJA30" s="175"/>
      <c r="IJB30" s="175"/>
      <c r="IJC30" s="175"/>
      <c r="IJD30" s="175"/>
      <c r="IJE30" s="175"/>
      <c r="IJF30" s="175"/>
      <c r="IJG30" s="175"/>
      <c r="IJH30" s="175"/>
      <c r="IJI30" s="175"/>
      <c r="IJJ30" s="175"/>
      <c r="IJK30" s="175"/>
      <c r="IJL30" s="175"/>
      <c r="IJM30" s="175"/>
      <c r="IJN30" s="175"/>
      <c r="IJO30" s="175"/>
      <c r="IJP30" s="175"/>
      <c r="IJQ30" s="175"/>
      <c r="IJR30" s="175"/>
      <c r="IJS30" s="175"/>
      <c r="IJT30" s="175"/>
      <c r="IJU30" s="175"/>
      <c r="IJV30" s="175"/>
      <c r="IJW30" s="175"/>
      <c r="IJX30" s="175"/>
      <c r="IJY30" s="175"/>
      <c r="IJZ30" s="175"/>
      <c r="IKA30" s="175"/>
      <c r="IKB30" s="175"/>
      <c r="IKC30" s="175"/>
      <c r="IKD30" s="175"/>
      <c r="IKE30" s="175"/>
      <c r="IKF30" s="175"/>
      <c r="IKG30" s="175"/>
      <c r="IKH30" s="175"/>
      <c r="IKI30" s="175"/>
      <c r="IKJ30" s="175"/>
      <c r="IKK30" s="175"/>
      <c r="IKL30" s="175"/>
      <c r="IKM30" s="175"/>
      <c r="IKN30" s="175"/>
      <c r="IKO30" s="175"/>
      <c r="IKP30" s="175"/>
      <c r="IKQ30" s="175"/>
      <c r="IKR30" s="175"/>
      <c r="IKS30" s="175"/>
      <c r="IKT30" s="175"/>
      <c r="IKU30" s="175"/>
      <c r="IKV30" s="175"/>
      <c r="IKW30" s="175"/>
      <c r="IKX30" s="175"/>
      <c r="IKY30" s="175"/>
      <c r="IKZ30" s="175"/>
      <c r="ILA30" s="175"/>
      <c r="ILB30" s="175"/>
      <c r="ILC30" s="175"/>
      <c r="ILD30" s="175"/>
      <c r="ILE30" s="175"/>
      <c r="ILF30" s="175"/>
      <c r="ILG30" s="175"/>
      <c r="ILH30" s="175"/>
      <c r="ILI30" s="175"/>
      <c r="ILJ30" s="175"/>
      <c r="ILK30" s="175"/>
      <c r="ILL30" s="175"/>
      <c r="ILM30" s="175"/>
      <c r="ILN30" s="175"/>
      <c r="ILO30" s="175"/>
      <c r="ILP30" s="175"/>
      <c r="ILQ30" s="175"/>
      <c r="ILR30" s="175"/>
      <c r="ILS30" s="175"/>
      <c r="ILT30" s="175"/>
      <c r="ILU30" s="175"/>
      <c r="ILV30" s="175"/>
      <c r="ILW30" s="175"/>
      <c r="ILX30" s="175"/>
      <c r="ILY30" s="175"/>
      <c r="ILZ30" s="175"/>
      <c r="IMA30" s="175"/>
      <c r="IMB30" s="175"/>
      <c r="IMC30" s="175"/>
      <c r="IMD30" s="175"/>
      <c r="IME30" s="175"/>
      <c r="IMF30" s="175"/>
      <c r="IMG30" s="175"/>
      <c r="IMH30" s="175"/>
      <c r="IMI30" s="175"/>
      <c r="IMJ30" s="175"/>
      <c r="IMK30" s="175"/>
      <c r="IML30" s="175"/>
      <c r="IMM30" s="175"/>
      <c r="IMN30" s="175"/>
      <c r="IMO30" s="175"/>
      <c r="IMP30" s="175"/>
      <c r="IMQ30" s="175"/>
      <c r="IMR30" s="175"/>
      <c r="IMS30" s="175"/>
      <c r="IMT30" s="175"/>
      <c r="IMU30" s="175"/>
      <c r="IMV30" s="175"/>
      <c r="IMW30" s="175"/>
      <c r="IMX30" s="175"/>
      <c r="IMY30" s="175"/>
      <c r="IMZ30" s="175"/>
      <c r="INA30" s="175"/>
      <c r="INB30" s="175"/>
      <c r="INC30" s="175"/>
      <c r="IND30" s="175"/>
      <c r="INE30" s="175"/>
      <c r="INF30" s="175"/>
      <c r="ING30" s="175"/>
      <c r="INH30" s="175"/>
      <c r="INI30" s="175"/>
      <c r="INJ30" s="175"/>
      <c r="INK30" s="175"/>
      <c r="INL30" s="175"/>
      <c r="INM30" s="175"/>
      <c r="INN30" s="175"/>
      <c r="INO30" s="175"/>
      <c r="INP30" s="175"/>
      <c r="INQ30" s="175"/>
      <c r="INR30" s="175"/>
      <c r="INS30" s="175"/>
      <c r="INT30" s="175"/>
      <c r="INU30" s="175"/>
      <c r="INV30" s="175"/>
      <c r="INW30" s="175"/>
      <c r="INX30" s="175"/>
      <c r="INY30" s="175"/>
      <c r="INZ30" s="175"/>
      <c r="IOA30" s="175"/>
      <c r="IOB30" s="175"/>
      <c r="IOC30" s="175"/>
      <c r="IOD30" s="175"/>
      <c r="IOE30" s="175"/>
      <c r="IOF30" s="175"/>
      <c r="IOG30" s="175"/>
      <c r="IOH30" s="175"/>
      <c r="IOI30" s="175"/>
      <c r="IOJ30" s="175"/>
      <c r="IOK30" s="175"/>
      <c r="IOL30" s="175"/>
      <c r="IOM30" s="175"/>
      <c r="ION30" s="175"/>
      <c r="IOO30" s="175"/>
      <c r="IOP30" s="175"/>
      <c r="IOQ30" s="175"/>
      <c r="IOR30" s="175"/>
      <c r="IOS30" s="175"/>
      <c r="IOT30" s="175"/>
      <c r="IOU30" s="175"/>
      <c r="IOV30" s="175"/>
      <c r="IOW30" s="175"/>
      <c r="IOX30" s="175"/>
      <c r="IOY30" s="175"/>
      <c r="IOZ30" s="175"/>
      <c r="IPA30" s="175"/>
      <c r="IPB30" s="175"/>
      <c r="IPC30" s="175"/>
      <c r="IPD30" s="175"/>
      <c r="IPE30" s="175"/>
      <c r="IPF30" s="175"/>
      <c r="IPG30" s="175"/>
      <c r="IPH30" s="175"/>
      <c r="IPI30" s="175"/>
      <c r="IPJ30" s="175"/>
      <c r="IPK30" s="175"/>
      <c r="IPL30" s="175"/>
      <c r="IPM30" s="175"/>
      <c r="IPN30" s="175"/>
      <c r="IPO30" s="175"/>
      <c r="IPP30" s="175"/>
      <c r="IPQ30" s="175"/>
      <c r="IPR30" s="175"/>
      <c r="IPS30" s="175"/>
      <c r="IPT30" s="175"/>
      <c r="IPU30" s="175"/>
      <c r="IPV30" s="175"/>
      <c r="IPW30" s="175"/>
      <c r="IPX30" s="175"/>
      <c r="IPY30" s="175"/>
      <c r="IPZ30" s="175"/>
      <c r="IQA30" s="175"/>
      <c r="IQB30" s="175"/>
      <c r="IQC30" s="175"/>
      <c r="IQD30" s="175"/>
      <c r="IQE30" s="175"/>
      <c r="IQF30" s="175"/>
      <c r="IQG30" s="175"/>
      <c r="IQH30" s="175"/>
      <c r="IQI30" s="175"/>
      <c r="IQJ30" s="175"/>
      <c r="IQK30" s="175"/>
      <c r="IQL30" s="175"/>
      <c r="IQM30" s="175"/>
      <c r="IQN30" s="175"/>
      <c r="IQO30" s="175"/>
      <c r="IQP30" s="175"/>
      <c r="IQQ30" s="175"/>
      <c r="IQR30" s="175"/>
      <c r="IQS30" s="175"/>
      <c r="IQT30" s="175"/>
      <c r="IQU30" s="175"/>
      <c r="IQV30" s="175"/>
      <c r="IQW30" s="175"/>
      <c r="IQX30" s="175"/>
      <c r="IQY30" s="175"/>
      <c r="IQZ30" s="175"/>
      <c r="IRA30" s="175"/>
      <c r="IRB30" s="175"/>
      <c r="IRC30" s="175"/>
      <c r="IRD30" s="175"/>
      <c r="IRE30" s="175"/>
      <c r="IRF30" s="175"/>
      <c r="IRG30" s="175"/>
      <c r="IRH30" s="175"/>
      <c r="IRI30" s="175"/>
      <c r="IRJ30" s="175"/>
      <c r="IRK30" s="175"/>
      <c r="IRL30" s="175"/>
      <c r="IRM30" s="175"/>
      <c r="IRN30" s="175"/>
      <c r="IRO30" s="175"/>
      <c r="IRP30" s="175"/>
      <c r="IRQ30" s="175"/>
      <c r="IRR30" s="175"/>
      <c r="IRS30" s="175"/>
      <c r="IRT30" s="175"/>
      <c r="IRU30" s="175"/>
      <c r="IRV30" s="175"/>
      <c r="IRW30" s="175"/>
      <c r="IRX30" s="175"/>
      <c r="IRY30" s="175"/>
      <c r="IRZ30" s="175"/>
      <c r="ISA30" s="175"/>
      <c r="ISB30" s="175"/>
      <c r="ISC30" s="175"/>
      <c r="ISD30" s="175"/>
      <c r="ISE30" s="175"/>
      <c r="ISF30" s="175"/>
      <c r="ISG30" s="175"/>
      <c r="ISH30" s="175"/>
      <c r="ISI30" s="175"/>
      <c r="ISJ30" s="175"/>
      <c r="ISK30" s="175"/>
      <c r="ISL30" s="175"/>
      <c r="ISM30" s="175"/>
      <c r="ISN30" s="175"/>
      <c r="ISO30" s="175"/>
      <c r="ISP30" s="175"/>
      <c r="ISQ30" s="175"/>
      <c r="ISR30" s="175"/>
      <c r="ISS30" s="175"/>
      <c r="IST30" s="175"/>
      <c r="ISU30" s="175"/>
      <c r="ISV30" s="175"/>
      <c r="ISW30" s="175"/>
      <c r="ISX30" s="175"/>
      <c r="ISY30" s="175"/>
      <c r="ISZ30" s="175"/>
      <c r="ITA30" s="175"/>
      <c r="ITB30" s="175"/>
      <c r="ITC30" s="175"/>
      <c r="ITD30" s="175"/>
      <c r="ITE30" s="175"/>
      <c r="ITF30" s="175"/>
      <c r="ITG30" s="175"/>
      <c r="ITH30" s="175"/>
      <c r="ITI30" s="175"/>
      <c r="ITJ30" s="175"/>
      <c r="ITK30" s="175"/>
      <c r="ITL30" s="175"/>
      <c r="ITM30" s="175"/>
      <c r="ITN30" s="175"/>
      <c r="ITO30" s="175"/>
      <c r="ITP30" s="175"/>
      <c r="ITQ30" s="175"/>
      <c r="ITR30" s="175"/>
      <c r="ITS30" s="175"/>
      <c r="ITT30" s="175"/>
      <c r="ITU30" s="175"/>
      <c r="ITV30" s="175"/>
      <c r="ITW30" s="175"/>
      <c r="ITX30" s="175"/>
      <c r="ITY30" s="175"/>
      <c r="ITZ30" s="175"/>
      <c r="IUA30" s="175"/>
      <c r="IUB30" s="175"/>
      <c r="IUC30" s="175"/>
      <c r="IUD30" s="175"/>
      <c r="IUE30" s="175"/>
      <c r="IUF30" s="175"/>
      <c r="IUG30" s="175"/>
      <c r="IUH30" s="175"/>
      <c r="IUI30" s="175"/>
      <c r="IUJ30" s="175"/>
      <c r="IUK30" s="175"/>
      <c r="IUL30" s="175"/>
      <c r="IUM30" s="175"/>
      <c r="IUN30" s="175"/>
      <c r="IUO30" s="175"/>
      <c r="IUP30" s="175"/>
      <c r="IUQ30" s="175"/>
      <c r="IUR30" s="175"/>
      <c r="IUS30" s="175"/>
      <c r="IUT30" s="175"/>
      <c r="IUU30" s="175"/>
      <c r="IUV30" s="175"/>
      <c r="IUW30" s="175"/>
      <c r="IUX30" s="175"/>
      <c r="IUY30" s="175"/>
      <c r="IUZ30" s="175"/>
      <c r="IVA30" s="175"/>
      <c r="IVB30" s="175"/>
      <c r="IVC30" s="175"/>
      <c r="IVD30" s="175"/>
      <c r="IVE30" s="175"/>
      <c r="IVF30" s="175"/>
      <c r="IVG30" s="175"/>
      <c r="IVH30" s="175"/>
      <c r="IVI30" s="175"/>
      <c r="IVJ30" s="175"/>
      <c r="IVK30" s="175"/>
      <c r="IVL30" s="175"/>
      <c r="IVM30" s="175"/>
      <c r="IVN30" s="175"/>
      <c r="IVO30" s="175"/>
      <c r="IVP30" s="175"/>
      <c r="IVQ30" s="175"/>
      <c r="IVR30" s="175"/>
      <c r="IVS30" s="175"/>
      <c r="IVT30" s="175"/>
      <c r="IVU30" s="175"/>
      <c r="IVV30" s="175"/>
      <c r="IVW30" s="175"/>
      <c r="IVX30" s="175"/>
      <c r="IVY30" s="175"/>
      <c r="IVZ30" s="175"/>
      <c r="IWA30" s="175"/>
      <c r="IWB30" s="175"/>
      <c r="IWC30" s="175"/>
      <c r="IWD30" s="175"/>
      <c r="IWE30" s="175"/>
      <c r="IWF30" s="175"/>
      <c r="IWG30" s="175"/>
      <c r="IWH30" s="175"/>
      <c r="IWI30" s="175"/>
      <c r="IWJ30" s="175"/>
      <c r="IWK30" s="175"/>
      <c r="IWL30" s="175"/>
      <c r="IWM30" s="175"/>
      <c r="IWN30" s="175"/>
      <c r="IWO30" s="175"/>
      <c r="IWP30" s="175"/>
      <c r="IWQ30" s="175"/>
      <c r="IWR30" s="175"/>
      <c r="IWS30" s="175"/>
      <c r="IWT30" s="175"/>
      <c r="IWU30" s="175"/>
      <c r="IWV30" s="175"/>
      <c r="IWW30" s="175"/>
      <c r="IWX30" s="175"/>
      <c r="IWY30" s="175"/>
      <c r="IWZ30" s="175"/>
      <c r="IXA30" s="175"/>
      <c r="IXB30" s="175"/>
      <c r="IXC30" s="175"/>
      <c r="IXD30" s="175"/>
      <c r="IXE30" s="175"/>
      <c r="IXF30" s="175"/>
      <c r="IXG30" s="175"/>
      <c r="IXH30" s="175"/>
      <c r="IXI30" s="175"/>
      <c r="IXJ30" s="175"/>
      <c r="IXK30" s="175"/>
      <c r="IXL30" s="175"/>
      <c r="IXM30" s="175"/>
      <c r="IXN30" s="175"/>
      <c r="IXO30" s="175"/>
      <c r="IXP30" s="175"/>
      <c r="IXQ30" s="175"/>
      <c r="IXR30" s="175"/>
      <c r="IXS30" s="175"/>
      <c r="IXT30" s="175"/>
      <c r="IXU30" s="175"/>
      <c r="IXV30" s="175"/>
      <c r="IXW30" s="175"/>
      <c r="IXX30" s="175"/>
      <c r="IXY30" s="175"/>
      <c r="IXZ30" s="175"/>
      <c r="IYA30" s="175"/>
      <c r="IYB30" s="175"/>
      <c r="IYC30" s="175"/>
      <c r="IYD30" s="175"/>
      <c r="IYE30" s="175"/>
      <c r="IYF30" s="175"/>
      <c r="IYG30" s="175"/>
      <c r="IYH30" s="175"/>
      <c r="IYI30" s="175"/>
      <c r="IYJ30" s="175"/>
      <c r="IYK30" s="175"/>
      <c r="IYL30" s="175"/>
      <c r="IYM30" s="175"/>
      <c r="IYN30" s="175"/>
      <c r="IYO30" s="175"/>
      <c r="IYP30" s="175"/>
      <c r="IYQ30" s="175"/>
      <c r="IYR30" s="175"/>
      <c r="IYS30" s="175"/>
      <c r="IYT30" s="175"/>
      <c r="IYU30" s="175"/>
      <c r="IYV30" s="175"/>
      <c r="IYW30" s="175"/>
      <c r="IYX30" s="175"/>
      <c r="IYY30" s="175"/>
      <c r="IYZ30" s="175"/>
      <c r="IZA30" s="175"/>
      <c r="IZB30" s="175"/>
      <c r="IZC30" s="175"/>
      <c r="IZD30" s="175"/>
      <c r="IZE30" s="175"/>
      <c r="IZF30" s="175"/>
      <c r="IZG30" s="175"/>
      <c r="IZH30" s="175"/>
      <c r="IZI30" s="175"/>
      <c r="IZJ30" s="175"/>
      <c r="IZK30" s="175"/>
      <c r="IZL30" s="175"/>
      <c r="IZM30" s="175"/>
      <c r="IZN30" s="175"/>
      <c r="IZO30" s="175"/>
      <c r="IZP30" s="175"/>
      <c r="IZQ30" s="175"/>
      <c r="IZR30" s="175"/>
      <c r="IZS30" s="175"/>
      <c r="IZT30" s="175"/>
      <c r="IZU30" s="175"/>
      <c r="IZV30" s="175"/>
      <c r="IZW30" s="175"/>
      <c r="IZX30" s="175"/>
      <c r="IZY30" s="175"/>
      <c r="IZZ30" s="175"/>
      <c r="JAA30" s="175"/>
      <c r="JAB30" s="175"/>
      <c r="JAC30" s="175"/>
      <c r="JAD30" s="175"/>
      <c r="JAE30" s="175"/>
      <c r="JAF30" s="175"/>
      <c r="JAG30" s="175"/>
      <c r="JAH30" s="175"/>
      <c r="JAI30" s="175"/>
      <c r="JAJ30" s="175"/>
      <c r="JAK30" s="175"/>
      <c r="JAL30" s="175"/>
      <c r="JAM30" s="175"/>
      <c r="JAN30" s="175"/>
      <c r="JAO30" s="175"/>
      <c r="JAP30" s="175"/>
      <c r="JAQ30" s="175"/>
      <c r="JAR30" s="175"/>
      <c r="JAS30" s="175"/>
      <c r="JAT30" s="175"/>
      <c r="JAU30" s="175"/>
      <c r="JAV30" s="175"/>
      <c r="JAW30" s="175"/>
      <c r="JAX30" s="175"/>
      <c r="JAY30" s="175"/>
      <c r="JAZ30" s="175"/>
      <c r="JBA30" s="175"/>
      <c r="JBB30" s="175"/>
      <c r="JBC30" s="175"/>
      <c r="JBD30" s="175"/>
      <c r="JBE30" s="175"/>
      <c r="JBF30" s="175"/>
      <c r="JBG30" s="175"/>
      <c r="JBH30" s="175"/>
      <c r="JBI30" s="175"/>
      <c r="JBJ30" s="175"/>
      <c r="JBK30" s="175"/>
      <c r="JBL30" s="175"/>
      <c r="JBM30" s="175"/>
      <c r="JBN30" s="175"/>
      <c r="JBO30" s="175"/>
      <c r="JBP30" s="175"/>
      <c r="JBQ30" s="175"/>
      <c r="JBR30" s="175"/>
      <c r="JBS30" s="175"/>
      <c r="JBT30" s="175"/>
      <c r="JBU30" s="175"/>
      <c r="JBV30" s="175"/>
      <c r="JBW30" s="175"/>
      <c r="JBX30" s="175"/>
      <c r="JBY30" s="175"/>
      <c r="JBZ30" s="175"/>
      <c r="JCA30" s="175"/>
      <c r="JCB30" s="175"/>
      <c r="JCC30" s="175"/>
      <c r="JCD30" s="175"/>
      <c r="JCE30" s="175"/>
      <c r="JCF30" s="175"/>
      <c r="JCG30" s="175"/>
      <c r="JCH30" s="175"/>
      <c r="JCI30" s="175"/>
      <c r="JCJ30" s="175"/>
      <c r="JCK30" s="175"/>
      <c r="JCL30" s="175"/>
      <c r="JCM30" s="175"/>
      <c r="JCN30" s="175"/>
      <c r="JCO30" s="175"/>
      <c r="JCP30" s="175"/>
      <c r="JCQ30" s="175"/>
      <c r="JCR30" s="175"/>
      <c r="JCS30" s="175"/>
      <c r="JCT30" s="175"/>
      <c r="JCU30" s="175"/>
      <c r="JCV30" s="175"/>
      <c r="JCW30" s="175"/>
      <c r="JCX30" s="175"/>
      <c r="JCY30" s="175"/>
      <c r="JCZ30" s="175"/>
      <c r="JDA30" s="175"/>
      <c r="JDB30" s="175"/>
      <c r="JDC30" s="175"/>
      <c r="JDD30" s="175"/>
      <c r="JDE30" s="175"/>
      <c r="JDF30" s="175"/>
      <c r="JDG30" s="175"/>
      <c r="JDH30" s="175"/>
      <c r="JDI30" s="175"/>
      <c r="JDJ30" s="175"/>
      <c r="JDK30" s="175"/>
      <c r="JDL30" s="175"/>
      <c r="JDM30" s="175"/>
      <c r="JDN30" s="175"/>
      <c r="JDO30" s="175"/>
      <c r="JDP30" s="175"/>
      <c r="JDQ30" s="175"/>
      <c r="JDR30" s="175"/>
      <c r="JDS30" s="175"/>
      <c r="JDT30" s="175"/>
      <c r="JDU30" s="175"/>
      <c r="JDV30" s="175"/>
      <c r="JDW30" s="175"/>
      <c r="JDX30" s="175"/>
      <c r="JDY30" s="175"/>
      <c r="JDZ30" s="175"/>
      <c r="JEA30" s="175"/>
      <c r="JEB30" s="175"/>
      <c r="JEC30" s="175"/>
      <c r="JED30" s="175"/>
      <c r="JEE30" s="175"/>
      <c r="JEF30" s="175"/>
      <c r="JEG30" s="175"/>
      <c r="JEH30" s="175"/>
      <c r="JEI30" s="175"/>
      <c r="JEJ30" s="175"/>
      <c r="JEK30" s="175"/>
      <c r="JEL30" s="175"/>
      <c r="JEM30" s="175"/>
      <c r="JEN30" s="175"/>
      <c r="JEO30" s="175"/>
      <c r="JEP30" s="175"/>
      <c r="JEQ30" s="175"/>
      <c r="JER30" s="175"/>
      <c r="JES30" s="175"/>
      <c r="JET30" s="175"/>
      <c r="JEU30" s="175"/>
      <c r="JEV30" s="175"/>
      <c r="JEW30" s="175"/>
      <c r="JEX30" s="175"/>
      <c r="JEY30" s="175"/>
      <c r="JEZ30" s="175"/>
      <c r="JFA30" s="175"/>
      <c r="JFB30" s="175"/>
      <c r="JFC30" s="175"/>
      <c r="JFD30" s="175"/>
      <c r="JFE30" s="175"/>
      <c r="JFF30" s="175"/>
      <c r="JFG30" s="175"/>
      <c r="JFH30" s="175"/>
      <c r="JFI30" s="175"/>
      <c r="JFJ30" s="175"/>
      <c r="JFK30" s="175"/>
      <c r="JFL30" s="175"/>
      <c r="JFM30" s="175"/>
      <c r="JFN30" s="175"/>
      <c r="JFO30" s="175"/>
      <c r="JFP30" s="175"/>
      <c r="JFQ30" s="175"/>
      <c r="JFR30" s="175"/>
      <c r="JFS30" s="175"/>
      <c r="JFT30" s="175"/>
      <c r="JFU30" s="175"/>
      <c r="JFV30" s="175"/>
      <c r="JFW30" s="175"/>
      <c r="JFX30" s="175"/>
      <c r="JFY30" s="175"/>
      <c r="JFZ30" s="175"/>
      <c r="JGA30" s="175"/>
      <c r="JGB30" s="175"/>
      <c r="JGC30" s="175"/>
      <c r="JGD30" s="175"/>
      <c r="JGE30" s="175"/>
      <c r="JGF30" s="175"/>
      <c r="JGG30" s="175"/>
      <c r="JGH30" s="175"/>
      <c r="JGI30" s="175"/>
      <c r="JGJ30" s="175"/>
      <c r="JGK30" s="175"/>
      <c r="JGL30" s="175"/>
      <c r="JGM30" s="175"/>
      <c r="JGN30" s="175"/>
      <c r="JGO30" s="175"/>
      <c r="JGP30" s="175"/>
      <c r="JGQ30" s="175"/>
      <c r="JGR30" s="175"/>
      <c r="JGS30" s="175"/>
      <c r="JGT30" s="175"/>
      <c r="JGU30" s="175"/>
      <c r="JGV30" s="175"/>
      <c r="JGW30" s="175"/>
      <c r="JGX30" s="175"/>
      <c r="JGY30" s="175"/>
      <c r="JGZ30" s="175"/>
      <c r="JHA30" s="175"/>
      <c r="JHB30" s="175"/>
      <c r="JHC30" s="175"/>
      <c r="JHD30" s="175"/>
      <c r="JHE30" s="175"/>
      <c r="JHF30" s="175"/>
      <c r="JHG30" s="175"/>
      <c r="JHH30" s="175"/>
      <c r="JHI30" s="175"/>
      <c r="JHJ30" s="175"/>
      <c r="JHK30" s="175"/>
      <c r="JHL30" s="175"/>
      <c r="JHM30" s="175"/>
      <c r="JHN30" s="175"/>
      <c r="JHO30" s="175"/>
      <c r="JHP30" s="175"/>
      <c r="JHQ30" s="175"/>
      <c r="JHR30" s="175"/>
      <c r="JHS30" s="175"/>
      <c r="JHT30" s="175"/>
      <c r="JHU30" s="175"/>
      <c r="JHV30" s="175"/>
      <c r="JHW30" s="175"/>
      <c r="JHX30" s="175"/>
      <c r="JHY30" s="175"/>
      <c r="JHZ30" s="175"/>
      <c r="JIA30" s="175"/>
      <c r="JIB30" s="175"/>
      <c r="JIC30" s="175"/>
      <c r="JID30" s="175"/>
      <c r="JIE30" s="175"/>
      <c r="JIF30" s="175"/>
      <c r="JIG30" s="175"/>
      <c r="JIH30" s="175"/>
      <c r="JII30" s="175"/>
      <c r="JIJ30" s="175"/>
      <c r="JIK30" s="175"/>
      <c r="JIL30" s="175"/>
      <c r="JIM30" s="175"/>
      <c r="JIN30" s="175"/>
      <c r="JIO30" s="175"/>
      <c r="JIP30" s="175"/>
      <c r="JIQ30" s="175"/>
      <c r="JIR30" s="175"/>
      <c r="JIS30" s="175"/>
      <c r="JIT30" s="175"/>
      <c r="JIU30" s="175"/>
      <c r="JIV30" s="175"/>
      <c r="JIW30" s="175"/>
      <c r="JIX30" s="175"/>
      <c r="JIY30" s="175"/>
      <c r="JIZ30" s="175"/>
      <c r="JJA30" s="175"/>
      <c r="JJB30" s="175"/>
      <c r="JJC30" s="175"/>
      <c r="JJD30" s="175"/>
      <c r="JJE30" s="175"/>
      <c r="JJF30" s="175"/>
      <c r="JJG30" s="175"/>
      <c r="JJH30" s="175"/>
      <c r="JJI30" s="175"/>
      <c r="JJJ30" s="175"/>
      <c r="JJK30" s="175"/>
      <c r="JJL30" s="175"/>
      <c r="JJM30" s="175"/>
      <c r="JJN30" s="175"/>
      <c r="JJO30" s="175"/>
      <c r="JJP30" s="175"/>
      <c r="JJQ30" s="175"/>
      <c r="JJR30" s="175"/>
      <c r="JJS30" s="175"/>
      <c r="JJT30" s="175"/>
      <c r="JJU30" s="175"/>
      <c r="JJV30" s="175"/>
      <c r="JJW30" s="175"/>
      <c r="JJX30" s="175"/>
      <c r="JJY30" s="175"/>
      <c r="JJZ30" s="175"/>
      <c r="JKA30" s="175"/>
      <c r="JKB30" s="175"/>
      <c r="JKC30" s="175"/>
      <c r="JKD30" s="175"/>
      <c r="JKE30" s="175"/>
      <c r="JKF30" s="175"/>
      <c r="JKG30" s="175"/>
      <c r="JKH30" s="175"/>
      <c r="JKI30" s="175"/>
      <c r="JKJ30" s="175"/>
      <c r="JKK30" s="175"/>
      <c r="JKL30" s="175"/>
      <c r="JKM30" s="175"/>
      <c r="JKN30" s="175"/>
      <c r="JKO30" s="175"/>
      <c r="JKP30" s="175"/>
      <c r="JKQ30" s="175"/>
      <c r="JKR30" s="175"/>
      <c r="JKS30" s="175"/>
      <c r="JKT30" s="175"/>
      <c r="JKU30" s="175"/>
      <c r="JKV30" s="175"/>
      <c r="JKW30" s="175"/>
      <c r="JKX30" s="175"/>
      <c r="JKY30" s="175"/>
      <c r="JKZ30" s="175"/>
      <c r="JLA30" s="175"/>
      <c r="JLB30" s="175"/>
      <c r="JLC30" s="175"/>
      <c r="JLD30" s="175"/>
      <c r="JLE30" s="175"/>
      <c r="JLF30" s="175"/>
      <c r="JLG30" s="175"/>
      <c r="JLH30" s="175"/>
      <c r="JLI30" s="175"/>
      <c r="JLJ30" s="175"/>
      <c r="JLK30" s="175"/>
      <c r="JLL30" s="175"/>
      <c r="JLM30" s="175"/>
      <c r="JLN30" s="175"/>
      <c r="JLO30" s="175"/>
      <c r="JLP30" s="175"/>
      <c r="JLQ30" s="175"/>
      <c r="JLR30" s="175"/>
      <c r="JLS30" s="175"/>
      <c r="JLT30" s="175"/>
      <c r="JLU30" s="175"/>
      <c r="JLV30" s="175"/>
      <c r="JLW30" s="175"/>
      <c r="JLX30" s="175"/>
      <c r="JLY30" s="175"/>
      <c r="JLZ30" s="175"/>
      <c r="JMA30" s="175"/>
      <c r="JMB30" s="175"/>
      <c r="JMC30" s="175"/>
      <c r="JMD30" s="175"/>
      <c r="JME30" s="175"/>
      <c r="JMF30" s="175"/>
      <c r="JMG30" s="175"/>
      <c r="JMH30" s="175"/>
      <c r="JMI30" s="175"/>
      <c r="JMJ30" s="175"/>
      <c r="JMK30" s="175"/>
      <c r="JML30" s="175"/>
      <c r="JMM30" s="175"/>
      <c r="JMN30" s="175"/>
      <c r="JMO30" s="175"/>
      <c r="JMP30" s="175"/>
      <c r="JMQ30" s="175"/>
      <c r="JMR30" s="175"/>
      <c r="JMS30" s="175"/>
      <c r="JMT30" s="175"/>
      <c r="JMU30" s="175"/>
      <c r="JMV30" s="175"/>
      <c r="JMW30" s="175"/>
      <c r="JMX30" s="175"/>
      <c r="JMY30" s="175"/>
      <c r="JMZ30" s="175"/>
      <c r="JNA30" s="175"/>
      <c r="JNB30" s="175"/>
      <c r="JNC30" s="175"/>
      <c r="JND30" s="175"/>
      <c r="JNE30" s="175"/>
      <c r="JNF30" s="175"/>
      <c r="JNG30" s="175"/>
      <c r="JNH30" s="175"/>
      <c r="JNI30" s="175"/>
      <c r="JNJ30" s="175"/>
      <c r="JNK30" s="175"/>
      <c r="JNL30" s="175"/>
      <c r="JNM30" s="175"/>
      <c r="JNN30" s="175"/>
      <c r="JNO30" s="175"/>
      <c r="JNP30" s="175"/>
      <c r="JNQ30" s="175"/>
      <c r="JNR30" s="175"/>
      <c r="JNS30" s="175"/>
      <c r="JNT30" s="175"/>
      <c r="JNU30" s="175"/>
      <c r="JNV30" s="175"/>
      <c r="JNW30" s="175"/>
      <c r="JNX30" s="175"/>
      <c r="JNY30" s="175"/>
      <c r="JNZ30" s="175"/>
      <c r="JOA30" s="175"/>
      <c r="JOB30" s="175"/>
      <c r="JOC30" s="175"/>
      <c r="JOD30" s="175"/>
      <c r="JOE30" s="175"/>
      <c r="JOF30" s="175"/>
      <c r="JOG30" s="175"/>
      <c r="JOH30" s="175"/>
      <c r="JOI30" s="175"/>
      <c r="JOJ30" s="175"/>
      <c r="JOK30" s="175"/>
      <c r="JOL30" s="175"/>
      <c r="JOM30" s="175"/>
      <c r="JON30" s="175"/>
      <c r="JOO30" s="175"/>
      <c r="JOP30" s="175"/>
      <c r="JOQ30" s="175"/>
      <c r="JOR30" s="175"/>
      <c r="JOS30" s="175"/>
      <c r="JOT30" s="175"/>
      <c r="JOU30" s="175"/>
      <c r="JOV30" s="175"/>
      <c r="JOW30" s="175"/>
      <c r="JOX30" s="175"/>
      <c r="JOY30" s="175"/>
      <c r="JOZ30" s="175"/>
      <c r="JPA30" s="175"/>
      <c r="JPB30" s="175"/>
      <c r="JPC30" s="175"/>
      <c r="JPD30" s="175"/>
      <c r="JPE30" s="175"/>
      <c r="JPF30" s="175"/>
      <c r="JPG30" s="175"/>
      <c r="JPH30" s="175"/>
      <c r="JPI30" s="175"/>
      <c r="JPJ30" s="175"/>
      <c r="JPK30" s="175"/>
      <c r="JPL30" s="175"/>
      <c r="JPM30" s="175"/>
      <c r="JPN30" s="175"/>
      <c r="JPO30" s="175"/>
      <c r="JPP30" s="175"/>
      <c r="JPQ30" s="175"/>
      <c r="JPR30" s="175"/>
      <c r="JPS30" s="175"/>
      <c r="JPT30" s="175"/>
      <c r="JPU30" s="175"/>
      <c r="JPV30" s="175"/>
      <c r="JPW30" s="175"/>
      <c r="JPX30" s="175"/>
      <c r="JPY30" s="175"/>
      <c r="JPZ30" s="175"/>
      <c r="JQA30" s="175"/>
      <c r="JQB30" s="175"/>
      <c r="JQC30" s="175"/>
      <c r="JQD30" s="175"/>
      <c r="JQE30" s="175"/>
      <c r="JQF30" s="175"/>
      <c r="JQG30" s="175"/>
      <c r="JQH30" s="175"/>
      <c r="JQI30" s="175"/>
      <c r="JQJ30" s="175"/>
      <c r="JQK30" s="175"/>
      <c r="JQL30" s="175"/>
      <c r="JQM30" s="175"/>
      <c r="JQN30" s="175"/>
      <c r="JQO30" s="175"/>
      <c r="JQP30" s="175"/>
      <c r="JQQ30" s="175"/>
      <c r="JQR30" s="175"/>
      <c r="JQS30" s="175"/>
      <c r="JQT30" s="175"/>
      <c r="JQU30" s="175"/>
      <c r="JQV30" s="175"/>
      <c r="JQW30" s="175"/>
      <c r="JQX30" s="175"/>
      <c r="JQY30" s="175"/>
      <c r="JQZ30" s="175"/>
      <c r="JRA30" s="175"/>
      <c r="JRB30" s="175"/>
      <c r="JRC30" s="175"/>
      <c r="JRD30" s="175"/>
      <c r="JRE30" s="175"/>
      <c r="JRF30" s="175"/>
      <c r="JRG30" s="175"/>
      <c r="JRH30" s="175"/>
      <c r="JRI30" s="175"/>
      <c r="JRJ30" s="175"/>
      <c r="JRK30" s="175"/>
      <c r="JRL30" s="175"/>
      <c r="JRM30" s="175"/>
      <c r="JRN30" s="175"/>
      <c r="JRO30" s="175"/>
      <c r="JRP30" s="175"/>
      <c r="JRQ30" s="175"/>
      <c r="JRR30" s="175"/>
      <c r="JRS30" s="175"/>
      <c r="JRT30" s="175"/>
      <c r="JRU30" s="175"/>
      <c r="JRV30" s="175"/>
      <c r="JRW30" s="175"/>
      <c r="JRX30" s="175"/>
      <c r="JRY30" s="175"/>
      <c r="JRZ30" s="175"/>
      <c r="JSA30" s="175"/>
      <c r="JSB30" s="175"/>
      <c r="JSC30" s="175"/>
      <c r="JSD30" s="175"/>
      <c r="JSE30" s="175"/>
      <c r="JSF30" s="175"/>
      <c r="JSG30" s="175"/>
      <c r="JSH30" s="175"/>
      <c r="JSI30" s="175"/>
      <c r="JSJ30" s="175"/>
      <c r="JSK30" s="175"/>
      <c r="JSL30" s="175"/>
      <c r="JSM30" s="175"/>
      <c r="JSN30" s="175"/>
      <c r="JSO30" s="175"/>
      <c r="JSP30" s="175"/>
      <c r="JSQ30" s="175"/>
      <c r="JSR30" s="175"/>
      <c r="JSS30" s="175"/>
      <c r="JST30" s="175"/>
      <c r="JSU30" s="175"/>
      <c r="JSV30" s="175"/>
      <c r="JSW30" s="175"/>
      <c r="JSX30" s="175"/>
      <c r="JSY30" s="175"/>
      <c r="JSZ30" s="175"/>
      <c r="JTA30" s="175"/>
      <c r="JTB30" s="175"/>
      <c r="JTC30" s="175"/>
      <c r="JTD30" s="175"/>
      <c r="JTE30" s="175"/>
      <c r="JTF30" s="175"/>
      <c r="JTG30" s="175"/>
      <c r="JTH30" s="175"/>
      <c r="JTI30" s="175"/>
      <c r="JTJ30" s="175"/>
      <c r="JTK30" s="175"/>
      <c r="JTL30" s="175"/>
      <c r="JTM30" s="175"/>
      <c r="JTN30" s="175"/>
      <c r="JTO30" s="175"/>
      <c r="JTP30" s="175"/>
      <c r="JTQ30" s="175"/>
      <c r="JTR30" s="175"/>
      <c r="JTS30" s="175"/>
      <c r="JTT30" s="175"/>
      <c r="JTU30" s="175"/>
      <c r="JTV30" s="175"/>
      <c r="JTW30" s="175"/>
      <c r="JTX30" s="175"/>
      <c r="JTY30" s="175"/>
      <c r="JTZ30" s="175"/>
      <c r="JUA30" s="175"/>
      <c r="JUB30" s="175"/>
      <c r="JUC30" s="175"/>
      <c r="JUD30" s="175"/>
      <c r="JUE30" s="175"/>
      <c r="JUF30" s="175"/>
      <c r="JUG30" s="175"/>
      <c r="JUH30" s="175"/>
      <c r="JUI30" s="175"/>
      <c r="JUJ30" s="175"/>
      <c r="JUK30" s="175"/>
      <c r="JUL30" s="175"/>
      <c r="JUM30" s="175"/>
      <c r="JUN30" s="175"/>
      <c r="JUO30" s="175"/>
      <c r="JUP30" s="175"/>
      <c r="JUQ30" s="175"/>
      <c r="JUR30" s="175"/>
      <c r="JUS30" s="175"/>
      <c r="JUT30" s="175"/>
      <c r="JUU30" s="175"/>
      <c r="JUV30" s="175"/>
      <c r="JUW30" s="175"/>
      <c r="JUX30" s="175"/>
      <c r="JUY30" s="175"/>
      <c r="JUZ30" s="175"/>
      <c r="JVA30" s="175"/>
      <c r="JVB30" s="175"/>
      <c r="JVC30" s="175"/>
      <c r="JVD30" s="175"/>
      <c r="JVE30" s="175"/>
      <c r="JVF30" s="175"/>
      <c r="JVG30" s="175"/>
      <c r="JVH30" s="175"/>
      <c r="JVI30" s="175"/>
      <c r="JVJ30" s="175"/>
      <c r="JVK30" s="175"/>
      <c r="JVL30" s="175"/>
      <c r="JVM30" s="175"/>
      <c r="JVN30" s="175"/>
      <c r="JVO30" s="175"/>
      <c r="JVP30" s="175"/>
      <c r="JVQ30" s="175"/>
      <c r="JVR30" s="175"/>
      <c r="JVS30" s="175"/>
      <c r="JVT30" s="175"/>
      <c r="JVU30" s="175"/>
      <c r="JVV30" s="175"/>
      <c r="JVW30" s="175"/>
      <c r="JVX30" s="175"/>
      <c r="JVY30" s="175"/>
      <c r="JVZ30" s="175"/>
      <c r="JWA30" s="175"/>
      <c r="JWB30" s="175"/>
      <c r="JWC30" s="175"/>
      <c r="JWD30" s="175"/>
      <c r="JWE30" s="175"/>
      <c r="JWF30" s="175"/>
      <c r="JWG30" s="175"/>
      <c r="JWH30" s="175"/>
      <c r="JWI30" s="175"/>
      <c r="JWJ30" s="175"/>
      <c r="JWK30" s="175"/>
      <c r="JWL30" s="175"/>
      <c r="JWM30" s="175"/>
      <c r="JWN30" s="175"/>
      <c r="JWO30" s="175"/>
      <c r="JWP30" s="175"/>
      <c r="JWQ30" s="175"/>
      <c r="JWR30" s="175"/>
      <c r="JWS30" s="175"/>
      <c r="JWT30" s="175"/>
      <c r="JWU30" s="175"/>
      <c r="JWV30" s="175"/>
      <c r="JWW30" s="175"/>
      <c r="JWX30" s="175"/>
      <c r="JWY30" s="175"/>
      <c r="JWZ30" s="175"/>
      <c r="JXA30" s="175"/>
      <c r="JXB30" s="175"/>
      <c r="JXC30" s="175"/>
      <c r="JXD30" s="175"/>
      <c r="JXE30" s="175"/>
      <c r="JXF30" s="175"/>
      <c r="JXG30" s="175"/>
      <c r="JXH30" s="175"/>
      <c r="JXI30" s="175"/>
      <c r="JXJ30" s="175"/>
      <c r="JXK30" s="175"/>
      <c r="JXL30" s="175"/>
      <c r="JXM30" s="175"/>
      <c r="JXN30" s="175"/>
      <c r="JXO30" s="175"/>
      <c r="JXP30" s="175"/>
      <c r="JXQ30" s="175"/>
      <c r="JXR30" s="175"/>
      <c r="JXS30" s="175"/>
      <c r="JXT30" s="175"/>
      <c r="JXU30" s="175"/>
      <c r="JXV30" s="175"/>
      <c r="JXW30" s="175"/>
      <c r="JXX30" s="175"/>
      <c r="JXY30" s="175"/>
      <c r="JXZ30" s="175"/>
      <c r="JYA30" s="175"/>
      <c r="JYB30" s="175"/>
      <c r="JYC30" s="175"/>
      <c r="JYD30" s="175"/>
      <c r="JYE30" s="175"/>
      <c r="JYF30" s="175"/>
      <c r="JYG30" s="175"/>
      <c r="JYH30" s="175"/>
      <c r="JYI30" s="175"/>
      <c r="JYJ30" s="175"/>
      <c r="JYK30" s="175"/>
      <c r="JYL30" s="175"/>
      <c r="JYM30" s="175"/>
      <c r="JYN30" s="175"/>
      <c r="JYO30" s="175"/>
      <c r="JYP30" s="175"/>
      <c r="JYQ30" s="175"/>
      <c r="JYR30" s="175"/>
      <c r="JYS30" s="175"/>
      <c r="JYT30" s="175"/>
      <c r="JYU30" s="175"/>
      <c r="JYV30" s="175"/>
      <c r="JYW30" s="175"/>
      <c r="JYX30" s="175"/>
      <c r="JYY30" s="175"/>
      <c r="JYZ30" s="175"/>
      <c r="JZA30" s="175"/>
      <c r="JZB30" s="175"/>
      <c r="JZC30" s="175"/>
      <c r="JZD30" s="175"/>
      <c r="JZE30" s="175"/>
      <c r="JZF30" s="175"/>
      <c r="JZG30" s="175"/>
      <c r="JZH30" s="175"/>
      <c r="JZI30" s="175"/>
      <c r="JZJ30" s="175"/>
      <c r="JZK30" s="175"/>
      <c r="JZL30" s="175"/>
      <c r="JZM30" s="175"/>
      <c r="JZN30" s="175"/>
      <c r="JZO30" s="175"/>
      <c r="JZP30" s="175"/>
      <c r="JZQ30" s="175"/>
      <c r="JZR30" s="175"/>
      <c r="JZS30" s="175"/>
      <c r="JZT30" s="175"/>
      <c r="JZU30" s="175"/>
      <c r="JZV30" s="175"/>
      <c r="JZW30" s="175"/>
      <c r="JZX30" s="175"/>
      <c r="JZY30" s="175"/>
      <c r="JZZ30" s="175"/>
      <c r="KAA30" s="175"/>
      <c r="KAB30" s="175"/>
      <c r="KAC30" s="175"/>
      <c r="KAD30" s="175"/>
      <c r="KAE30" s="175"/>
      <c r="KAF30" s="175"/>
      <c r="KAG30" s="175"/>
      <c r="KAH30" s="175"/>
      <c r="KAI30" s="175"/>
      <c r="KAJ30" s="175"/>
      <c r="KAK30" s="175"/>
      <c r="KAL30" s="175"/>
      <c r="KAM30" s="175"/>
      <c r="KAN30" s="175"/>
      <c r="KAO30" s="175"/>
      <c r="KAP30" s="175"/>
      <c r="KAQ30" s="175"/>
      <c r="KAR30" s="175"/>
      <c r="KAS30" s="175"/>
      <c r="KAT30" s="175"/>
      <c r="KAU30" s="175"/>
      <c r="KAV30" s="175"/>
      <c r="KAW30" s="175"/>
      <c r="KAX30" s="175"/>
      <c r="KAY30" s="175"/>
      <c r="KAZ30" s="175"/>
      <c r="KBA30" s="175"/>
      <c r="KBB30" s="175"/>
      <c r="KBC30" s="175"/>
      <c r="KBD30" s="175"/>
      <c r="KBE30" s="175"/>
      <c r="KBF30" s="175"/>
      <c r="KBG30" s="175"/>
      <c r="KBH30" s="175"/>
      <c r="KBI30" s="175"/>
      <c r="KBJ30" s="175"/>
      <c r="KBK30" s="175"/>
      <c r="KBL30" s="175"/>
      <c r="KBM30" s="175"/>
      <c r="KBN30" s="175"/>
      <c r="KBO30" s="175"/>
      <c r="KBP30" s="175"/>
      <c r="KBQ30" s="175"/>
      <c r="KBR30" s="175"/>
      <c r="KBS30" s="175"/>
      <c r="KBT30" s="175"/>
      <c r="KBU30" s="175"/>
      <c r="KBV30" s="175"/>
      <c r="KBW30" s="175"/>
      <c r="KBX30" s="175"/>
      <c r="KBY30" s="175"/>
      <c r="KBZ30" s="175"/>
      <c r="KCA30" s="175"/>
      <c r="KCB30" s="175"/>
      <c r="KCC30" s="175"/>
      <c r="KCD30" s="175"/>
      <c r="KCE30" s="175"/>
      <c r="KCF30" s="175"/>
      <c r="KCG30" s="175"/>
      <c r="KCH30" s="175"/>
      <c r="KCI30" s="175"/>
      <c r="KCJ30" s="175"/>
      <c r="KCK30" s="175"/>
      <c r="KCL30" s="175"/>
      <c r="KCM30" s="175"/>
      <c r="KCN30" s="175"/>
      <c r="KCO30" s="175"/>
      <c r="KCP30" s="175"/>
      <c r="KCQ30" s="175"/>
      <c r="KCR30" s="175"/>
      <c r="KCS30" s="175"/>
      <c r="KCT30" s="175"/>
      <c r="KCU30" s="175"/>
      <c r="KCV30" s="175"/>
      <c r="KCW30" s="175"/>
      <c r="KCX30" s="175"/>
      <c r="KCY30" s="175"/>
      <c r="KCZ30" s="175"/>
      <c r="KDA30" s="175"/>
      <c r="KDB30" s="175"/>
      <c r="KDC30" s="175"/>
      <c r="KDD30" s="175"/>
      <c r="KDE30" s="175"/>
      <c r="KDF30" s="175"/>
      <c r="KDG30" s="175"/>
      <c r="KDH30" s="175"/>
      <c r="KDI30" s="175"/>
      <c r="KDJ30" s="175"/>
      <c r="KDK30" s="175"/>
      <c r="KDL30" s="175"/>
      <c r="KDM30" s="175"/>
      <c r="KDN30" s="175"/>
      <c r="KDO30" s="175"/>
      <c r="KDP30" s="175"/>
      <c r="KDQ30" s="175"/>
      <c r="KDR30" s="175"/>
      <c r="KDS30" s="175"/>
      <c r="KDT30" s="175"/>
      <c r="KDU30" s="175"/>
      <c r="KDV30" s="175"/>
      <c r="KDW30" s="175"/>
      <c r="KDX30" s="175"/>
      <c r="KDY30" s="175"/>
      <c r="KDZ30" s="175"/>
      <c r="KEA30" s="175"/>
      <c r="KEB30" s="175"/>
      <c r="KEC30" s="175"/>
      <c r="KED30" s="175"/>
      <c r="KEE30" s="175"/>
      <c r="KEF30" s="175"/>
      <c r="KEG30" s="175"/>
      <c r="KEH30" s="175"/>
      <c r="KEI30" s="175"/>
      <c r="KEJ30" s="175"/>
      <c r="KEK30" s="175"/>
      <c r="KEL30" s="175"/>
      <c r="KEM30" s="175"/>
      <c r="KEN30" s="175"/>
      <c r="KEO30" s="175"/>
      <c r="KEP30" s="175"/>
      <c r="KEQ30" s="175"/>
      <c r="KER30" s="175"/>
      <c r="KES30" s="175"/>
      <c r="KET30" s="175"/>
      <c r="KEU30" s="175"/>
      <c r="KEV30" s="175"/>
      <c r="KEW30" s="175"/>
      <c r="KEX30" s="175"/>
      <c r="KEY30" s="175"/>
      <c r="KEZ30" s="175"/>
      <c r="KFA30" s="175"/>
      <c r="KFB30" s="175"/>
      <c r="KFC30" s="175"/>
      <c r="KFD30" s="175"/>
      <c r="KFE30" s="175"/>
      <c r="KFF30" s="175"/>
      <c r="KFG30" s="175"/>
      <c r="KFH30" s="175"/>
      <c r="KFI30" s="175"/>
      <c r="KFJ30" s="175"/>
      <c r="KFK30" s="175"/>
      <c r="KFL30" s="175"/>
      <c r="KFM30" s="175"/>
      <c r="KFN30" s="175"/>
      <c r="KFO30" s="175"/>
      <c r="KFP30" s="175"/>
      <c r="KFQ30" s="175"/>
      <c r="KFR30" s="175"/>
      <c r="KFS30" s="175"/>
      <c r="KFT30" s="175"/>
      <c r="KFU30" s="175"/>
      <c r="KFV30" s="175"/>
      <c r="KFW30" s="175"/>
      <c r="KFX30" s="175"/>
      <c r="KFY30" s="175"/>
      <c r="KFZ30" s="175"/>
      <c r="KGA30" s="175"/>
      <c r="KGB30" s="175"/>
      <c r="KGC30" s="175"/>
      <c r="KGD30" s="175"/>
      <c r="KGE30" s="175"/>
      <c r="KGF30" s="175"/>
      <c r="KGG30" s="175"/>
      <c r="KGH30" s="175"/>
      <c r="KGI30" s="175"/>
      <c r="KGJ30" s="175"/>
      <c r="KGK30" s="175"/>
      <c r="KGL30" s="175"/>
      <c r="KGM30" s="175"/>
      <c r="KGN30" s="175"/>
      <c r="KGO30" s="175"/>
      <c r="KGP30" s="175"/>
      <c r="KGQ30" s="175"/>
      <c r="KGR30" s="175"/>
      <c r="KGS30" s="175"/>
      <c r="KGT30" s="175"/>
      <c r="KGU30" s="175"/>
      <c r="KGV30" s="175"/>
      <c r="KGW30" s="175"/>
      <c r="KGX30" s="175"/>
      <c r="KGY30" s="175"/>
      <c r="KGZ30" s="175"/>
      <c r="KHA30" s="175"/>
      <c r="KHB30" s="175"/>
      <c r="KHC30" s="175"/>
      <c r="KHD30" s="175"/>
      <c r="KHE30" s="175"/>
      <c r="KHF30" s="175"/>
      <c r="KHG30" s="175"/>
      <c r="KHH30" s="175"/>
      <c r="KHI30" s="175"/>
      <c r="KHJ30" s="175"/>
      <c r="KHK30" s="175"/>
      <c r="KHL30" s="175"/>
      <c r="KHM30" s="175"/>
      <c r="KHN30" s="175"/>
      <c r="KHO30" s="175"/>
      <c r="KHP30" s="175"/>
      <c r="KHQ30" s="175"/>
      <c r="KHR30" s="175"/>
      <c r="KHS30" s="175"/>
      <c r="KHT30" s="175"/>
      <c r="KHU30" s="175"/>
      <c r="KHV30" s="175"/>
      <c r="KHW30" s="175"/>
      <c r="KHX30" s="175"/>
      <c r="KHY30" s="175"/>
      <c r="KHZ30" s="175"/>
      <c r="KIA30" s="175"/>
      <c r="KIB30" s="175"/>
      <c r="KIC30" s="175"/>
      <c r="KID30" s="175"/>
      <c r="KIE30" s="175"/>
      <c r="KIF30" s="175"/>
      <c r="KIG30" s="175"/>
      <c r="KIH30" s="175"/>
      <c r="KII30" s="175"/>
      <c r="KIJ30" s="175"/>
      <c r="KIK30" s="175"/>
      <c r="KIL30" s="175"/>
      <c r="KIM30" s="175"/>
      <c r="KIN30" s="175"/>
      <c r="KIO30" s="175"/>
      <c r="KIP30" s="175"/>
      <c r="KIQ30" s="175"/>
      <c r="KIR30" s="175"/>
      <c r="KIS30" s="175"/>
      <c r="KIT30" s="175"/>
      <c r="KIU30" s="175"/>
      <c r="KIV30" s="175"/>
      <c r="KIW30" s="175"/>
      <c r="KIX30" s="175"/>
      <c r="KIY30" s="175"/>
      <c r="KIZ30" s="175"/>
      <c r="KJA30" s="175"/>
      <c r="KJB30" s="175"/>
      <c r="KJC30" s="175"/>
      <c r="KJD30" s="175"/>
      <c r="KJE30" s="175"/>
      <c r="KJF30" s="175"/>
      <c r="KJG30" s="175"/>
      <c r="KJH30" s="175"/>
      <c r="KJI30" s="175"/>
      <c r="KJJ30" s="175"/>
      <c r="KJK30" s="175"/>
      <c r="KJL30" s="175"/>
      <c r="KJM30" s="175"/>
      <c r="KJN30" s="175"/>
      <c r="KJO30" s="175"/>
      <c r="KJP30" s="175"/>
      <c r="KJQ30" s="175"/>
      <c r="KJR30" s="175"/>
      <c r="KJS30" s="175"/>
      <c r="KJT30" s="175"/>
      <c r="KJU30" s="175"/>
      <c r="KJV30" s="175"/>
      <c r="KJW30" s="175"/>
      <c r="KJX30" s="175"/>
      <c r="KJY30" s="175"/>
      <c r="KJZ30" s="175"/>
      <c r="KKA30" s="175"/>
      <c r="KKB30" s="175"/>
      <c r="KKC30" s="175"/>
      <c r="KKD30" s="175"/>
      <c r="KKE30" s="175"/>
      <c r="KKF30" s="175"/>
      <c r="KKG30" s="175"/>
      <c r="KKH30" s="175"/>
      <c r="KKI30" s="175"/>
      <c r="KKJ30" s="175"/>
      <c r="KKK30" s="175"/>
      <c r="KKL30" s="175"/>
      <c r="KKM30" s="175"/>
      <c r="KKN30" s="175"/>
      <c r="KKO30" s="175"/>
      <c r="KKP30" s="175"/>
      <c r="KKQ30" s="175"/>
      <c r="KKR30" s="175"/>
      <c r="KKS30" s="175"/>
      <c r="KKT30" s="175"/>
      <c r="KKU30" s="175"/>
      <c r="KKV30" s="175"/>
      <c r="KKW30" s="175"/>
      <c r="KKX30" s="175"/>
      <c r="KKY30" s="175"/>
      <c r="KKZ30" s="175"/>
      <c r="KLA30" s="175"/>
      <c r="KLB30" s="175"/>
      <c r="KLC30" s="175"/>
      <c r="KLD30" s="175"/>
      <c r="KLE30" s="175"/>
      <c r="KLF30" s="175"/>
      <c r="KLG30" s="175"/>
      <c r="KLH30" s="175"/>
      <c r="KLI30" s="175"/>
      <c r="KLJ30" s="175"/>
      <c r="KLK30" s="175"/>
      <c r="KLL30" s="175"/>
      <c r="KLM30" s="175"/>
      <c r="KLN30" s="175"/>
      <c r="KLO30" s="175"/>
      <c r="KLP30" s="175"/>
      <c r="KLQ30" s="175"/>
      <c r="KLR30" s="175"/>
      <c r="KLS30" s="175"/>
      <c r="KLT30" s="175"/>
      <c r="KLU30" s="175"/>
      <c r="KLV30" s="175"/>
      <c r="KLW30" s="175"/>
      <c r="KLX30" s="175"/>
      <c r="KLY30" s="175"/>
      <c r="KLZ30" s="175"/>
      <c r="KMA30" s="175"/>
      <c r="KMB30" s="175"/>
      <c r="KMC30" s="175"/>
      <c r="KMD30" s="175"/>
      <c r="KME30" s="175"/>
      <c r="KMF30" s="175"/>
      <c r="KMG30" s="175"/>
      <c r="KMH30" s="175"/>
      <c r="KMI30" s="175"/>
      <c r="KMJ30" s="175"/>
      <c r="KMK30" s="175"/>
      <c r="KML30" s="175"/>
      <c r="KMM30" s="175"/>
      <c r="KMN30" s="175"/>
      <c r="KMO30" s="175"/>
      <c r="KMP30" s="175"/>
      <c r="KMQ30" s="175"/>
      <c r="KMR30" s="175"/>
      <c r="KMS30" s="175"/>
      <c r="KMT30" s="175"/>
      <c r="KMU30" s="175"/>
      <c r="KMV30" s="175"/>
      <c r="KMW30" s="175"/>
      <c r="KMX30" s="175"/>
      <c r="KMY30" s="175"/>
      <c r="KMZ30" s="175"/>
      <c r="KNA30" s="175"/>
      <c r="KNB30" s="175"/>
      <c r="KNC30" s="175"/>
      <c r="KND30" s="175"/>
      <c r="KNE30" s="175"/>
      <c r="KNF30" s="175"/>
      <c r="KNG30" s="175"/>
      <c r="KNH30" s="175"/>
      <c r="KNI30" s="175"/>
      <c r="KNJ30" s="175"/>
      <c r="KNK30" s="175"/>
      <c r="KNL30" s="175"/>
      <c r="KNM30" s="175"/>
      <c r="KNN30" s="175"/>
      <c r="KNO30" s="175"/>
      <c r="KNP30" s="175"/>
      <c r="KNQ30" s="175"/>
      <c r="KNR30" s="175"/>
      <c r="KNS30" s="175"/>
      <c r="KNT30" s="175"/>
      <c r="KNU30" s="175"/>
      <c r="KNV30" s="175"/>
      <c r="KNW30" s="175"/>
      <c r="KNX30" s="175"/>
      <c r="KNY30" s="175"/>
      <c r="KNZ30" s="175"/>
      <c r="KOA30" s="175"/>
      <c r="KOB30" s="175"/>
      <c r="KOC30" s="175"/>
      <c r="KOD30" s="175"/>
      <c r="KOE30" s="175"/>
      <c r="KOF30" s="175"/>
      <c r="KOG30" s="175"/>
      <c r="KOH30" s="175"/>
      <c r="KOI30" s="175"/>
      <c r="KOJ30" s="175"/>
      <c r="KOK30" s="175"/>
      <c r="KOL30" s="175"/>
      <c r="KOM30" s="175"/>
      <c r="KON30" s="175"/>
      <c r="KOO30" s="175"/>
      <c r="KOP30" s="175"/>
      <c r="KOQ30" s="175"/>
      <c r="KOR30" s="175"/>
      <c r="KOS30" s="175"/>
      <c r="KOT30" s="175"/>
      <c r="KOU30" s="175"/>
      <c r="KOV30" s="175"/>
      <c r="KOW30" s="175"/>
      <c r="KOX30" s="175"/>
      <c r="KOY30" s="175"/>
      <c r="KOZ30" s="175"/>
      <c r="KPA30" s="175"/>
      <c r="KPB30" s="175"/>
      <c r="KPC30" s="175"/>
      <c r="KPD30" s="175"/>
      <c r="KPE30" s="175"/>
      <c r="KPF30" s="175"/>
      <c r="KPG30" s="175"/>
      <c r="KPH30" s="175"/>
      <c r="KPI30" s="175"/>
      <c r="KPJ30" s="175"/>
      <c r="KPK30" s="175"/>
      <c r="KPL30" s="175"/>
      <c r="KPM30" s="175"/>
      <c r="KPN30" s="175"/>
      <c r="KPO30" s="175"/>
      <c r="KPP30" s="175"/>
      <c r="KPQ30" s="175"/>
      <c r="KPR30" s="175"/>
      <c r="KPS30" s="175"/>
      <c r="KPT30" s="175"/>
      <c r="KPU30" s="175"/>
      <c r="KPV30" s="175"/>
      <c r="KPW30" s="175"/>
      <c r="KPX30" s="175"/>
      <c r="KPY30" s="175"/>
      <c r="KPZ30" s="175"/>
      <c r="KQA30" s="175"/>
      <c r="KQB30" s="175"/>
      <c r="KQC30" s="175"/>
      <c r="KQD30" s="175"/>
      <c r="KQE30" s="175"/>
      <c r="KQF30" s="175"/>
      <c r="KQG30" s="175"/>
      <c r="KQH30" s="175"/>
      <c r="KQI30" s="175"/>
      <c r="KQJ30" s="175"/>
      <c r="KQK30" s="175"/>
      <c r="KQL30" s="175"/>
      <c r="KQM30" s="175"/>
      <c r="KQN30" s="175"/>
      <c r="KQO30" s="175"/>
      <c r="KQP30" s="175"/>
      <c r="KQQ30" s="175"/>
      <c r="KQR30" s="175"/>
      <c r="KQS30" s="175"/>
      <c r="KQT30" s="175"/>
      <c r="KQU30" s="175"/>
      <c r="KQV30" s="175"/>
      <c r="KQW30" s="175"/>
      <c r="KQX30" s="175"/>
      <c r="KQY30" s="175"/>
      <c r="KQZ30" s="175"/>
      <c r="KRA30" s="175"/>
      <c r="KRB30" s="175"/>
      <c r="KRC30" s="175"/>
      <c r="KRD30" s="175"/>
      <c r="KRE30" s="175"/>
      <c r="KRF30" s="175"/>
      <c r="KRG30" s="175"/>
      <c r="KRH30" s="175"/>
      <c r="KRI30" s="175"/>
      <c r="KRJ30" s="175"/>
      <c r="KRK30" s="175"/>
      <c r="KRL30" s="175"/>
      <c r="KRM30" s="175"/>
      <c r="KRN30" s="175"/>
      <c r="KRO30" s="175"/>
      <c r="KRP30" s="175"/>
      <c r="KRQ30" s="175"/>
      <c r="KRR30" s="175"/>
      <c r="KRS30" s="175"/>
      <c r="KRT30" s="175"/>
      <c r="KRU30" s="175"/>
      <c r="KRV30" s="175"/>
      <c r="KRW30" s="175"/>
      <c r="KRX30" s="175"/>
      <c r="KRY30" s="175"/>
      <c r="KRZ30" s="175"/>
      <c r="KSA30" s="175"/>
      <c r="KSB30" s="175"/>
      <c r="KSC30" s="175"/>
      <c r="KSD30" s="175"/>
      <c r="KSE30" s="175"/>
      <c r="KSF30" s="175"/>
      <c r="KSG30" s="175"/>
      <c r="KSH30" s="175"/>
      <c r="KSI30" s="175"/>
      <c r="KSJ30" s="175"/>
      <c r="KSK30" s="175"/>
      <c r="KSL30" s="175"/>
      <c r="KSM30" s="175"/>
      <c r="KSN30" s="175"/>
      <c r="KSO30" s="175"/>
      <c r="KSP30" s="175"/>
      <c r="KSQ30" s="175"/>
      <c r="KSR30" s="175"/>
      <c r="KSS30" s="175"/>
      <c r="KST30" s="175"/>
      <c r="KSU30" s="175"/>
      <c r="KSV30" s="175"/>
      <c r="KSW30" s="175"/>
      <c r="KSX30" s="175"/>
      <c r="KSY30" s="175"/>
      <c r="KSZ30" s="175"/>
      <c r="KTA30" s="175"/>
      <c r="KTB30" s="175"/>
      <c r="KTC30" s="175"/>
      <c r="KTD30" s="175"/>
      <c r="KTE30" s="175"/>
      <c r="KTF30" s="175"/>
      <c r="KTG30" s="175"/>
      <c r="KTH30" s="175"/>
      <c r="KTI30" s="175"/>
      <c r="KTJ30" s="175"/>
      <c r="KTK30" s="175"/>
      <c r="KTL30" s="175"/>
      <c r="KTM30" s="175"/>
      <c r="KTN30" s="175"/>
      <c r="KTO30" s="175"/>
      <c r="KTP30" s="175"/>
      <c r="KTQ30" s="175"/>
      <c r="KTR30" s="175"/>
      <c r="KTS30" s="175"/>
      <c r="KTT30" s="175"/>
      <c r="KTU30" s="175"/>
      <c r="KTV30" s="175"/>
      <c r="KTW30" s="175"/>
      <c r="KTX30" s="175"/>
      <c r="KTY30" s="175"/>
      <c r="KTZ30" s="175"/>
      <c r="KUA30" s="175"/>
      <c r="KUB30" s="175"/>
      <c r="KUC30" s="175"/>
      <c r="KUD30" s="175"/>
      <c r="KUE30" s="175"/>
      <c r="KUF30" s="175"/>
      <c r="KUG30" s="175"/>
      <c r="KUH30" s="175"/>
      <c r="KUI30" s="175"/>
      <c r="KUJ30" s="175"/>
      <c r="KUK30" s="175"/>
      <c r="KUL30" s="175"/>
      <c r="KUM30" s="175"/>
      <c r="KUN30" s="175"/>
      <c r="KUO30" s="175"/>
      <c r="KUP30" s="175"/>
      <c r="KUQ30" s="175"/>
      <c r="KUR30" s="175"/>
      <c r="KUS30" s="175"/>
      <c r="KUT30" s="175"/>
      <c r="KUU30" s="175"/>
      <c r="KUV30" s="175"/>
      <c r="KUW30" s="175"/>
      <c r="KUX30" s="175"/>
      <c r="KUY30" s="175"/>
      <c r="KUZ30" s="175"/>
      <c r="KVA30" s="175"/>
      <c r="KVB30" s="175"/>
      <c r="KVC30" s="175"/>
      <c r="KVD30" s="175"/>
      <c r="KVE30" s="175"/>
      <c r="KVF30" s="175"/>
      <c r="KVG30" s="175"/>
      <c r="KVH30" s="175"/>
      <c r="KVI30" s="175"/>
      <c r="KVJ30" s="175"/>
      <c r="KVK30" s="175"/>
      <c r="KVL30" s="175"/>
      <c r="KVM30" s="175"/>
      <c r="KVN30" s="175"/>
      <c r="KVO30" s="175"/>
      <c r="KVP30" s="175"/>
      <c r="KVQ30" s="175"/>
      <c r="KVR30" s="175"/>
      <c r="KVS30" s="175"/>
      <c r="KVT30" s="175"/>
      <c r="KVU30" s="175"/>
      <c r="KVV30" s="175"/>
      <c r="KVW30" s="175"/>
      <c r="KVX30" s="175"/>
      <c r="KVY30" s="175"/>
      <c r="KVZ30" s="175"/>
      <c r="KWA30" s="175"/>
      <c r="KWB30" s="175"/>
      <c r="KWC30" s="175"/>
      <c r="KWD30" s="175"/>
      <c r="KWE30" s="175"/>
      <c r="KWF30" s="175"/>
      <c r="KWG30" s="175"/>
      <c r="KWH30" s="175"/>
      <c r="KWI30" s="175"/>
      <c r="KWJ30" s="175"/>
      <c r="KWK30" s="175"/>
      <c r="KWL30" s="175"/>
      <c r="KWM30" s="175"/>
      <c r="KWN30" s="175"/>
      <c r="KWO30" s="175"/>
      <c r="KWP30" s="175"/>
      <c r="KWQ30" s="175"/>
      <c r="KWR30" s="175"/>
      <c r="KWS30" s="175"/>
      <c r="KWT30" s="175"/>
      <c r="KWU30" s="175"/>
      <c r="KWV30" s="175"/>
      <c r="KWW30" s="175"/>
      <c r="KWX30" s="175"/>
      <c r="KWY30" s="175"/>
      <c r="KWZ30" s="175"/>
      <c r="KXA30" s="175"/>
      <c r="KXB30" s="175"/>
      <c r="KXC30" s="175"/>
      <c r="KXD30" s="175"/>
      <c r="KXE30" s="175"/>
      <c r="KXF30" s="175"/>
      <c r="KXG30" s="175"/>
      <c r="KXH30" s="175"/>
      <c r="KXI30" s="175"/>
      <c r="KXJ30" s="175"/>
      <c r="KXK30" s="175"/>
      <c r="KXL30" s="175"/>
      <c r="KXM30" s="175"/>
      <c r="KXN30" s="175"/>
      <c r="KXO30" s="175"/>
      <c r="KXP30" s="175"/>
      <c r="KXQ30" s="175"/>
      <c r="KXR30" s="175"/>
      <c r="KXS30" s="175"/>
      <c r="KXT30" s="175"/>
      <c r="KXU30" s="175"/>
      <c r="KXV30" s="175"/>
      <c r="KXW30" s="175"/>
      <c r="KXX30" s="175"/>
      <c r="KXY30" s="175"/>
      <c r="KXZ30" s="175"/>
      <c r="KYA30" s="175"/>
      <c r="KYB30" s="175"/>
      <c r="KYC30" s="175"/>
      <c r="KYD30" s="175"/>
      <c r="KYE30" s="175"/>
      <c r="KYF30" s="175"/>
      <c r="KYG30" s="175"/>
      <c r="KYH30" s="175"/>
      <c r="KYI30" s="175"/>
      <c r="KYJ30" s="175"/>
      <c r="KYK30" s="175"/>
      <c r="KYL30" s="175"/>
      <c r="KYM30" s="175"/>
      <c r="KYN30" s="175"/>
      <c r="KYO30" s="175"/>
      <c r="KYP30" s="175"/>
      <c r="KYQ30" s="175"/>
      <c r="KYR30" s="175"/>
      <c r="KYS30" s="175"/>
      <c r="KYT30" s="175"/>
      <c r="KYU30" s="175"/>
      <c r="KYV30" s="175"/>
      <c r="KYW30" s="175"/>
      <c r="KYX30" s="175"/>
      <c r="KYY30" s="175"/>
      <c r="KYZ30" s="175"/>
      <c r="KZA30" s="175"/>
      <c r="KZB30" s="175"/>
      <c r="KZC30" s="175"/>
      <c r="KZD30" s="175"/>
      <c r="KZE30" s="175"/>
      <c r="KZF30" s="175"/>
      <c r="KZG30" s="175"/>
      <c r="KZH30" s="175"/>
      <c r="KZI30" s="175"/>
      <c r="KZJ30" s="175"/>
      <c r="KZK30" s="175"/>
      <c r="KZL30" s="175"/>
      <c r="KZM30" s="175"/>
      <c r="KZN30" s="175"/>
      <c r="KZO30" s="175"/>
      <c r="KZP30" s="175"/>
      <c r="KZQ30" s="175"/>
      <c r="KZR30" s="175"/>
      <c r="KZS30" s="175"/>
      <c r="KZT30" s="175"/>
      <c r="KZU30" s="175"/>
      <c r="KZV30" s="175"/>
      <c r="KZW30" s="175"/>
      <c r="KZX30" s="175"/>
      <c r="KZY30" s="175"/>
      <c r="KZZ30" s="175"/>
      <c r="LAA30" s="175"/>
      <c r="LAB30" s="175"/>
      <c r="LAC30" s="175"/>
      <c r="LAD30" s="175"/>
      <c r="LAE30" s="175"/>
      <c r="LAF30" s="175"/>
      <c r="LAG30" s="175"/>
      <c r="LAH30" s="175"/>
      <c r="LAI30" s="175"/>
      <c r="LAJ30" s="175"/>
      <c r="LAK30" s="175"/>
      <c r="LAL30" s="175"/>
      <c r="LAM30" s="175"/>
      <c r="LAN30" s="175"/>
      <c r="LAO30" s="175"/>
      <c r="LAP30" s="175"/>
      <c r="LAQ30" s="175"/>
      <c r="LAR30" s="175"/>
      <c r="LAS30" s="175"/>
      <c r="LAT30" s="175"/>
      <c r="LAU30" s="175"/>
      <c r="LAV30" s="175"/>
      <c r="LAW30" s="175"/>
      <c r="LAX30" s="175"/>
      <c r="LAY30" s="175"/>
      <c r="LAZ30" s="175"/>
      <c r="LBA30" s="175"/>
      <c r="LBB30" s="175"/>
      <c r="LBC30" s="175"/>
      <c r="LBD30" s="175"/>
      <c r="LBE30" s="175"/>
      <c r="LBF30" s="175"/>
      <c r="LBG30" s="175"/>
      <c r="LBH30" s="175"/>
      <c r="LBI30" s="175"/>
      <c r="LBJ30" s="175"/>
      <c r="LBK30" s="175"/>
      <c r="LBL30" s="175"/>
      <c r="LBM30" s="175"/>
      <c r="LBN30" s="175"/>
      <c r="LBO30" s="175"/>
      <c r="LBP30" s="175"/>
      <c r="LBQ30" s="175"/>
      <c r="LBR30" s="175"/>
      <c r="LBS30" s="175"/>
      <c r="LBT30" s="175"/>
      <c r="LBU30" s="175"/>
      <c r="LBV30" s="175"/>
      <c r="LBW30" s="175"/>
      <c r="LBX30" s="175"/>
      <c r="LBY30" s="175"/>
      <c r="LBZ30" s="175"/>
      <c r="LCA30" s="175"/>
      <c r="LCB30" s="175"/>
      <c r="LCC30" s="175"/>
      <c r="LCD30" s="175"/>
      <c r="LCE30" s="175"/>
      <c r="LCF30" s="175"/>
      <c r="LCG30" s="175"/>
      <c r="LCH30" s="175"/>
      <c r="LCI30" s="175"/>
      <c r="LCJ30" s="175"/>
      <c r="LCK30" s="175"/>
      <c r="LCL30" s="175"/>
      <c r="LCM30" s="175"/>
      <c r="LCN30" s="175"/>
      <c r="LCO30" s="175"/>
      <c r="LCP30" s="175"/>
      <c r="LCQ30" s="175"/>
      <c r="LCR30" s="175"/>
      <c r="LCS30" s="175"/>
      <c r="LCT30" s="175"/>
      <c r="LCU30" s="175"/>
      <c r="LCV30" s="175"/>
      <c r="LCW30" s="175"/>
      <c r="LCX30" s="175"/>
      <c r="LCY30" s="175"/>
      <c r="LCZ30" s="175"/>
      <c r="LDA30" s="175"/>
      <c r="LDB30" s="175"/>
      <c r="LDC30" s="175"/>
      <c r="LDD30" s="175"/>
      <c r="LDE30" s="175"/>
      <c r="LDF30" s="175"/>
      <c r="LDG30" s="175"/>
      <c r="LDH30" s="175"/>
      <c r="LDI30" s="175"/>
      <c r="LDJ30" s="175"/>
      <c r="LDK30" s="175"/>
      <c r="LDL30" s="175"/>
      <c r="LDM30" s="175"/>
      <c r="LDN30" s="175"/>
      <c r="LDO30" s="175"/>
      <c r="LDP30" s="175"/>
      <c r="LDQ30" s="175"/>
      <c r="LDR30" s="175"/>
      <c r="LDS30" s="175"/>
      <c r="LDT30" s="175"/>
      <c r="LDU30" s="175"/>
      <c r="LDV30" s="175"/>
      <c r="LDW30" s="175"/>
      <c r="LDX30" s="175"/>
      <c r="LDY30" s="175"/>
      <c r="LDZ30" s="175"/>
      <c r="LEA30" s="175"/>
      <c r="LEB30" s="175"/>
      <c r="LEC30" s="175"/>
      <c r="LED30" s="175"/>
      <c r="LEE30" s="175"/>
      <c r="LEF30" s="175"/>
      <c r="LEG30" s="175"/>
      <c r="LEH30" s="175"/>
      <c r="LEI30" s="175"/>
      <c r="LEJ30" s="175"/>
      <c r="LEK30" s="175"/>
      <c r="LEL30" s="175"/>
      <c r="LEM30" s="175"/>
      <c r="LEN30" s="175"/>
      <c r="LEO30" s="175"/>
      <c r="LEP30" s="175"/>
      <c r="LEQ30" s="175"/>
      <c r="LER30" s="175"/>
      <c r="LES30" s="175"/>
      <c r="LET30" s="175"/>
      <c r="LEU30" s="175"/>
      <c r="LEV30" s="175"/>
      <c r="LEW30" s="175"/>
      <c r="LEX30" s="175"/>
      <c r="LEY30" s="175"/>
      <c r="LEZ30" s="175"/>
      <c r="LFA30" s="175"/>
      <c r="LFB30" s="175"/>
      <c r="LFC30" s="175"/>
      <c r="LFD30" s="175"/>
      <c r="LFE30" s="175"/>
      <c r="LFF30" s="175"/>
      <c r="LFG30" s="175"/>
      <c r="LFH30" s="175"/>
      <c r="LFI30" s="175"/>
      <c r="LFJ30" s="175"/>
      <c r="LFK30" s="175"/>
      <c r="LFL30" s="175"/>
      <c r="LFM30" s="175"/>
      <c r="LFN30" s="175"/>
      <c r="LFO30" s="175"/>
      <c r="LFP30" s="175"/>
      <c r="LFQ30" s="175"/>
      <c r="LFR30" s="175"/>
      <c r="LFS30" s="175"/>
      <c r="LFT30" s="175"/>
      <c r="LFU30" s="175"/>
      <c r="LFV30" s="175"/>
      <c r="LFW30" s="175"/>
      <c r="LFX30" s="175"/>
      <c r="LFY30" s="175"/>
      <c r="LFZ30" s="175"/>
      <c r="LGA30" s="175"/>
      <c r="LGB30" s="175"/>
      <c r="LGC30" s="175"/>
      <c r="LGD30" s="175"/>
      <c r="LGE30" s="175"/>
      <c r="LGF30" s="175"/>
      <c r="LGG30" s="175"/>
      <c r="LGH30" s="175"/>
      <c r="LGI30" s="175"/>
      <c r="LGJ30" s="175"/>
      <c r="LGK30" s="175"/>
      <c r="LGL30" s="175"/>
      <c r="LGM30" s="175"/>
      <c r="LGN30" s="175"/>
      <c r="LGO30" s="175"/>
      <c r="LGP30" s="175"/>
      <c r="LGQ30" s="175"/>
      <c r="LGR30" s="175"/>
      <c r="LGS30" s="175"/>
      <c r="LGT30" s="175"/>
      <c r="LGU30" s="175"/>
      <c r="LGV30" s="175"/>
      <c r="LGW30" s="175"/>
      <c r="LGX30" s="175"/>
      <c r="LGY30" s="175"/>
      <c r="LGZ30" s="175"/>
      <c r="LHA30" s="175"/>
      <c r="LHB30" s="175"/>
      <c r="LHC30" s="175"/>
      <c r="LHD30" s="175"/>
      <c r="LHE30" s="175"/>
      <c r="LHF30" s="175"/>
      <c r="LHG30" s="175"/>
      <c r="LHH30" s="175"/>
      <c r="LHI30" s="175"/>
      <c r="LHJ30" s="175"/>
      <c r="LHK30" s="175"/>
      <c r="LHL30" s="175"/>
      <c r="LHM30" s="175"/>
      <c r="LHN30" s="175"/>
      <c r="LHO30" s="175"/>
      <c r="LHP30" s="175"/>
      <c r="LHQ30" s="175"/>
      <c r="LHR30" s="175"/>
      <c r="LHS30" s="175"/>
      <c r="LHT30" s="175"/>
      <c r="LHU30" s="175"/>
      <c r="LHV30" s="175"/>
      <c r="LHW30" s="175"/>
      <c r="LHX30" s="175"/>
      <c r="LHY30" s="175"/>
      <c r="LHZ30" s="175"/>
      <c r="LIA30" s="175"/>
      <c r="LIB30" s="175"/>
      <c r="LIC30" s="175"/>
      <c r="LID30" s="175"/>
      <c r="LIE30" s="175"/>
      <c r="LIF30" s="175"/>
      <c r="LIG30" s="175"/>
      <c r="LIH30" s="175"/>
      <c r="LII30" s="175"/>
      <c r="LIJ30" s="175"/>
      <c r="LIK30" s="175"/>
      <c r="LIL30" s="175"/>
      <c r="LIM30" s="175"/>
      <c r="LIN30" s="175"/>
      <c r="LIO30" s="175"/>
      <c r="LIP30" s="175"/>
      <c r="LIQ30" s="175"/>
      <c r="LIR30" s="175"/>
      <c r="LIS30" s="175"/>
      <c r="LIT30" s="175"/>
      <c r="LIU30" s="175"/>
      <c r="LIV30" s="175"/>
      <c r="LIW30" s="175"/>
      <c r="LIX30" s="175"/>
      <c r="LIY30" s="175"/>
      <c r="LIZ30" s="175"/>
      <c r="LJA30" s="175"/>
      <c r="LJB30" s="175"/>
      <c r="LJC30" s="175"/>
      <c r="LJD30" s="175"/>
      <c r="LJE30" s="175"/>
      <c r="LJF30" s="175"/>
      <c r="LJG30" s="175"/>
      <c r="LJH30" s="175"/>
      <c r="LJI30" s="175"/>
      <c r="LJJ30" s="175"/>
      <c r="LJK30" s="175"/>
      <c r="LJL30" s="175"/>
      <c r="LJM30" s="175"/>
      <c r="LJN30" s="175"/>
      <c r="LJO30" s="175"/>
      <c r="LJP30" s="175"/>
      <c r="LJQ30" s="175"/>
      <c r="LJR30" s="175"/>
      <c r="LJS30" s="175"/>
      <c r="LJT30" s="175"/>
      <c r="LJU30" s="175"/>
      <c r="LJV30" s="175"/>
      <c r="LJW30" s="175"/>
      <c r="LJX30" s="175"/>
      <c r="LJY30" s="175"/>
      <c r="LJZ30" s="175"/>
      <c r="LKA30" s="175"/>
      <c r="LKB30" s="175"/>
      <c r="LKC30" s="175"/>
      <c r="LKD30" s="175"/>
      <c r="LKE30" s="175"/>
      <c r="LKF30" s="175"/>
      <c r="LKG30" s="175"/>
      <c r="LKH30" s="175"/>
      <c r="LKI30" s="175"/>
      <c r="LKJ30" s="175"/>
      <c r="LKK30" s="175"/>
      <c r="LKL30" s="175"/>
      <c r="LKM30" s="175"/>
      <c r="LKN30" s="175"/>
      <c r="LKO30" s="175"/>
      <c r="LKP30" s="175"/>
      <c r="LKQ30" s="175"/>
      <c r="LKR30" s="175"/>
      <c r="LKS30" s="175"/>
      <c r="LKT30" s="175"/>
      <c r="LKU30" s="175"/>
      <c r="LKV30" s="175"/>
      <c r="LKW30" s="175"/>
      <c r="LKX30" s="175"/>
      <c r="LKY30" s="175"/>
      <c r="LKZ30" s="175"/>
      <c r="LLA30" s="175"/>
      <c r="LLB30" s="175"/>
      <c r="LLC30" s="175"/>
      <c r="LLD30" s="175"/>
      <c r="LLE30" s="175"/>
      <c r="LLF30" s="175"/>
      <c r="LLG30" s="175"/>
      <c r="LLH30" s="175"/>
      <c r="LLI30" s="175"/>
      <c r="LLJ30" s="175"/>
      <c r="LLK30" s="175"/>
      <c r="LLL30" s="175"/>
      <c r="LLM30" s="175"/>
      <c r="LLN30" s="175"/>
      <c r="LLO30" s="175"/>
      <c r="LLP30" s="175"/>
      <c r="LLQ30" s="175"/>
      <c r="LLR30" s="175"/>
      <c r="LLS30" s="175"/>
      <c r="LLT30" s="175"/>
      <c r="LLU30" s="175"/>
      <c r="LLV30" s="175"/>
      <c r="LLW30" s="175"/>
      <c r="LLX30" s="175"/>
      <c r="LLY30" s="175"/>
      <c r="LLZ30" s="175"/>
      <c r="LMA30" s="175"/>
      <c r="LMB30" s="175"/>
      <c r="LMC30" s="175"/>
      <c r="LMD30" s="175"/>
      <c r="LME30" s="175"/>
      <c r="LMF30" s="175"/>
      <c r="LMG30" s="175"/>
      <c r="LMH30" s="175"/>
      <c r="LMI30" s="175"/>
      <c r="LMJ30" s="175"/>
      <c r="LMK30" s="175"/>
      <c r="LML30" s="175"/>
      <c r="LMM30" s="175"/>
      <c r="LMN30" s="175"/>
      <c r="LMO30" s="175"/>
      <c r="LMP30" s="175"/>
      <c r="LMQ30" s="175"/>
      <c r="LMR30" s="175"/>
      <c r="LMS30" s="175"/>
      <c r="LMT30" s="175"/>
      <c r="LMU30" s="175"/>
      <c r="LMV30" s="175"/>
      <c r="LMW30" s="175"/>
      <c r="LMX30" s="175"/>
      <c r="LMY30" s="175"/>
      <c r="LMZ30" s="175"/>
      <c r="LNA30" s="175"/>
      <c r="LNB30" s="175"/>
      <c r="LNC30" s="175"/>
      <c r="LND30" s="175"/>
      <c r="LNE30" s="175"/>
      <c r="LNF30" s="175"/>
      <c r="LNG30" s="175"/>
      <c r="LNH30" s="175"/>
      <c r="LNI30" s="175"/>
      <c r="LNJ30" s="175"/>
      <c r="LNK30" s="175"/>
      <c r="LNL30" s="175"/>
      <c r="LNM30" s="175"/>
      <c r="LNN30" s="175"/>
      <c r="LNO30" s="175"/>
      <c r="LNP30" s="175"/>
      <c r="LNQ30" s="175"/>
      <c r="LNR30" s="175"/>
      <c r="LNS30" s="175"/>
      <c r="LNT30" s="175"/>
      <c r="LNU30" s="175"/>
      <c r="LNV30" s="175"/>
      <c r="LNW30" s="175"/>
      <c r="LNX30" s="175"/>
      <c r="LNY30" s="175"/>
      <c r="LNZ30" s="175"/>
      <c r="LOA30" s="175"/>
      <c r="LOB30" s="175"/>
      <c r="LOC30" s="175"/>
      <c r="LOD30" s="175"/>
      <c r="LOE30" s="175"/>
      <c r="LOF30" s="175"/>
      <c r="LOG30" s="175"/>
      <c r="LOH30" s="175"/>
      <c r="LOI30" s="175"/>
      <c r="LOJ30" s="175"/>
      <c r="LOK30" s="175"/>
      <c r="LOL30" s="175"/>
      <c r="LOM30" s="175"/>
      <c r="LON30" s="175"/>
      <c r="LOO30" s="175"/>
      <c r="LOP30" s="175"/>
      <c r="LOQ30" s="175"/>
      <c r="LOR30" s="175"/>
      <c r="LOS30" s="175"/>
      <c r="LOT30" s="175"/>
      <c r="LOU30" s="175"/>
      <c r="LOV30" s="175"/>
      <c r="LOW30" s="175"/>
      <c r="LOX30" s="175"/>
      <c r="LOY30" s="175"/>
      <c r="LOZ30" s="175"/>
      <c r="LPA30" s="175"/>
      <c r="LPB30" s="175"/>
      <c r="LPC30" s="175"/>
      <c r="LPD30" s="175"/>
      <c r="LPE30" s="175"/>
      <c r="LPF30" s="175"/>
      <c r="LPG30" s="175"/>
      <c r="LPH30" s="175"/>
      <c r="LPI30" s="175"/>
      <c r="LPJ30" s="175"/>
      <c r="LPK30" s="175"/>
      <c r="LPL30" s="175"/>
      <c r="LPM30" s="175"/>
      <c r="LPN30" s="175"/>
      <c r="LPO30" s="175"/>
      <c r="LPP30" s="175"/>
      <c r="LPQ30" s="175"/>
      <c r="LPR30" s="175"/>
      <c r="LPS30" s="175"/>
      <c r="LPT30" s="175"/>
      <c r="LPU30" s="175"/>
      <c r="LPV30" s="175"/>
      <c r="LPW30" s="175"/>
      <c r="LPX30" s="175"/>
      <c r="LPY30" s="175"/>
      <c r="LPZ30" s="175"/>
      <c r="LQA30" s="175"/>
      <c r="LQB30" s="175"/>
      <c r="LQC30" s="175"/>
      <c r="LQD30" s="175"/>
      <c r="LQE30" s="175"/>
      <c r="LQF30" s="175"/>
      <c r="LQG30" s="175"/>
      <c r="LQH30" s="175"/>
      <c r="LQI30" s="175"/>
      <c r="LQJ30" s="175"/>
      <c r="LQK30" s="175"/>
      <c r="LQL30" s="175"/>
      <c r="LQM30" s="175"/>
      <c r="LQN30" s="175"/>
      <c r="LQO30" s="175"/>
      <c r="LQP30" s="175"/>
      <c r="LQQ30" s="175"/>
      <c r="LQR30" s="175"/>
      <c r="LQS30" s="175"/>
      <c r="LQT30" s="175"/>
      <c r="LQU30" s="175"/>
      <c r="LQV30" s="175"/>
      <c r="LQW30" s="175"/>
      <c r="LQX30" s="175"/>
      <c r="LQY30" s="175"/>
      <c r="LQZ30" s="175"/>
      <c r="LRA30" s="175"/>
      <c r="LRB30" s="175"/>
      <c r="LRC30" s="175"/>
      <c r="LRD30" s="175"/>
      <c r="LRE30" s="175"/>
      <c r="LRF30" s="175"/>
      <c r="LRG30" s="175"/>
      <c r="LRH30" s="175"/>
      <c r="LRI30" s="175"/>
      <c r="LRJ30" s="175"/>
      <c r="LRK30" s="175"/>
      <c r="LRL30" s="175"/>
      <c r="LRM30" s="175"/>
      <c r="LRN30" s="175"/>
      <c r="LRO30" s="175"/>
      <c r="LRP30" s="175"/>
      <c r="LRQ30" s="175"/>
      <c r="LRR30" s="175"/>
      <c r="LRS30" s="175"/>
      <c r="LRT30" s="175"/>
      <c r="LRU30" s="175"/>
      <c r="LRV30" s="175"/>
      <c r="LRW30" s="175"/>
      <c r="LRX30" s="175"/>
      <c r="LRY30" s="175"/>
      <c r="LRZ30" s="175"/>
      <c r="LSA30" s="175"/>
      <c r="LSB30" s="175"/>
      <c r="LSC30" s="175"/>
      <c r="LSD30" s="175"/>
      <c r="LSE30" s="175"/>
      <c r="LSF30" s="175"/>
      <c r="LSG30" s="175"/>
      <c r="LSH30" s="175"/>
      <c r="LSI30" s="175"/>
      <c r="LSJ30" s="175"/>
      <c r="LSK30" s="175"/>
      <c r="LSL30" s="175"/>
      <c r="LSM30" s="175"/>
      <c r="LSN30" s="175"/>
      <c r="LSO30" s="175"/>
      <c r="LSP30" s="175"/>
      <c r="LSQ30" s="175"/>
      <c r="LSR30" s="175"/>
      <c r="LSS30" s="175"/>
      <c r="LST30" s="175"/>
      <c r="LSU30" s="175"/>
      <c r="LSV30" s="175"/>
      <c r="LSW30" s="175"/>
      <c r="LSX30" s="175"/>
      <c r="LSY30" s="175"/>
      <c r="LSZ30" s="175"/>
      <c r="LTA30" s="175"/>
      <c r="LTB30" s="175"/>
      <c r="LTC30" s="175"/>
      <c r="LTD30" s="175"/>
      <c r="LTE30" s="175"/>
      <c r="LTF30" s="175"/>
      <c r="LTG30" s="175"/>
      <c r="LTH30" s="175"/>
      <c r="LTI30" s="175"/>
      <c r="LTJ30" s="175"/>
      <c r="LTK30" s="175"/>
      <c r="LTL30" s="175"/>
      <c r="LTM30" s="175"/>
      <c r="LTN30" s="175"/>
      <c r="LTO30" s="175"/>
      <c r="LTP30" s="175"/>
      <c r="LTQ30" s="175"/>
      <c r="LTR30" s="175"/>
      <c r="LTS30" s="175"/>
      <c r="LTT30" s="175"/>
      <c r="LTU30" s="175"/>
      <c r="LTV30" s="175"/>
      <c r="LTW30" s="175"/>
      <c r="LTX30" s="175"/>
      <c r="LTY30" s="175"/>
      <c r="LTZ30" s="175"/>
      <c r="LUA30" s="175"/>
      <c r="LUB30" s="175"/>
      <c r="LUC30" s="175"/>
      <c r="LUD30" s="175"/>
      <c r="LUE30" s="175"/>
      <c r="LUF30" s="175"/>
      <c r="LUG30" s="175"/>
      <c r="LUH30" s="175"/>
      <c r="LUI30" s="175"/>
      <c r="LUJ30" s="175"/>
      <c r="LUK30" s="175"/>
      <c r="LUL30" s="175"/>
      <c r="LUM30" s="175"/>
      <c r="LUN30" s="175"/>
      <c r="LUO30" s="175"/>
      <c r="LUP30" s="175"/>
      <c r="LUQ30" s="175"/>
      <c r="LUR30" s="175"/>
      <c r="LUS30" s="175"/>
      <c r="LUT30" s="175"/>
      <c r="LUU30" s="175"/>
      <c r="LUV30" s="175"/>
      <c r="LUW30" s="175"/>
      <c r="LUX30" s="175"/>
      <c r="LUY30" s="175"/>
      <c r="LUZ30" s="175"/>
      <c r="LVA30" s="175"/>
      <c r="LVB30" s="175"/>
      <c r="LVC30" s="175"/>
      <c r="LVD30" s="175"/>
      <c r="LVE30" s="175"/>
      <c r="LVF30" s="175"/>
      <c r="LVG30" s="175"/>
      <c r="LVH30" s="175"/>
      <c r="LVI30" s="175"/>
      <c r="LVJ30" s="175"/>
      <c r="LVK30" s="175"/>
      <c r="LVL30" s="175"/>
      <c r="LVM30" s="175"/>
      <c r="LVN30" s="175"/>
      <c r="LVO30" s="175"/>
      <c r="LVP30" s="175"/>
      <c r="LVQ30" s="175"/>
      <c r="LVR30" s="175"/>
      <c r="LVS30" s="175"/>
      <c r="LVT30" s="175"/>
      <c r="LVU30" s="175"/>
      <c r="LVV30" s="175"/>
      <c r="LVW30" s="175"/>
      <c r="LVX30" s="175"/>
      <c r="LVY30" s="175"/>
      <c r="LVZ30" s="175"/>
      <c r="LWA30" s="175"/>
      <c r="LWB30" s="175"/>
      <c r="LWC30" s="175"/>
      <c r="LWD30" s="175"/>
      <c r="LWE30" s="175"/>
      <c r="LWF30" s="175"/>
      <c r="LWG30" s="175"/>
      <c r="LWH30" s="175"/>
      <c r="LWI30" s="175"/>
      <c r="LWJ30" s="175"/>
      <c r="LWK30" s="175"/>
      <c r="LWL30" s="175"/>
      <c r="LWM30" s="175"/>
      <c r="LWN30" s="175"/>
      <c r="LWO30" s="175"/>
      <c r="LWP30" s="175"/>
      <c r="LWQ30" s="175"/>
      <c r="LWR30" s="175"/>
      <c r="LWS30" s="175"/>
      <c r="LWT30" s="175"/>
      <c r="LWU30" s="175"/>
      <c r="LWV30" s="175"/>
      <c r="LWW30" s="175"/>
      <c r="LWX30" s="175"/>
      <c r="LWY30" s="175"/>
      <c r="LWZ30" s="175"/>
      <c r="LXA30" s="175"/>
      <c r="LXB30" s="175"/>
      <c r="LXC30" s="175"/>
      <c r="LXD30" s="175"/>
      <c r="LXE30" s="175"/>
      <c r="LXF30" s="175"/>
      <c r="LXG30" s="175"/>
      <c r="LXH30" s="175"/>
      <c r="LXI30" s="175"/>
      <c r="LXJ30" s="175"/>
      <c r="LXK30" s="175"/>
      <c r="LXL30" s="175"/>
      <c r="LXM30" s="175"/>
      <c r="LXN30" s="175"/>
      <c r="LXO30" s="175"/>
      <c r="LXP30" s="175"/>
      <c r="LXQ30" s="175"/>
      <c r="LXR30" s="175"/>
      <c r="LXS30" s="175"/>
      <c r="LXT30" s="175"/>
      <c r="LXU30" s="175"/>
      <c r="LXV30" s="175"/>
      <c r="LXW30" s="175"/>
      <c r="LXX30" s="175"/>
      <c r="LXY30" s="175"/>
      <c r="LXZ30" s="175"/>
      <c r="LYA30" s="175"/>
      <c r="LYB30" s="175"/>
      <c r="LYC30" s="175"/>
      <c r="LYD30" s="175"/>
      <c r="LYE30" s="175"/>
      <c r="LYF30" s="175"/>
      <c r="LYG30" s="175"/>
      <c r="LYH30" s="175"/>
      <c r="LYI30" s="175"/>
      <c r="LYJ30" s="175"/>
      <c r="LYK30" s="175"/>
      <c r="LYL30" s="175"/>
      <c r="LYM30" s="175"/>
      <c r="LYN30" s="175"/>
      <c r="LYO30" s="175"/>
      <c r="LYP30" s="175"/>
      <c r="LYQ30" s="175"/>
      <c r="LYR30" s="175"/>
      <c r="LYS30" s="175"/>
      <c r="LYT30" s="175"/>
      <c r="LYU30" s="175"/>
      <c r="LYV30" s="175"/>
      <c r="LYW30" s="175"/>
      <c r="LYX30" s="175"/>
      <c r="LYY30" s="175"/>
      <c r="LYZ30" s="175"/>
      <c r="LZA30" s="175"/>
      <c r="LZB30" s="175"/>
      <c r="LZC30" s="175"/>
      <c r="LZD30" s="175"/>
      <c r="LZE30" s="175"/>
      <c r="LZF30" s="175"/>
      <c r="LZG30" s="175"/>
      <c r="LZH30" s="175"/>
      <c r="LZI30" s="175"/>
      <c r="LZJ30" s="175"/>
      <c r="LZK30" s="175"/>
      <c r="LZL30" s="175"/>
      <c r="LZM30" s="175"/>
      <c r="LZN30" s="175"/>
      <c r="LZO30" s="175"/>
      <c r="LZP30" s="175"/>
      <c r="LZQ30" s="175"/>
      <c r="LZR30" s="175"/>
      <c r="LZS30" s="175"/>
      <c r="LZT30" s="175"/>
      <c r="LZU30" s="175"/>
      <c r="LZV30" s="175"/>
      <c r="LZW30" s="175"/>
      <c r="LZX30" s="175"/>
      <c r="LZY30" s="175"/>
      <c r="LZZ30" s="175"/>
      <c r="MAA30" s="175"/>
      <c r="MAB30" s="175"/>
      <c r="MAC30" s="175"/>
      <c r="MAD30" s="175"/>
      <c r="MAE30" s="175"/>
      <c r="MAF30" s="175"/>
      <c r="MAG30" s="175"/>
      <c r="MAH30" s="175"/>
      <c r="MAI30" s="175"/>
      <c r="MAJ30" s="175"/>
      <c r="MAK30" s="175"/>
      <c r="MAL30" s="175"/>
      <c r="MAM30" s="175"/>
      <c r="MAN30" s="175"/>
      <c r="MAO30" s="175"/>
      <c r="MAP30" s="175"/>
      <c r="MAQ30" s="175"/>
      <c r="MAR30" s="175"/>
      <c r="MAS30" s="175"/>
      <c r="MAT30" s="175"/>
      <c r="MAU30" s="175"/>
      <c r="MAV30" s="175"/>
      <c r="MAW30" s="175"/>
      <c r="MAX30" s="175"/>
      <c r="MAY30" s="175"/>
      <c r="MAZ30" s="175"/>
      <c r="MBA30" s="175"/>
      <c r="MBB30" s="175"/>
      <c r="MBC30" s="175"/>
      <c r="MBD30" s="175"/>
      <c r="MBE30" s="175"/>
      <c r="MBF30" s="175"/>
      <c r="MBG30" s="175"/>
      <c r="MBH30" s="175"/>
      <c r="MBI30" s="175"/>
      <c r="MBJ30" s="175"/>
      <c r="MBK30" s="175"/>
      <c r="MBL30" s="175"/>
      <c r="MBM30" s="175"/>
      <c r="MBN30" s="175"/>
      <c r="MBO30" s="175"/>
      <c r="MBP30" s="175"/>
      <c r="MBQ30" s="175"/>
      <c r="MBR30" s="175"/>
      <c r="MBS30" s="175"/>
      <c r="MBT30" s="175"/>
      <c r="MBU30" s="175"/>
      <c r="MBV30" s="175"/>
      <c r="MBW30" s="175"/>
      <c r="MBX30" s="175"/>
      <c r="MBY30" s="175"/>
      <c r="MBZ30" s="175"/>
      <c r="MCA30" s="175"/>
      <c r="MCB30" s="175"/>
      <c r="MCC30" s="175"/>
      <c r="MCD30" s="175"/>
      <c r="MCE30" s="175"/>
      <c r="MCF30" s="175"/>
      <c r="MCG30" s="175"/>
      <c r="MCH30" s="175"/>
      <c r="MCI30" s="175"/>
      <c r="MCJ30" s="175"/>
      <c r="MCK30" s="175"/>
      <c r="MCL30" s="175"/>
      <c r="MCM30" s="175"/>
      <c r="MCN30" s="175"/>
      <c r="MCO30" s="175"/>
      <c r="MCP30" s="175"/>
      <c r="MCQ30" s="175"/>
      <c r="MCR30" s="175"/>
      <c r="MCS30" s="175"/>
      <c r="MCT30" s="175"/>
      <c r="MCU30" s="175"/>
      <c r="MCV30" s="175"/>
      <c r="MCW30" s="175"/>
      <c r="MCX30" s="175"/>
      <c r="MCY30" s="175"/>
      <c r="MCZ30" s="175"/>
      <c r="MDA30" s="175"/>
      <c r="MDB30" s="175"/>
      <c r="MDC30" s="175"/>
      <c r="MDD30" s="175"/>
      <c r="MDE30" s="175"/>
      <c r="MDF30" s="175"/>
      <c r="MDG30" s="175"/>
      <c r="MDH30" s="175"/>
      <c r="MDI30" s="175"/>
      <c r="MDJ30" s="175"/>
      <c r="MDK30" s="175"/>
      <c r="MDL30" s="175"/>
      <c r="MDM30" s="175"/>
      <c r="MDN30" s="175"/>
      <c r="MDO30" s="175"/>
      <c r="MDP30" s="175"/>
      <c r="MDQ30" s="175"/>
      <c r="MDR30" s="175"/>
      <c r="MDS30" s="175"/>
      <c r="MDT30" s="175"/>
      <c r="MDU30" s="175"/>
      <c r="MDV30" s="175"/>
      <c r="MDW30" s="175"/>
      <c r="MDX30" s="175"/>
      <c r="MDY30" s="175"/>
      <c r="MDZ30" s="175"/>
      <c r="MEA30" s="175"/>
      <c r="MEB30" s="175"/>
      <c r="MEC30" s="175"/>
      <c r="MED30" s="175"/>
      <c r="MEE30" s="175"/>
      <c r="MEF30" s="175"/>
      <c r="MEG30" s="175"/>
      <c r="MEH30" s="175"/>
      <c r="MEI30" s="175"/>
      <c r="MEJ30" s="175"/>
      <c r="MEK30" s="175"/>
      <c r="MEL30" s="175"/>
      <c r="MEM30" s="175"/>
      <c r="MEN30" s="175"/>
      <c r="MEO30" s="175"/>
      <c r="MEP30" s="175"/>
      <c r="MEQ30" s="175"/>
      <c r="MER30" s="175"/>
      <c r="MES30" s="175"/>
      <c r="MET30" s="175"/>
      <c r="MEU30" s="175"/>
      <c r="MEV30" s="175"/>
      <c r="MEW30" s="175"/>
      <c r="MEX30" s="175"/>
      <c r="MEY30" s="175"/>
      <c r="MEZ30" s="175"/>
      <c r="MFA30" s="175"/>
      <c r="MFB30" s="175"/>
      <c r="MFC30" s="175"/>
      <c r="MFD30" s="175"/>
      <c r="MFE30" s="175"/>
      <c r="MFF30" s="175"/>
      <c r="MFG30" s="175"/>
      <c r="MFH30" s="175"/>
      <c r="MFI30" s="175"/>
      <c r="MFJ30" s="175"/>
      <c r="MFK30" s="175"/>
      <c r="MFL30" s="175"/>
      <c r="MFM30" s="175"/>
      <c r="MFN30" s="175"/>
      <c r="MFO30" s="175"/>
      <c r="MFP30" s="175"/>
      <c r="MFQ30" s="175"/>
      <c r="MFR30" s="175"/>
      <c r="MFS30" s="175"/>
      <c r="MFT30" s="175"/>
      <c r="MFU30" s="175"/>
      <c r="MFV30" s="175"/>
      <c r="MFW30" s="175"/>
      <c r="MFX30" s="175"/>
      <c r="MFY30" s="175"/>
      <c r="MFZ30" s="175"/>
      <c r="MGA30" s="175"/>
      <c r="MGB30" s="175"/>
      <c r="MGC30" s="175"/>
      <c r="MGD30" s="175"/>
      <c r="MGE30" s="175"/>
      <c r="MGF30" s="175"/>
      <c r="MGG30" s="175"/>
      <c r="MGH30" s="175"/>
      <c r="MGI30" s="175"/>
      <c r="MGJ30" s="175"/>
      <c r="MGK30" s="175"/>
      <c r="MGL30" s="175"/>
      <c r="MGM30" s="175"/>
      <c r="MGN30" s="175"/>
      <c r="MGO30" s="175"/>
      <c r="MGP30" s="175"/>
      <c r="MGQ30" s="175"/>
      <c r="MGR30" s="175"/>
      <c r="MGS30" s="175"/>
      <c r="MGT30" s="175"/>
      <c r="MGU30" s="175"/>
      <c r="MGV30" s="175"/>
      <c r="MGW30" s="175"/>
      <c r="MGX30" s="175"/>
      <c r="MGY30" s="175"/>
      <c r="MGZ30" s="175"/>
      <c r="MHA30" s="175"/>
      <c r="MHB30" s="175"/>
      <c r="MHC30" s="175"/>
      <c r="MHD30" s="175"/>
      <c r="MHE30" s="175"/>
      <c r="MHF30" s="175"/>
      <c r="MHG30" s="175"/>
      <c r="MHH30" s="175"/>
      <c r="MHI30" s="175"/>
      <c r="MHJ30" s="175"/>
      <c r="MHK30" s="175"/>
      <c r="MHL30" s="175"/>
      <c r="MHM30" s="175"/>
      <c r="MHN30" s="175"/>
      <c r="MHO30" s="175"/>
      <c r="MHP30" s="175"/>
      <c r="MHQ30" s="175"/>
      <c r="MHR30" s="175"/>
      <c r="MHS30" s="175"/>
      <c r="MHT30" s="175"/>
      <c r="MHU30" s="175"/>
      <c r="MHV30" s="175"/>
      <c r="MHW30" s="175"/>
      <c r="MHX30" s="175"/>
      <c r="MHY30" s="175"/>
      <c r="MHZ30" s="175"/>
      <c r="MIA30" s="175"/>
      <c r="MIB30" s="175"/>
      <c r="MIC30" s="175"/>
      <c r="MID30" s="175"/>
      <c r="MIE30" s="175"/>
      <c r="MIF30" s="175"/>
      <c r="MIG30" s="175"/>
      <c r="MIH30" s="175"/>
      <c r="MII30" s="175"/>
      <c r="MIJ30" s="175"/>
      <c r="MIK30" s="175"/>
      <c r="MIL30" s="175"/>
      <c r="MIM30" s="175"/>
      <c r="MIN30" s="175"/>
      <c r="MIO30" s="175"/>
      <c r="MIP30" s="175"/>
      <c r="MIQ30" s="175"/>
      <c r="MIR30" s="175"/>
      <c r="MIS30" s="175"/>
      <c r="MIT30" s="175"/>
      <c r="MIU30" s="175"/>
      <c r="MIV30" s="175"/>
      <c r="MIW30" s="175"/>
      <c r="MIX30" s="175"/>
      <c r="MIY30" s="175"/>
      <c r="MIZ30" s="175"/>
      <c r="MJA30" s="175"/>
      <c r="MJB30" s="175"/>
      <c r="MJC30" s="175"/>
      <c r="MJD30" s="175"/>
      <c r="MJE30" s="175"/>
      <c r="MJF30" s="175"/>
      <c r="MJG30" s="175"/>
      <c r="MJH30" s="175"/>
      <c r="MJI30" s="175"/>
      <c r="MJJ30" s="175"/>
      <c r="MJK30" s="175"/>
      <c r="MJL30" s="175"/>
      <c r="MJM30" s="175"/>
      <c r="MJN30" s="175"/>
      <c r="MJO30" s="175"/>
      <c r="MJP30" s="175"/>
      <c r="MJQ30" s="175"/>
      <c r="MJR30" s="175"/>
      <c r="MJS30" s="175"/>
      <c r="MJT30" s="175"/>
      <c r="MJU30" s="175"/>
      <c r="MJV30" s="175"/>
      <c r="MJW30" s="175"/>
      <c r="MJX30" s="175"/>
      <c r="MJY30" s="175"/>
      <c r="MJZ30" s="175"/>
      <c r="MKA30" s="175"/>
      <c r="MKB30" s="175"/>
      <c r="MKC30" s="175"/>
      <c r="MKD30" s="175"/>
      <c r="MKE30" s="175"/>
      <c r="MKF30" s="175"/>
      <c r="MKG30" s="175"/>
      <c r="MKH30" s="175"/>
      <c r="MKI30" s="175"/>
      <c r="MKJ30" s="175"/>
      <c r="MKK30" s="175"/>
      <c r="MKL30" s="175"/>
      <c r="MKM30" s="175"/>
      <c r="MKN30" s="175"/>
      <c r="MKO30" s="175"/>
      <c r="MKP30" s="175"/>
      <c r="MKQ30" s="175"/>
      <c r="MKR30" s="175"/>
      <c r="MKS30" s="175"/>
      <c r="MKT30" s="175"/>
      <c r="MKU30" s="175"/>
      <c r="MKV30" s="175"/>
      <c r="MKW30" s="175"/>
      <c r="MKX30" s="175"/>
      <c r="MKY30" s="175"/>
      <c r="MKZ30" s="175"/>
      <c r="MLA30" s="175"/>
      <c r="MLB30" s="175"/>
      <c r="MLC30" s="175"/>
      <c r="MLD30" s="175"/>
      <c r="MLE30" s="175"/>
      <c r="MLF30" s="175"/>
      <c r="MLG30" s="175"/>
      <c r="MLH30" s="175"/>
      <c r="MLI30" s="175"/>
      <c r="MLJ30" s="175"/>
      <c r="MLK30" s="175"/>
      <c r="MLL30" s="175"/>
      <c r="MLM30" s="175"/>
      <c r="MLN30" s="175"/>
      <c r="MLO30" s="175"/>
      <c r="MLP30" s="175"/>
      <c r="MLQ30" s="175"/>
      <c r="MLR30" s="175"/>
      <c r="MLS30" s="175"/>
      <c r="MLT30" s="175"/>
      <c r="MLU30" s="175"/>
      <c r="MLV30" s="175"/>
      <c r="MLW30" s="175"/>
      <c r="MLX30" s="175"/>
      <c r="MLY30" s="175"/>
      <c r="MLZ30" s="175"/>
      <c r="MMA30" s="175"/>
      <c r="MMB30" s="175"/>
      <c r="MMC30" s="175"/>
      <c r="MMD30" s="175"/>
      <c r="MME30" s="175"/>
      <c r="MMF30" s="175"/>
      <c r="MMG30" s="175"/>
      <c r="MMH30" s="175"/>
      <c r="MMI30" s="175"/>
      <c r="MMJ30" s="175"/>
      <c r="MMK30" s="175"/>
      <c r="MML30" s="175"/>
      <c r="MMM30" s="175"/>
      <c r="MMN30" s="175"/>
      <c r="MMO30" s="175"/>
      <c r="MMP30" s="175"/>
      <c r="MMQ30" s="175"/>
      <c r="MMR30" s="175"/>
      <c r="MMS30" s="175"/>
      <c r="MMT30" s="175"/>
      <c r="MMU30" s="175"/>
      <c r="MMV30" s="175"/>
      <c r="MMW30" s="175"/>
      <c r="MMX30" s="175"/>
      <c r="MMY30" s="175"/>
      <c r="MMZ30" s="175"/>
      <c r="MNA30" s="175"/>
      <c r="MNB30" s="175"/>
      <c r="MNC30" s="175"/>
      <c r="MND30" s="175"/>
      <c r="MNE30" s="175"/>
      <c r="MNF30" s="175"/>
      <c r="MNG30" s="175"/>
      <c r="MNH30" s="175"/>
      <c r="MNI30" s="175"/>
      <c r="MNJ30" s="175"/>
      <c r="MNK30" s="175"/>
      <c r="MNL30" s="175"/>
      <c r="MNM30" s="175"/>
      <c r="MNN30" s="175"/>
      <c r="MNO30" s="175"/>
      <c r="MNP30" s="175"/>
      <c r="MNQ30" s="175"/>
      <c r="MNR30" s="175"/>
      <c r="MNS30" s="175"/>
      <c r="MNT30" s="175"/>
      <c r="MNU30" s="175"/>
      <c r="MNV30" s="175"/>
      <c r="MNW30" s="175"/>
      <c r="MNX30" s="175"/>
      <c r="MNY30" s="175"/>
      <c r="MNZ30" s="175"/>
      <c r="MOA30" s="175"/>
      <c r="MOB30" s="175"/>
      <c r="MOC30" s="175"/>
      <c r="MOD30" s="175"/>
      <c r="MOE30" s="175"/>
      <c r="MOF30" s="175"/>
      <c r="MOG30" s="175"/>
      <c r="MOH30" s="175"/>
      <c r="MOI30" s="175"/>
      <c r="MOJ30" s="175"/>
      <c r="MOK30" s="175"/>
      <c r="MOL30" s="175"/>
      <c r="MOM30" s="175"/>
      <c r="MON30" s="175"/>
      <c r="MOO30" s="175"/>
      <c r="MOP30" s="175"/>
      <c r="MOQ30" s="175"/>
      <c r="MOR30" s="175"/>
      <c r="MOS30" s="175"/>
      <c r="MOT30" s="175"/>
      <c r="MOU30" s="175"/>
      <c r="MOV30" s="175"/>
      <c r="MOW30" s="175"/>
      <c r="MOX30" s="175"/>
      <c r="MOY30" s="175"/>
      <c r="MOZ30" s="175"/>
      <c r="MPA30" s="175"/>
      <c r="MPB30" s="175"/>
      <c r="MPC30" s="175"/>
      <c r="MPD30" s="175"/>
      <c r="MPE30" s="175"/>
      <c r="MPF30" s="175"/>
      <c r="MPG30" s="175"/>
      <c r="MPH30" s="175"/>
      <c r="MPI30" s="175"/>
      <c r="MPJ30" s="175"/>
      <c r="MPK30" s="175"/>
      <c r="MPL30" s="175"/>
      <c r="MPM30" s="175"/>
      <c r="MPN30" s="175"/>
      <c r="MPO30" s="175"/>
      <c r="MPP30" s="175"/>
      <c r="MPQ30" s="175"/>
      <c r="MPR30" s="175"/>
      <c r="MPS30" s="175"/>
      <c r="MPT30" s="175"/>
      <c r="MPU30" s="175"/>
      <c r="MPV30" s="175"/>
      <c r="MPW30" s="175"/>
      <c r="MPX30" s="175"/>
      <c r="MPY30" s="175"/>
      <c r="MPZ30" s="175"/>
      <c r="MQA30" s="175"/>
      <c r="MQB30" s="175"/>
      <c r="MQC30" s="175"/>
      <c r="MQD30" s="175"/>
      <c r="MQE30" s="175"/>
      <c r="MQF30" s="175"/>
      <c r="MQG30" s="175"/>
      <c r="MQH30" s="175"/>
      <c r="MQI30" s="175"/>
      <c r="MQJ30" s="175"/>
      <c r="MQK30" s="175"/>
      <c r="MQL30" s="175"/>
      <c r="MQM30" s="175"/>
      <c r="MQN30" s="175"/>
      <c r="MQO30" s="175"/>
      <c r="MQP30" s="175"/>
      <c r="MQQ30" s="175"/>
      <c r="MQR30" s="175"/>
      <c r="MQS30" s="175"/>
      <c r="MQT30" s="175"/>
      <c r="MQU30" s="175"/>
      <c r="MQV30" s="175"/>
      <c r="MQW30" s="175"/>
      <c r="MQX30" s="175"/>
      <c r="MQY30" s="175"/>
      <c r="MQZ30" s="175"/>
      <c r="MRA30" s="175"/>
      <c r="MRB30" s="175"/>
      <c r="MRC30" s="175"/>
      <c r="MRD30" s="175"/>
      <c r="MRE30" s="175"/>
      <c r="MRF30" s="175"/>
      <c r="MRG30" s="175"/>
      <c r="MRH30" s="175"/>
      <c r="MRI30" s="175"/>
      <c r="MRJ30" s="175"/>
      <c r="MRK30" s="175"/>
      <c r="MRL30" s="175"/>
      <c r="MRM30" s="175"/>
      <c r="MRN30" s="175"/>
      <c r="MRO30" s="175"/>
      <c r="MRP30" s="175"/>
      <c r="MRQ30" s="175"/>
      <c r="MRR30" s="175"/>
      <c r="MRS30" s="175"/>
      <c r="MRT30" s="175"/>
      <c r="MRU30" s="175"/>
      <c r="MRV30" s="175"/>
      <c r="MRW30" s="175"/>
      <c r="MRX30" s="175"/>
      <c r="MRY30" s="175"/>
      <c r="MRZ30" s="175"/>
      <c r="MSA30" s="175"/>
      <c r="MSB30" s="175"/>
      <c r="MSC30" s="175"/>
      <c r="MSD30" s="175"/>
      <c r="MSE30" s="175"/>
      <c r="MSF30" s="175"/>
      <c r="MSG30" s="175"/>
      <c r="MSH30" s="175"/>
      <c r="MSI30" s="175"/>
      <c r="MSJ30" s="175"/>
      <c r="MSK30" s="175"/>
      <c r="MSL30" s="175"/>
      <c r="MSM30" s="175"/>
      <c r="MSN30" s="175"/>
      <c r="MSO30" s="175"/>
      <c r="MSP30" s="175"/>
      <c r="MSQ30" s="175"/>
      <c r="MSR30" s="175"/>
      <c r="MSS30" s="175"/>
      <c r="MST30" s="175"/>
      <c r="MSU30" s="175"/>
      <c r="MSV30" s="175"/>
      <c r="MSW30" s="175"/>
      <c r="MSX30" s="175"/>
      <c r="MSY30" s="175"/>
      <c r="MSZ30" s="175"/>
      <c r="MTA30" s="175"/>
      <c r="MTB30" s="175"/>
      <c r="MTC30" s="175"/>
      <c r="MTD30" s="175"/>
      <c r="MTE30" s="175"/>
      <c r="MTF30" s="175"/>
      <c r="MTG30" s="175"/>
      <c r="MTH30" s="175"/>
      <c r="MTI30" s="175"/>
      <c r="MTJ30" s="175"/>
      <c r="MTK30" s="175"/>
      <c r="MTL30" s="175"/>
      <c r="MTM30" s="175"/>
      <c r="MTN30" s="175"/>
      <c r="MTO30" s="175"/>
      <c r="MTP30" s="175"/>
      <c r="MTQ30" s="175"/>
      <c r="MTR30" s="175"/>
      <c r="MTS30" s="175"/>
      <c r="MTT30" s="175"/>
      <c r="MTU30" s="175"/>
      <c r="MTV30" s="175"/>
      <c r="MTW30" s="175"/>
      <c r="MTX30" s="175"/>
      <c r="MTY30" s="175"/>
      <c r="MTZ30" s="175"/>
      <c r="MUA30" s="175"/>
      <c r="MUB30" s="175"/>
      <c r="MUC30" s="175"/>
      <c r="MUD30" s="175"/>
      <c r="MUE30" s="175"/>
      <c r="MUF30" s="175"/>
      <c r="MUG30" s="175"/>
      <c r="MUH30" s="175"/>
      <c r="MUI30" s="175"/>
      <c r="MUJ30" s="175"/>
      <c r="MUK30" s="175"/>
      <c r="MUL30" s="175"/>
      <c r="MUM30" s="175"/>
      <c r="MUN30" s="175"/>
      <c r="MUO30" s="175"/>
      <c r="MUP30" s="175"/>
      <c r="MUQ30" s="175"/>
      <c r="MUR30" s="175"/>
      <c r="MUS30" s="175"/>
      <c r="MUT30" s="175"/>
      <c r="MUU30" s="175"/>
      <c r="MUV30" s="175"/>
      <c r="MUW30" s="175"/>
      <c r="MUX30" s="175"/>
      <c r="MUY30" s="175"/>
      <c r="MUZ30" s="175"/>
      <c r="MVA30" s="175"/>
      <c r="MVB30" s="175"/>
      <c r="MVC30" s="175"/>
      <c r="MVD30" s="175"/>
      <c r="MVE30" s="175"/>
      <c r="MVF30" s="175"/>
      <c r="MVG30" s="175"/>
      <c r="MVH30" s="175"/>
      <c r="MVI30" s="175"/>
      <c r="MVJ30" s="175"/>
      <c r="MVK30" s="175"/>
      <c r="MVL30" s="175"/>
      <c r="MVM30" s="175"/>
      <c r="MVN30" s="175"/>
      <c r="MVO30" s="175"/>
      <c r="MVP30" s="175"/>
      <c r="MVQ30" s="175"/>
      <c r="MVR30" s="175"/>
      <c r="MVS30" s="175"/>
      <c r="MVT30" s="175"/>
      <c r="MVU30" s="175"/>
      <c r="MVV30" s="175"/>
      <c r="MVW30" s="175"/>
      <c r="MVX30" s="175"/>
      <c r="MVY30" s="175"/>
      <c r="MVZ30" s="175"/>
      <c r="MWA30" s="175"/>
      <c r="MWB30" s="175"/>
      <c r="MWC30" s="175"/>
      <c r="MWD30" s="175"/>
      <c r="MWE30" s="175"/>
      <c r="MWF30" s="175"/>
      <c r="MWG30" s="175"/>
      <c r="MWH30" s="175"/>
      <c r="MWI30" s="175"/>
      <c r="MWJ30" s="175"/>
      <c r="MWK30" s="175"/>
      <c r="MWL30" s="175"/>
      <c r="MWM30" s="175"/>
      <c r="MWN30" s="175"/>
      <c r="MWO30" s="175"/>
      <c r="MWP30" s="175"/>
      <c r="MWQ30" s="175"/>
      <c r="MWR30" s="175"/>
      <c r="MWS30" s="175"/>
      <c r="MWT30" s="175"/>
      <c r="MWU30" s="175"/>
      <c r="MWV30" s="175"/>
      <c r="MWW30" s="175"/>
      <c r="MWX30" s="175"/>
      <c r="MWY30" s="175"/>
      <c r="MWZ30" s="175"/>
      <c r="MXA30" s="175"/>
      <c r="MXB30" s="175"/>
      <c r="MXC30" s="175"/>
      <c r="MXD30" s="175"/>
      <c r="MXE30" s="175"/>
      <c r="MXF30" s="175"/>
      <c r="MXG30" s="175"/>
      <c r="MXH30" s="175"/>
      <c r="MXI30" s="175"/>
      <c r="MXJ30" s="175"/>
      <c r="MXK30" s="175"/>
      <c r="MXL30" s="175"/>
      <c r="MXM30" s="175"/>
      <c r="MXN30" s="175"/>
      <c r="MXO30" s="175"/>
      <c r="MXP30" s="175"/>
      <c r="MXQ30" s="175"/>
      <c r="MXR30" s="175"/>
      <c r="MXS30" s="175"/>
      <c r="MXT30" s="175"/>
      <c r="MXU30" s="175"/>
      <c r="MXV30" s="175"/>
      <c r="MXW30" s="175"/>
      <c r="MXX30" s="175"/>
      <c r="MXY30" s="175"/>
      <c r="MXZ30" s="175"/>
      <c r="MYA30" s="175"/>
      <c r="MYB30" s="175"/>
      <c r="MYC30" s="175"/>
      <c r="MYD30" s="175"/>
      <c r="MYE30" s="175"/>
      <c r="MYF30" s="175"/>
      <c r="MYG30" s="175"/>
      <c r="MYH30" s="175"/>
      <c r="MYI30" s="175"/>
      <c r="MYJ30" s="175"/>
      <c r="MYK30" s="175"/>
      <c r="MYL30" s="175"/>
      <c r="MYM30" s="175"/>
      <c r="MYN30" s="175"/>
      <c r="MYO30" s="175"/>
      <c r="MYP30" s="175"/>
      <c r="MYQ30" s="175"/>
      <c r="MYR30" s="175"/>
      <c r="MYS30" s="175"/>
      <c r="MYT30" s="175"/>
      <c r="MYU30" s="175"/>
      <c r="MYV30" s="175"/>
      <c r="MYW30" s="175"/>
      <c r="MYX30" s="175"/>
      <c r="MYY30" s="175"/>
      <c r="MYZ30" s="175"/>
      <c r="MZA30" s="175"/>
      <c r="MZB30" s="175"/>
      <c r="MZC30" s="175"/>
      <c r="MZD30" s="175"/>
      <c r="MZE30" s="175"/>
      <c r="MZF30" s="175"/>
      <c r="MZG30" s="175"/>
      <c r="MZH30" s="175"/>
      <c r="MZI30" s="175"/>
      <c r="MZJ30" s="175"/>
      <c r="MZK30" s="175"/>
      <c r="MZL30" s="175"/>
      <c r="MZM30" s="175"/>
      <c r="MZN30" s="175"/>
      <c r="MZO30" s="175"/>
      <c r="MZP30" s="175"/>
      <c r="MZQ30" s="175"/>
      <c r="MZR30" s="175"/>
      <c r="MZS30" s="175"/>
      <c r="MZT30" s="175"/>
      <c r="MZU30" s="175"/>
      <c r="MZV30" s="175"/>
      <c r="MZW30" s="175"/>
      <c r="MZX30" s="175"/>
      <c r="MZY30" s="175"/>
      <c r="MZZ30" s="175"/>
      <c r="NAA30" s="175"/>
      <c r="NAB30" s="175"/>
      <c r="NAC30" s="175"/>
      <c r="NAD30" s="175"/>
      <c r="NAE30" s="175"/>
      <c r="NAF30" s="175"/>
      <c r="NAG30" s="175"/>
      <c r="NAH30" s="175"/>
      <c r="NAI30" s="175"/>
      <c r="NAJ30" s="175"/>
      <c r="NAK30" s="175"/>
      <c r="NAL30" s="175"/>
      <c r="NAM30" s="175"/>
      <c r="NAN30" s="175"/>
      <c r="NAO30" s="175"/>
      <c r="NAP30" s="175"/>
      <c r="NAQ30" s="175"/>
      <c r="NAR30" s="175"/>
      <c r="NAS30" s="175"/>
      <c r="NAT30" s="175"/>
      <c r="NAU30" s="175"/>
      <c r="NAV30" s="175"/>
      <c r="NAW30" s="175"/>
      <c r="NAX30" s="175"/>
      <c r="NAY30" s="175"/>
      <c r="NAZ30" s="175"/>
      <c r="NBA30" s="175"/>
      <c r="NBB30" s="175"/>
      <c r="NBC30" s="175"/>
      <c r="NBD30" s="175"/>
      <c r="NBE30" s="175"/>
      <c r="NBF30" s="175"/>
      <c r="NBG30" s="175"/>
      <c r="NBH30" s="175"/>
      <c r="NBI30" s="175"/>
      <c r="NBJ30" s="175"/>
      <c r="NBK30" s="175"/>
      <c r="NBL30" s="175"/>
      <c r="NBM30" s="175"/>
      <c r="NBN30" s="175"/>
      <c r="NBO30" s="175"/>
      <c r="NBP30" s="175"/>
      <c r="NBQ30" s="175"/>
      <c r="NBR30" s="175"/>
      <c r="NBS30" s="175"/>
      <c r="NBT30" s="175"/>
      <c r="NBU30" s="175"/>
      <c r="NBV30" s="175"/>
      <c r="NBW30" s="175"/>
      <c r="NBX30" s="175"/>
      <c r="NBY30" s="175"/>
      <c r="NBZ30" s="175"/>
      <c r="NCA30" s="175"/>
      <c r="NCB30" s="175"/>
      <c r="NCC30" s="175"/>
      <c r="NCD30" s="175"/>
      <c r="NCE30" s="175"/>
      <c r="NCF30" s="175"/>
      <c r="NCG30" s="175"/>
      <c r="NCH30" s="175"/>
      <c r="NCI30" s="175"/>
      <c r="NCJ30" s="175"/>
      <c r="NCK30" s="175"/>
      <c r="NCL30" s="175"/>
      <c r="NCM30" s="175"/>
      <c r="NCN30" s="175"/>
      <c r="NCO30" s="175"/>
      <c r="NCP30" s="175"/>
      <c r="NCQ30" s="175"/>
      <c r="NCR30" s="175"/>
      <c r="NCS30" s="175"/>
      <c r="NCT30" s="175"/>
      <c r="NCU30" s="175"/>
      <c r="NCV30" s="175"/>
      <c r="NCW30" s="175"/>
      <c r="NCX30" s="175"/>
      <c r="NCY30" s="175"/>
      <c r="NCZ30" s="175"/>
      <c r="NDA30" s="175"/>
      <c r="NDB30" s="175"/>
      <c r="NDC30" s="175"/>
      <c r="NDD30" s="175"/>
      <c r="NDE30" s="175"/>
      <c r="NDF30" s="175"/>
      <c r="NDG30" s="175"/>
      <c r="NDH30" s="175"/>
      <c r="NDI30" s="175"/>
      <c r="NDJ30" s="175"/>
      <c r="NDK30" s="175"/>
      <c r="NDL30" s="175"/>
      <c r="NDM30" s="175"/>
      <c r="NDN30" s="175"/>
      <c r="NDO30" s="175"/>
      <c r="NDP30" s="175"/>
      <c r="NDQ30" s="175"/>
      <c r="NDR30" s="175"/>
      <c r="NDS30" s="175"/>
      <c r="NDT30" s="175"/>
      <c r="NDU30" s="175"/>
      <c r="NDV30" s="175"/>
      <c r="NDW30" s="175"/>
      <c r="NDX30" s="175"/>
      <c r="NDY30" s="175"/>
      <c r="NDZ30" s="175"/>
      <c r="NEA30" s="175"/>
      <c r="NEB30" s="175"/>
      <c r="NEC30" s="175"/>
      <c r="NED30" s="175"/>
      <c r="NEE30" s="175"/>
      <c r="NEF30" s="175"/>
      <c r="NEG30" s="175"/>
      <c r="NEH30" s="175"/>
      <c r="NEI30" s="175"/>
      <c r="NEJ30" s="175"/>
      <c r="NEK30" s="175"/>
      <c r="NEL30" s="175"/>
      <c r="NEM30" s="175"/>
      <c r="NEN30" s="175"/>
      <c r="NEO30" s="175"/>
      <c r="NEP30" s="175"/>
      <c r="NEQ30" s="175"/>
      <c r="NER30" s="175"/>
      <c r="NES30" s="175"/>
      <c r="NET30" s="175"/>
      <c r="NEU30" s="175"/>
      <c r="NEV30" s="175"/>
      <c r="NEW30" s="175"/>
      <c r="NEX30" s="175"/>
      <c r="NEY30" s="175"/>
      <c r="NEZ30" s="175"/>
      <c r="NFA30" s="175"/>
      <c r="NFB30" s="175"/>
      <c r="NFC30" s="175"/>
      <c r="NFD30" s="175"/>
      <c r="NFE30" s="175"/>
      <c r="NFF30" s="175"/>
      <c r="NFG30" s="175"/>
      <c r="NFH30" s="175"/>
      <c r="NFI30" s="175"/>
      <c r="NFJ30" s="175"/>
      <c r="NFK30" s="175"/>
      <c r="NFL30" s="175"/>
      <c r="NFM30" s="175"/>
      <c r="NFN30" s="175"/>
      <c r="NFO30" s="175"/>
      <c r="NFP30" s="175"/>
      <c r="NFQ30" s="175"/>
      <c r="NFR30" s="175"/>
      <c r="NFS30" s="175"/>
      <c r="NFT30" s="175"/>
      <c r="NFU30" s="175"/>
      <c r="NFV30" s="175"/>
      <c r="NFW30" s="175"/>
      <c r="NFX30" s="175"/>
      <c r="NFY30" s="175"/>
      <c r="NFZ30" s="175"/>
      <c r="NGA30" s="175"/>
      <c r="NGB30" s="175"/>
      <c r="NGC30" s="175"/>
      <c r="NGD30" s="175"/>
      <c r="NGE30" s="175"/>
      <c r="NGF30" s="175"/>
      <c r="NGG30" s="175"/>
      <c r="NGH30" s="175"/>
      <c r="NGI30" s="175"/>
      <c r="NGJ30" s="175"/>
      <c r="NGK30" s="175"/>
      <c r="NGL30" s="175"/>
      <c r="NGM30" s="175"/>
      <c r="NGN30" s="175"/>
      <c r="NGO30" s="175"/>
      <c r="NGP30" s="175"/>
      <c r="NGQ30" s="175"/>
      <c r="NGR30" s="175"/>
      <c r="NGS30" s="175"/>
      <c r="NGT30" s="175"/>
      <c r="NGU30" s="175"/>
      <c r="NGV30" s="175"/>
      <c r="NGW30" s="175"/>
      <c r="NGX30" s="175"/>
      <c r="NGY30" s="175"/>
      <c r="NGZ30" s="175"/>
      <c r="NHA30" s="175"/>
      <c r="NHB30" s="175"/>
      <c r="NHC30" s="175"/>
      <c r="NHD30" s="175"/>
      <c r="NHE30" s="175"/>
      <c r="NHF30" s="175"/>
      <c r="NHG30" s="175"/>
      <c r="NHH30" s="175"/>
      <c r="NHI30" s="175"/>
      <c r="NHJ30" s="175"/>
      <c r="NHK30" s="175"/>
      <c r="NHL30" s="175"/>
      <c r="NHM30" s="175"/>
      <c r="NHN30" s="175"/>
      <c r="NHO30" s="175"/>
      <c r="NHP30" s="175"/>
      <c r="NHQ30" s="175"/>
      <c r="NHR30" s="175"/>
      <c r="NHS30" s="175"/>
      <c r="NHT30" s="175"/>
      <c r="NHU30" s="175"/>
      <c r="NHV30" s="175"/>
      <c r="NHW30" s="175"/>
      <c r="NHX30" s="175"/>
      <c r="NHY30" s="175"/>
      <c r="NHZ30" s="175"/>
      <c r="NIA30" s="175"/>
      <c r="NIB30" s="175"/>
      <c r="NIC30" s="175"/>
      <c r="NID30" s="175"/>
      <c r="NIE30" s="175"/>
      <c r="NIF30" s="175"/>
      <c r="NIG30" s="175"/>
      <c r="NIH30" s="175"/>
      <c r="NII30" s="175"/>
      <c r="NIJ30" s="175"/>
      <c r="NIK30" s="175"/>
      <c r="NIL30" s="175"/>
      <c r="NIM30" s="175"/>
      <c r="NIN30" s="175"/>
      <c r="NIO30" s="175"/>
      <c r="NIP30" s="175"/>
      <c r="NIQ30" s="175"/>
      <c r="NIR30" s="175"/>
      <c r="NIS30" s="175"/>
      <c r="NIT30" s="175"/>
      <c r="NIU30" s="175"/>
      <c r="NIV30" s="175"/>
      <c r="NIW30" s="175"/>
      <c r="NIX30" s="175"/>
      <c r="NIY30" s="175"/>
      <c r="NIZ30" s="175"/>
      <c r="NJA30" s="175"/>
      <c r="NJB30" s="175"/>
      <c r="NJC30" s="175"/>
      <c r="NJD30" s="175"/>
      <c r="NJE30" s="175"/>
      <c r="NJF30" s="175"/>
      <c r="NJG30" s="175"/>
      <c r="NJH30" s="175"/>
      <c r="NJI30" s="175"/>
      <c r="NJJ30" s="175"/>
      <c r="NJK30" s="175"/>
      <c r="NJL30" s="175"/>
      <c r="NJM30" s="175"/>
      <c r="NJN30" s="175"/>
      <c r="NJO30" s="175"/>
      <c r="NJP30" s="175"/>
      <c r="NJQ30" s="175"/>
      <c r="NJR30" s="175"/>
      <c r="NJS30" s="175"/>
      <c r="NJT30" s="175"/>
      <c r="NJU30" s="175"/>
      <c r="NJV30" s="175"/>
      <c r="NJW30" s="175"/>
      <c r="NJX30" s="175"/>
      <c r="NJY30" s="175"/>
      <c r="NJZ30" s="175"/>
      <c r="NKA30" s="175"/>
      <c r="NKB30" s="175"/>
      <c r="NKC30" s="175"/>
      <c r="NKD30" s="175"/>
      <c r="NKE30" s="175"/>
      <c r="NKF30" s="175"/>
      <c r="NKG30" s="175"/>
      <c r="NKH30" s="175"/>
      <c r="NKI30" s="175"/>
      <c r="NKJ30" s="175"/>
      <c r="NKK30" s="175"/>
      <c r="NKL30" s="175"/>
      <c r="NKM30" s="175"/>
      <c r="NKN30" s="175"/>
      <c r="NKO30" s="175"/>
      <c r="NKP30" s="175"/>
      <c r="NKQ30" s="175"/>
      <c r="NKR30" s="175"/>
      <c r="NKS30" s="175"/>
      <c r="NKT30" s="175"/>
      <c r="NKU30" s="175"/>
      <c r="NKV30" s="175"/>
      <c r="NKW30" s="175"/>
      <c r="NKX30" s="175"/>
      <c r="NKY30" s="175"/>
      <c r="NKZ30" s="175"/>
      <c r="NLA30" s="175"/>
      <c r="NLB30" s="175"/>
      <c r="NLC30" s="175"/>
      <c r="NLD30" s="175"/>
      <c r="NLE30" s="175"/>
      <c r="NLF30" s="175"/>
      <c r="NLG30" s="175"/>
      <c r="NLH30" s="175"/>
      <c r="NLI30" s="175"/>
      <c r="NLJ30" s="175"/>
      <c r="NLK30" s="175"/>
      <c r="NLL30" s="175"/>
      <c r="NLM30" s="175"/>
      <c r="NLN30" s="175"/>
      <c r="NLO30" s="175"/>
      <c r="NLP30" s="175"/>
      <c r="NLQ30" s="175"/>
      <c r="NLR30" s="175"/>
      <c r="NLS30" s="175"/>
      <c r="NLT30" s="175"/>
      <c r="NLU30" s="175"/>
      <c r="NLV30" s="175"/>
      <c r="NLW30" s="175"/>
      <c r="NLX30" s="175"/>
      <c r="NLY30" s="175"/>
      <c r="NLZ30" s="175"/>
      <c r="NMA30" s="175"/>
      <c r="NMB30" s="175"/>
      <c r="NMC30" s="175"/>
      <c r="NMD30" s="175"/>
      <c r="NME30" s="175"/>
      <c r="NMF30" s="175"/>
      <c r="NMG30" s="175"/>
      <c r="NMH30" s="175"/>
      <c r="NMI30" s="175"/>
      <c r="NMJ30" s="175"/>
      <c r="NMK30" s="175"/>
      <c r="NML30" s="175"/>
      <c r="NMM30" s="175"/>
      <c r="NMN30" s="175"/>
      <c r="NMO30" s="175"/>
      <c r="NMP30" s="175"/>
      <c r="NMQ30" s="175"/>
      <c r="NMR30" s="175"/>
      <c r="NMS30" s="175"/>
      <c r="NMT30" s="175"/>
      <c r="NMU30" s="175"/>
      <c r="NMV30" s="175"/>
      <c r="NMW30" s="175"/>
      <c r="NMX30" s="175"/>
      <c r="NMY30" s="175"/>
      <c r="NMZ30" s="175"/>
      <c r="NNA30" s="175"/>
      <c r="NNB30" s="175"/>
      <c r="NNC30" s="175"/>
      <c r="NND30" s="175"/>
      <c r="NNE30" s="175"/>
      <c r="NNF30" s="175"/>
      <c r="NNG30" s="175"/>
      <c r="NNH30" s="175"/>
      <c r="NNI30" s="175"/>
      <c r="NNJ30" s="175"/>
      <c r="NNK30" s="175"/>
      <c r="NNL30" s="175"/>
      <c r="NNM30" s="175"/>
      <c r="NNN30" s="175"/>
      <c r="NNO30" s="175"/>
      <c r="NNP30" s="175"/>
      <c r="NNQ30" s="175"/>
      <c r="NNR30" s="175"/>
      <c r="NNS30" s="175"/>
      <c r="NNT30" s="175"/>
      <c r="NNU30" s="175"/>
      <c r="NNV30" s="175"/>
      <c r="NNW30" s="175"/>
      <c r="NNX30" s="175"/>
      <c r="NNY30" s="175"/>
      <c r="NNZ30" s="175"/>
      <c r="NOA30" s="175"/>
      <c r="NOB30" s="175"/>
      <c r="NOC30" s="175"/>
      <c r="NOD30" s="175"/>
      <c r="NOE30" s="175"/>
      <c r="NOF30" s="175"/>
      <c r="NOG30" s="175"/>
      <c r="NOH30" s="175"/>
      <c r="NOI30" s="175"/>
      <c r="NOJ30" s="175"/>
      <c r="NOK30" s="175"/>
      <c r="NOL30" s="175"/>
      <c r="NOM30" s="175"/>
      <c r="NON30" s="175"/>
      <c r="NOO30" s="175"/>
      <c r="NOP30" s="175"/>
      <c r="NOQ30" s="175"/>
      <c r="NOR30" s="175"/>
      <c r="NOS30" s="175"/>
      <c r="NOT30" s="175"/>
      <c r="NOU30" s="175"/>
      <c r="NOV30" s="175"/>
      <c r="NOW30" s="175"/>
      <c r="NOX30" s="175"/>
      <c r="NOY30" s="175"/>
      <c r="NOZ30" s="175"/>
      <c r="NPA30" s="175"/>
      <c r="NPB30" s="175"/>
      <c r="NPC30" s="175"/>
      <c r="NPD30" s="175"/>
      <c r="NPE30" s="175"/>
      <c r="NPF30" s="175"/>
      <c r="NPG30" s="175"/>
      <c r="NPH30" s="175"/>
      <c r="NPI30" s="175"/>
      <c r="NPJ30" s="175"/>
      <c r="NPK30" s="175"/>
      <c r="NPL30" s="175"/>
      <c r="NPM30" s="175"/>
      <c r="NPN30" s="175"/>
      <c r="NPO30" s="175"/>
      <c r="NPP30" s="175"/>
      <c r="NPQ30" s="175"/>
      <c r="NPR30" s="175"/>
      <c r="NPS30" s="175"/>
      <c r="NPT30" s="175"/>
      <c r="NPU30" s="175"/>
      <c r="NPV30" s="175"/>
      <c r="NPW30" s="175"/>
      <c r="NPX30" s="175"/>
      <c r="NPY30" s="175"/>
      <c r="NPZ30" s="175"/>
      <c r="NQA30" s="175"/>
      <c r="NQB30" s="175"/>
      <c r="NQC30" s="175"/>
      <c r="NQD30" s="175"/>
      <c r="NQE30" s="175"/>
      <c r="NQF30" s="175"/>
      <c r="NQG30" s="175"/>
      <c r="NQH30" s="175"/>
      <c r="NQI30" s="175"/>
      <c r="NQJ30" s="175"/>
      <c r="NQK30" s="175"/>
      <c r="NQL30" s="175"/>
      <c r="NQM30" s="175"/>
      <c r="NQN30" s="175"/>
      <c r="NQO30" s="175"/>
      <c r="NQP30" s="175"/>
      <c r="NQQ30" s="175"/>
      <c r="NQR30" s="175"/>
      <c r="NQS30" s="175"/>
      <c r="NQT30" s="175"/>
      <c r="NQU30" s="175"/>
      <c r="NQV30" s="175"/>
      <c r="NQW30" s="175"/>
      <c r="NQX30" s="175"/>
      <c r="NQY30" s="175"/>
      <c r="NQZ30" s="175"/>
      <c r="NRA30" s="175"/>
      <c r="NRB30" s="175"/>
      <c r="NRC30" s="175"/>
      <c r="NRD30" s="175"/>
      <c r="NRE30" s="175"/>
      <c r="NRF30" s="175"/>
      <c r="NRG30" s="175"/>
      <c r="NRH30" s="175"/>
      <c r="NRI30" s="175"/>
      <c r="NRJ30" s="175"/>
      <c r="NRK30" s="175"/>
      <c r="NRL30" s="175"/>
      <c r="NRM30" s="175"/>
      <c r="NRN30" s="175"/>
      <c r="NRO30" s="175"/>
      <c r="NRP30" s="175"/>
      <c r="NRQ30" s="175"/>
      <c r="NRR30" s="175"/>
      <c r="NRS30" s="175"/>
      <c r="NRT30" s="175"/>
      <c r="NRU30" s="175"/>
      <c r="NRV30" s="175"/>
      <c r="NRW30" s="175"/>
      <c r="NRX30" s="175"/>
      <c r="NRY30" s="175"/>
      <c r="NRZ30" s="175"/>
      <c r="NSA30" s="175"/>
      <c r="NSB30" s="175"/>
      <c r="NSC30" s="175"/>
      <c r="NSD30" s="175"/>
      <c r="NSE30" s="175"/>
      <c r="NSF30" s="175"/>
      <c r="NSG30" s="175"/>
      <c r="NSH30" s="175"/>
      <c r="NSI30" s="175"/>
      <c r="NSJ30" s="175"/>
      <c r="NSK30" s="175"/>
      <c r="NSL30" s="175"/>
      <c r="NSM30" s="175"/>
      <c r="NSN30" s="175"/>
      <c r="NSO30" s="175"/>
      <c r="NSP30" s="175"/>
      <c r="NSQ30" s="175"/>
      <c r="NSR30" s="175"/>
      <c r="NSS30" s="175"/>
      <c r="NST30" s="175"/>
      <c r="NSU30" s="175"/>
      <c r="NSV30" s="175"/>
      <c r="NSW30" s="175"/>
      <c r="NSX30" s="175"/>
      <c r="NSY30" s="175"/>
      <c r="NSZ30" s="175"/>
      <c r="NTA30" s="175"/>
      <c r="NTB30" s="175"/>
      <c r="NTC30" s="175"/>
      <c r="NTD30" s="175"/>
      <c r="NTE30" s="175"/>
      <c r="NTF30" s="175"/>
      <c r="NTG30" s="175"/>
      <c r="NTH30" s="175"/>
      <c r="NTI30" s="175"/>
      <c r="NTJ30" s="175"/>
      <c r="NTK30" s="175"/>
      <c r="NTL30" s="175"/>
      <c r="NTM30" s="175"/>
      <c r="NTN30" s="175"/>
      <c r="NTO30" s="175"/>
      <c r="NTP30" s="175"/>
      <c r="NTQ30" s="175"/>
      <c r="NTR30" s="175"/>
      <c r="NTS30" s="175"/>
      <c r="NTT30" s="175"/>
      <c r="NTU30" s="175"/>
      <c r="NTV30" s="175"/>
      <c r="NTW30" s="175"/>
      <c r="NTX30" s="175"/>
      <c r="NTY30" s="175"/>
      <c r="NTZ30" s="175"/>
      <c r="NUA30" s="175"/>
      <c r="NUB30" s="175"/>
      <c r="NUC30" s="175"/>
      <c r="NUD30" s="175"/>
      <c r="NUE30" s="175"/>
      <c r="NUF30" s="175"/>
      <c r="NUG30" s="175"/>
      <c r="NUH30" s="175"/>
      <c r="NUI30" s="175"/>
      <c r="NUJ30" s="175"/>
      <c r="NUK30" s="175"/>
      <c r="NUL30" s="175"/>
      <c r="NUM30" s="175"/>
      <c r="NUN30" s="175"/>
      <c r="NUO30" s="175"/>
      <c r="NUP30" s="175"/>
      <c r="NUQ30" s="175"/>
      <c r="NUR30" s="175"/>
      <c r="NUS30" s="175"/>
      <c r="NUT30" s="175"/>
      <c r="NUU30" s="175"/>
      <c r="NUV30" s="175"/>
      <c r="NUW30" s="175"/>
      <c r="NUX30" s="175"/>
      <c r="NUY30" s="175"/>
      <c r="NUZ30" s="175"/>
      <c r="NVA30" s="175"/>
      <c r="NVB30" s="175"/>
      <c r="NVC30" s="175"/>
      <c r="NVD30" s="175"/>
      <c r="NVE30" s="175"/>
      <c r="NVF30" s="175"/>
      <c r="NVG30" s="175"/>
      <c r="NVH30" s="175"/>
      <c r="NVI30" s="175"/>
      <c r="NVJ30" s="175"/>
      <c r="NVK30" s="175"/>
      <c r="NVL30" s="175"/>
      <c r="NVM30" s="175"/>
      <c r="NVN30" s="175"/>
      <c r="NVO30" s="175"/>
      <c r="NVP30" s="175"/>
      <c r="NVQ30" s="175"/>
      <c r="NVR30" s="175"/>
      <c r="NVS30" s="175"/>
      <c r="NVT30" s="175"/>
      <c r="NVU30" s="175"/>
      <c r="NVV30" s="175"/>
      <c r="NVW30" s="175"/>
      <c r="NVX30" s="175"/>
      <c r="NVY30" s="175"/>
      <c r="NVZ30" s="175"/>
      <c r="NWA30" s="175"/>
      <c r="NWB30" s="175"/>
      <c r="NWC30" s="175"/>
      <c r="NWD30" s="175"/>
      <c r="NWE30" s="175"/>
      <c r="NWF30" s="175"/>
      <c r="NWG30" s="175"/>
      <c r="NWH30" s="175"/>
      <c r="NWI30" s="175"/>
      <c r="NWJ30" s="175"/>
      <c r="NWK30" s="175"/>
      <c r="NWL30" s="175"/>
      <c r="NWM30" s="175"/>
      <c r="NWN30" s="175"/>
      <c r="NWO30" s="175"/>
      <c r="NWP30" s="175"/>
      <c r="NWQ30" s="175"/>
      <c r="NWR30" s="175"/>
      <c r="NWS30" s="175"/>
      <c r="NWT30" s="175"/>
      <c r="NWU30" s="175"/>
      <c r="NWV30" s="175"/>
      <c r="NWW30" s="175"/>
      <c r="NWX30" s="175"/>
      <c r="NWY30" s="175"/>
      <c r="NWZ30" s="175"/>
      <c r="NXA30" s="175"/>
      <c r="NXB30" s="175"/>
      <c r="NXC30" s="175"/>
      <c r="NXD30" s="175"/>
      <c r="NXE30" s="175"/>
      <c r="NXF30" s="175"/>
      <c r="NXG30" s="175"/>
      <c r="NXH30" s="175"/>
      <c r="NXI30" s="175"/>
      <c r="NXJ30" s="175"/>
      <c r="NXK30" s="175"/>
      <c r="NXL30" s="175"/>
      <c r="NXM30" s="175"/>
      <c r="NXN30" s="175"/>
      <c r="NXO30" s="175"/>
      <c r="NXP30" s="175"/>
      <c r="NXQ30" s="175"/>
      <c r="NXR30" s="175"/>
      <c r="NXS30" s="175"/>
      <c r="NXT30" s="175"/>
      <c r="NXU30" s="175"/>
      <c r="NXV30" s="175"/>
      <c r="NXW30" s="175"/>
      <c r="NXX30" s="175"/>
      <c r="NXY30" s="175"/>
      <c r="NXZ30" s="175"/>
      <c r="NYA30" s="175"/>
      <c r="NYB30" s="175"/>
      <c r="NYC30" s="175"/>
      <c r="NYD30" s="175"/>
      <c r="NYE30" s="175"/>
      <c r="NYF30" s="175"/>
      <c r="NYG30" s="175"/>
      <c r="NYH30" s="175"/>
      <c r="NYI30" s="175"/>
      <c r="NYJ30" s="175"/>
      <c r="NYK30" s="175"/>
      <c r="NYL30" s="175"/>
      <c r="NYM30" s="175"/>
      <c r="NYN30" s="175"/>
      <c r="NYO30" s="175"/>
      <c r="NYP30" s="175"/>
      <c r="NYQ30" s="175"/>
      <c r="NYR30" s="175"/>
      <c r="NYS30" s="175"/>
      <c r="NYT30" s="175"/>
      <c r="NYU30" s="175"/>
      <c r="NYV30" s="175"/>
      <c r="NYW30" s="175"/>
      <c r="NYX30" s="175"/>
      <c r="NYY30" s="175"/>
      <c r="NYZ30" s="175"/>
      <c r="NZA30" s="175"/>
      <c r="NZB30" s="175"/>
      <c r="NZC30" s="175"/>
      <c r="NZD30" s="175"/>
      <c r="NZE30" s="175"/>
      <c r="NZF30" s="175"/>
      <c r="NZG30" s="175"/>
      <c r="NZH30" s="175"/>
      <c r="NZI30" s="175"/>
      <c r="NZJ30" s="175"/>
      <c r="NZK30" s="175"/>
      <c r="NZL30" s="175"/>
      <c r="NZM30" s="175"/>
      <c r="NZN30" s="175"/>
      <c r="NZO30" s="175"/>
      <c r="NZP30" s="175"/>
      <c r="NZQ30" s="175"/>
      <c r="NZR30" s="175"/>
      <c r="NZS30" s="175"/>
      <c r="NZT30" s="175"/>
      <c r="NZU30" s="175"/>
      <c r="NZV30" s="175"/>
      <c r="NZW30" s="175"/>
      <c r="NZX30" s="175"/>
      <c r="NZY30" s="175"/>
      <c r="NZZ30" s="175"/>
      <c r="OAA30" s="175"/>
      <c r="OAB30" s="175"/>
      <c r="OAC30" s="175"/>
      <c r="OAD30" s="175"/>
      <c r="OAE30" s="175"/>
      <c r="OAF30" s="175"/>
      <c r="OAG30" s="175"/>
      <c r="OAH30" s="175"/>
      <c r="OAI30" s="175"/>
      <c r="OAJ30" s="175"/>
      <c r="OAK30" s="175"/>
      <c r="OAL30" s="175"/>
      <c r="OAM30" s="175"/>
      <c r="OAN30" s="175"/>
      <c r="OAO30" s="175"/>
      <c r="OAP30" s="175"/>
      <c r="OAQ30" s="175"/>
      <c r="OAR30" s="175"/>
      <c r="OAS30" s="175"/>
      <c r="OAT30" s="175"/>
      <c r="OAU30" s="175"/>
      <c r="OAV30" s="175"/>
      <c r="OAW30" s="175"/>
      <c r="OAX30" s="175"/>
      <c r="OAY30" s="175"/>
      <c r="OAZ30" s="175"/>
      <c r="OBA30" s="175"/>
      <c r="OBB30" s="175"/>
      <c r="OBC30" s="175"/>
      <c r="OBD30" s="175"/>
      <c r="OBE30" s="175"/>
      <c r="OBF30" s="175"/>
      <c r="OBG30" s="175"/>
      <c r="OBH30" s="175"/>
      <c r="OBI30" s="175"/>
      <c r="OBJ30" s="175"/>
      <c r="OBK30" s="175"/>
      <c r="OBL30" s="175"/>
      <c r="OBM30" s="175"/>
      <c r="OBN30" s="175"/>
      <c r="OBO30" s="175"/>
      <c r="OBP30" s="175"/>
      <c r="OBQ30" s="175"/>
      <c r="OBR30" s="175"/>
      <c r="OBS30" s="175"/>
      <c r="OBT30" s="175"/>
      <c r="OBU30" s="175"/>
      <c r="OBV30" s="175"/>
      <c r="OBW30" s="175"/>
      <c r="OBX30" s="175"/>
      <c r="OBY30" s="175"/>
      <c r="OBZ30" s="175"/>
      <c r="OCA30" s="175"/>
      <c r="OCB30" s="175"/>
      <c r="OCC30" s="175"/>
      <c r="OCD30" s="175"/>
      <c r="OCE30" s="175"/>
      <c r="OCF30" s="175"/>
      <c r="OCG30" s="175"/>
      <c r="OCH30" s="175"/>
      <c r="OCI30" s="175"/>
      <c r="OCJ30" s="175"/>
      <c r="OCK30" s="175"/>
      <c r="OCL30" s="175"/>
      <c r="OCM30" s="175"/>
      <c r="OCN30" s="175"/>
      <c r="OCO30" s="175"/>
      <c r="OCP30" s="175"/>
      <c r="OCQ30" s="175"/>
      <c r="OCR30" s="175"/>
      <c r="OCS30" s="175"/>
      <c r="OCT30" s="175"/>
      <c r="OCU30" s="175"/>
      <c r="OCV30" s="175"/>
      <c r="OCW30" s="175"/>
      <c r="OCX30" s="175"/>
      <c r="OCY30" s="175"/>
      <c r="OCZ30" s="175"/>
      <c r="ODA30" s="175"/>
      <c r="ODB30" s="175"/>
      <c r="ODC30" s="175"/>
      <c r="ODD30" s="175"/>
      <c r="ODE30" s="175"/>
      <c r="ODF30" s="175"/>
      <c r="ODG30" s="175"/>
      <c r="ODH30" s="175"/>
      <c r="ODI30" s="175"/>
      <c r="ODJ30" s="175"/>
      <c r="ODK30" s="175"/>
      <c r="ODL30" s="175"/>
      <c r="ODM30" s="175"/>
      <c r="ODN30" s="175"/>
      <c r="ODO30" s="175"/>
      <c r="ODP30" s="175"/>
      <c r="ODQ30" s="175"/>
      <c r="ODR30" s="175"/>
      <c r="ODS30" s="175"/>
      <c r="ODT30" s="175"/>
      <c r="ODU30" s="175"/>
      <c r="ODV30" s="175"/>
      <c r="ODW30" s="175"/>
      <c r="ODX30" s="175"/>
      <c r="ODY30" s="175"/>
      <c r="ODZ30" s="175"/>
      <c r="OEA30" s="175"/>
      <c r="OEB30" s="175"/>
      <c r="OEC30" s="175"/>
      <c r="OED30" s="175"/>
      <c r="OEE30" s="175"/>
      <c r="OEF30" s="175"/>
      <c r="OEG30" s="175"/>
      <c r="OEH30" s="175"/>
      <c r="OEI30" s="175"/>
      <c r="OEJ30" s="175"/>
      <c r="OEK30" s="175"/>
      <c r="OEL30" s="175"/>
      <c r="OEM30" s="175"/>
      <c r="OEN30" s="175"/>
      <c r="OEO30" s="175"/>
      <c r="OEP30" s="175"/>
      <c r="OEQ30" s="175"/>
      <c r="OER30" s="175"/>
      <c r="OES30" s="175"/>
      <c r="OET30" s="175"/>
      <c r="OEU30" s="175"/>
      <c r="OEV30" s="175"/>
      <c r="OEW30" s="175"/>
      <c r="OEX30" s="175"/>
      <c r="OEY30" s="175"/>
      <c r="OEZ30" s="175"/>
      <c r="OFA30" s="175"/>
      <c r="OFB30" s="175"/>
      <c r="OFC30" s="175"/>
      <c r="OFD30" s="175"/>
      <c r="OFE30" s="175"/>
      <c r="OFF30" s="175"/>
      <c r="OFG30" s="175"/>
      <c r="OFH30" s="175"/>
      <c r="OFI30" s="175"/>
      <c r="OFJ30" s="175"/>
      <c r="OFK30" s="175"/>
      <c r="OFL30" s="175"/>
      <c r="OFM30" s="175"/>
      <c r="OFN30" s="175"/>
      <c r="OFO30" s="175"/>
      <c r="OFP30" s="175"/>
      <c r="OFQ30" s="175"/>
      <c r="OFR30" s="175"/>
      <c r="OFS30" s="175"/>
      <c r="OFT30" s="175"/>
      <c r="OFU30" s="175"/>
      <c r="OFV30" s="175"/>
      <c r="OFW30" s="175"/>
      <c r="OFX30" s="175"/>
      <c r="OFY30" s="175"/>
      <c r="OFZ30" s="175"/>
      <c r="OGA30" s="175"/>
      <c r="OGB30" s="175"/>
      <c r="OGC30" s="175"/>
      <c r="OGD30" s="175"/>
      <c r="OGE30" s="175"/>
      <c r="OGF30" s="175"/>
      <c r="OGG30" s="175"/>
      <c r="OGH30" s="175"/>
      <c r="OGI30" s="175"/>
      <c r="OGJ30" s="175"/>
      <c r="OGK30" s="175"/>
      <c r="OGL30" s="175"/>
      <c r="OGM30" s="175"/>
      <c r="OGN30" s="175"/>
      <c r="OGO30" s="175"/>
      <c r="OGP30" s="175"/>
      <c r="OGQ30" s="175"/>
      <c r="OGR30" s="175"/>
      <c r="OGS30" s="175"/>
      <c r="OGT30" s="175"/>
      <c r="OGU30" s="175"/>
      <c r="OGV30" s="175"/>
      <c r="OGW30" s="175"/>
      <c r="OGX30" s="175"/>
      <c r="OGY30" s="175"/>
      <c r="OGZ30" s="175"/>
      <c r="OHA30" s="175"/>
      <c r="OHB30" s="175"/>
      <c r="OHC30" s="175"/>
      <c r="OHD30" s="175"/>
      <c r="OHE30" s="175"/>
      <c r="OHF30" s="175"/>
      <c r="OHG30" s="175"/>
      <c r="OHH30" s="175"/>
      <c r="OHI30" s="175"/>
      <c r="OHJ30" s="175"/>
      <c r="OHK30" s="175"/>
      <c r="OHL30" s="175"/>
      <c r="OHM30" s="175"/>
      <c r="OHN30" s="175"/>
      <c r="OHO30" s="175"/>
      <c r="OHP30" s="175"/>
      <c r="OHQ30" s="175"/>
      <c r="OHR30" s="175"/>
      <c r="OHS30" s="175"/>
      <c r="OHT30" s="175"/>
      <c r="OHU30" s="175"/>
      <c r="OHV30" s="175"/>
      <c r="OHW30" s="175"/>
      <c r="OHX30" s="175"/>
      <c r="OHY30" s="175"/>
      <c r="OHZ30" s="175"/>
      <c r="OIA30" s="175"/>
      <c r="OIB30" s="175"/>
      <c r="OIC30" s="175"/>
      <c r="OID30" s="175"/>
      <c r="OIE30" s="175"/>
      <c r="OIF30" s="175"/>
      <c r="OIG30" s="175"/>
      <c r="OIH30" s="175"/>
      <c r="OII30" s="175"/>
      <c r="OIJ30" s="175"/>
      <c r="OIK30" s="175"/>
      <c r="OIL30" s="175"/>
      <c r="OIM30" s="175"/>
      <c r="OIN30" s="175"/>
      <c r="OIO30" s="175"/>
      <c r="OIP30" s="175"/>
      <c r="OIQ30" s="175"/>
      <c r="OIR30" s="175"/>
      <c r="OIS30" s="175"/>
      <c r="OIT30" s="175"/>
      <c r="OIU30" s="175"/>
      <c r="OIV30" s="175"/>
      <c r="OIW30" s="175"/>
      <c r="OIX30" s="175"/>
      <c r="OIY30" s="175"/>
      <c r="OIZ30" s="175"/>
      <c r="OJA30" s="175"/>
      <c r="OJB30" s="175"/>
      <c r="OJC30" s="175"/>
      <c r="OJD30" s="175"/>
      <c r="OJE30" s="175"/>
      <c r="OJF30" s="175"/>
      <c r="OJG30" s="175"/>
      <c r="OJH30" s="175"/>
      <c r="OJI30" s="175"/>
      <c r="OJJ30" s="175"/>
      <c r="OJK30" s="175"/>
      <c r="OJL30" s="175"/>
      <c r="OJM30" s="175"/>
      <c r="OJN30" s="175"/>
      <c r="OJO30" s="175"/>
      <c r="OJP30" s="175"/>
      <c r="OJQ30" s="175"/>
      <c r="OJR30" s="175"/>
      <c r="OJS30" s="175"/>
      <c r="OJT30" s="175"/>
      <c r="OJU30" s="175"/>
      <c r="OJV30" s="175"/>
      <c r="OJW30" s="175"/>
      <c r="OJX30" s="175"/>
      <c r="OJY30" s="175"/>
      <c r="OJZ30" s="175"/>
      <c r="OKA30" s="175"/>
      <c r="OKB30" s="175"/>
      <c r="OKC30" s="175"/>
      <c r="OKD30" s="175"/>
      <c r="OKE30" s="175"/>
      <c r="OKF30" s="175"/>
      <c r="OKG30" s="175"/>
      <c r="OKH30" s="175"/>
      <c r="OKI30" s="175"/>
      <c r="OKJ30" s="175"/>
      <c r="OKK30" s="175"/>
      <c r="OKL30" s="175"/>
      <c r="OKM30" s="175"/>
      <c r="OKN30" s="175"/>
      <c r="OKO30" s="175"/>
      <c r="OKP30" s="175"/>
      <c r="OKQ30" s="175"/>
      <c r="OKR30" s="175"/>
      <c r="OKS30" s="175"/>
      <c r="OKT30" s="175"/>
      <c r="OKU30" s="175"/>
      <c r="OKV30" s="175"/>
      <c r="OKW30" s="175"/>
      <c r="OKX30" s="175"/>
      <c r="OKY30" s="175"/>
      <c r="OKZ30" s="175"/>
      <c r="OLA30" s="175"/>
      <c r="OLB30" s="175"/>
      <c r="OLC30" s="175"/>
      <c r="OLD30" s="175"/>
      <c r="OLE30" s="175"/>
      <c r="OLF30" s="175"/>
      <c r="OLG30" s="175"/>
      <c r="OLH30" s="175"/>
      <c r="OLI30" s="175"/>
      <c r="OLJ30" s="175"/>
      <c r="OLK30" s="175"/>
      <c r="OLL30" s="175"/>
      <c r="OLM30" s="175"/>
      <c r="OLN30" s="175"/>
      <c r="OLO30" s="175"/>
      <c r="OLP30" s="175"/>
      <c r="OLQ30" s="175"/>
      <c r="OLR30" s="175"/>
      <c r="OLS30" s="175"/>
      <c r="OLT30" s="175"/>
      <c r="OLU30" s="175"/>
      <c r="OLV30" s="175"/>
      <c r="OLW30" s="175"/>
      <c r="OLX30" s="175"/>
      <c r="OLY30" s="175"/>
      <c r="OLZ30" s="175"/>
      <c r="OMA30" s="175"/>
      <c r="OMB30" s="175"/>
      <c r="OMC30" s="175"/>
      <c r="OMD30" s="175"/>
      <c r="OME30" s="175"/>
      <c r="OMF30" s="175"/>
      <c r="OMG30" s="175"/>
      <c r="OMH30" s="175"/>
      <c r="OMI30" s="175"/>
      <c r="OMJ30" s="175"/>
      <c r="OMK30" s="175"/>
      <c r="OML30" s="175"/>
      <c r="OMM30" s="175"/>
      <c r="OMN30" s="175"/>
      <c r="OMO30" s="175"/>
      <c r="OMP30" s="175"/>
      <c r="OMQ30" s="175"/>
      <c r="OMR30" s="175"/>
      <c r="OMS30" s="175"/>
      <c r="OMT30" s="175"/>
      <c r="OMU30" s="175"/>
      <c r="OMV30" s="175"/>
      <c r="OMW30" s="175"/>
      <c r="OMX30" s="175"/>
      <c r="OMY30" s="175"/>
      <c r="OMZ30" s="175"/>
      <c r="ONA30" s="175"/>
      <c r="ONB30" s="175"/>
      <c r="ONC30" s="175"/>
      <c r="OND30" s="175"/>
      <c r="ONE30" s="175"/>
      <c r="ONF30" s="175"/>
      <c r="ONG30" s="175"/>
      <c r="ONH30" s="175"/>
      <c r="ONI30" s="175"/>
      <c r="ONJ30" s="175"/>
      <c r="ONK30" s="175"/>
      <c r="ONL30" s="175"/>
      <c r="ONM30" s="175"/>
      <c r="ONN30" s="175"/>
      <c r="ONO30" s="175"/>
      <c r="ONP30" s="175"/>
      <c r="ONQ30" s="175"/>
      <c r="ONR30" s="175"/>
      <c r="ONS30" s="175"/>
      <c r="ONT30" s="175"/>
      <c r="ONU30" s="175"/>
      <c r="ONV30" s="175"/>
      <c r="ONW30" s="175"/>
      <c r="ONX30" s="175"/>
      <c r="ONY30" s="175"/>
      <c r="ONZ30" s="175"/>
      <c r="OOA30" s="175"/>
      <c r="OOB30" s="175"/>
      <c r="OOC30" s="175"/>
      <c r="OOD30" s="175"/>
      <c r="OOE30" s="175"/>
      <c r="OOF30" s="175"/>
      <c r="OOG30" s="175"/>
      <c r="OOH30" s="175"/>
      <c r="OOI30" s="175"/>
      <c r="OOJ30" s="175"/>
      <c r="OOK30" s="175"/>
      <c r="OOL30" s="175"/>
      <c r="OOM30" s="175"/>
      <c r="OON30" s="175"/>
      <c r="OOO30" s="175"/>
      <c r="OOP30" s="175"/>
      <c r="OOQ30" s="175"/>
      <c r="OOR30" s="175"/>
      <c r="OOS30" s="175"/>
      <c r="OOT30" s="175"/>
      <c r="OOU30" s="175"/>
      <c r="OOV30" s="175"/>
      <c r="OOW30" s="175"/>
      <c r="OOX30" s="175"/>
      <c r="OOY30" s="175"/>
      <c r="OOZ30" s="175"/>
      <c r="OPA30" s="175"/>
      <c r="OPB30" s="175"/>
      <c r="OPC30" s="175"/>
      <c r="OPD30" s="175"/>
      <c r="OPE30" s="175"/>
      <c r="OPF30" s="175"/>
      <c r="OPG30" s="175"/>
      <c r="OPH30" s="175"/>
      <c r="OPI30" s="175"/>
      <c r="OPJ30" s="175"/>
      <c r="OPK30" s="175"/>
      <c r="OPL30" s="175"/>
      <c r="OPM30" s="175"/>
      <c r="OPN30" s="175"/>
      <c r="OPO30" s="175"/>
      <c r="OPP30" s="175"/>
      <c r="OPQ30" s="175"/>
      <c r="OPR30" s="175"/>
      <c r="OPS30" s="175"/>
      <c r="OPT30" s="175"/>
      <c r="OPU30" s="175"/>
      <c r="OPV30" s="175"/>
      <c r="OPW30" s="175"/>
      <c r="OPX30" s="175"/>
      <c r="OPY30" s="175"/>
      <c r="OPZ30" s="175"/>
      <c r="OQA30" s="175"/>
      <c r="OQB30" s="175"/>
      <c r="OQC30" s="175"/>
      <c r="OQD30" s="175"/>
      <c r="OQE30" s="175"/>
      <c r="OQF30" s="175"/>
      <c r="OQG30" s="175"/>
      <c r="OQH30" s="175"/>
      <c r="OQI30" s="175"/>
      <c r="OQJ30" s="175"/>
      <c r="OQK30" s="175"/>
      <c r="OQL30" s="175"/>
      <c r="OQM30" s="175"/>
      <c r="OQN30" s="175"/>
      <c r="OQO30" s="175"/>
      <c r="OQP30" s="175"/>
      <c r="OQQ30" s="175"/>
      <c r="OQR30" s="175"/>
      <c r="OQS30" s="175"/>
      <c r="OQT30" s="175"/>
      <c r="OQU30" s="175"/>
      <c r="OQV30" s="175"/>
      <c r="OQW30" s="175"/>
      <c r="OQX30" s="175"/>
      <c r="OQY30" s="175"/>
      <c r="OQZ30" s="175"/>
      <c r="ORA30" s="175"/>
      <c r="ORB30" s="175"/>
      <c r="ORC30" s="175"/>
      <c r="ORD30" s="175"/>
      <c r="ORE30" s="175"/>
      <c r="ORF30" s="175"/>
      <c r="ORG30" s="175"/>
      <c r="ORH30" s="175"/>
      <c r="ORI30" s="175"/>
      <c r="ORJ30" s="175"/>
      <c r="ORK30" s="175"/>
      <c r="ORL30" s="175"/>
      <c r="ORM30" s="175"/>
      <c r="ORN30" s="175"/>
      <c r="ORO30" s="175"/>
      <c r="ORP30" s="175"/>
      <c r="ORQ30" s="175"/>
      <c r="ORR30" s="175"/>
      <c r="ORS30" s="175"/>
      <c r="ORT30" s="175"/>
      <c r="ORU30" s="175"/>
      <c r="ORV30" s="175"/>
      <c r="ORW30" s="175"/>
      <c r="ORX30" s="175"/>
      <c r="ORY30" s="175"/>
      <c r="ORZ30" s="175"/>
      <c r="OSA30" s="175"/>
      <c r="OSB30" s="175"/>
      <c r="OSC30" s="175"/>
      <c r="OSD30" s="175"/>
      <c r="OSE30" s="175"/>
      <c r="OSF30" s="175"/>
      <c r="OSG30" s="175"/>
      <c r="OSH30" s="175"/>
      <c r="OSI30" s="175"/>
      <c r="OSJ30" s="175"/>
      <c r="OSK30" s="175"/>
      <c r="OSL30" s="175"/>
      <c r="OSM30" s="175"/>
      <c r="OSN30" s="175"/>
      <c r="OSO30" s="175"/>
      <c r="OSP30" s="175"/>
      <c r="OSQ30" s="175"/>
      <c r="OSR30" s="175"/>
      <c r="OSS30" s="175"/>
      <c r="OST30" s="175"/>
      <c r="OSU30" s="175"/>
      <c r="OSV30" s="175"/>
      <c r="OSW30" s="175"/>
      <c r="OSX30" s="175"/>
      <c r="OSY30" s="175"/>
      <c r="OSZ30" s="175"/>
      <c r="OTA30" s="175"/>
      <c r="OTB30" s="175"/>
      <c r="OTC30" s="175"/>
      <c r="OTD30" s="175"/>
      <c r="OTE30" s="175"/>
      <c r="OTF30" s="175"/>
      <c r="OTG30" s="175"/>
      <c r="OTH30" s="175"/>
      <c r="OTI30" s="175"/>
      <c r="OTJ30" s="175"/>
      <c r="OTK30" s="175"/>
      <c r="OTL30" s="175"/>
      <c r="OTM30" s="175"/>
      <c r="OTN30" s="175"/>
      <c r="OTO30" s="175"/>
      <c r="OTP30" s="175"/>
      <c r="OTQ30" s="175"/>
      <c r="OTR30" s="175"/>
      <c r="OTS30" s="175"/>
      <c r="OTT30" s="175"/>
      <c r="OTU30" s="175"/>
      <c r="OTV30" s="175"/>
      <c r="OTW30" s="175"/>
      <c r="OTX30" s="175"/>
      <c r="OTY30" s="175"/>
      <c r="OTZ30" s="175"/>
      <c r="OUA30" s="175"/>
      <c r="OUB30" s="175"/>
      <c r="OUC30" s="175"/>
      <c r="OUD30" s="175"/>
      <c r="OUE30" s="175"/>
      <c r="OUF30" s="175"/>
      <c r="OUG30" s="175"/>
      <c r="OUH30" s="175"/>
      <c r="OUI30" s="175"/>
      <c r="OUJ30" s="175"/>
      <c r="OUK30" s="175"/>
      <c r="OUL30" s="175"/>
      <c r="OUM30" s="175"/>
      <c r="OUN30" s="175"/>
      <c r="OUO30" s="175"/>
      <c r="OUP30" s="175"/>
      <c r="OUQ30" s="175"/>
      <c r="OUR30" s="175"/>
      <c r="OUS30" s="175"/>
      <c r="OUT30" s="175"/>
      <c r="OUU30" s="175"/>
      <c r="OUV30" s="175"/>
      <c r="OUW30" s="175"/>
      <c r="OUX30" s="175"/>
      <c r="OUY30" s="175"/>
      <c r="OUZ30" s="175"/>
      <c r="OVA30" s="175"/>
      <c r="OVB30" s="175"/>
      <c r="OVC30" s="175"/>
      <c r="OVD30" s="175"/>
      <c r="OVE30" s="175"/>
      <c r="OVF30" s="175"/>
      <c r="OVG30" s="175"/>
      <c r="OVH30" s="175"/>
      <c r="OVI30" s="175"/>
      <c r="OVJ30" s="175"/>
      <c r="OVK30" s="175"/>
      <c r="OVL30" s="175"/>
      <c r="OVM30" s="175"/>
      <c r="OVN30" s="175"/>
      <c r="OVO30" s="175"/>
      <c r="OVP30" s="175"/>
      <c r="OVQ30" s="175"/>
      <c r="OVR30" s="175"/>
      <c r="OVS30" s="175"/>
      <c r="OVT30" s="175"/>
      <c r="OVU30" s="175"/>
      <c r="OVV30" s="175"/>
      <c r="OVW30" s="175"/>
      <c r="OVX30" s="175"/>
      <c r="OVY30" s="175"/>
      <c r="OVZ30" s="175"/>
      <c r="OWA30" s="175"/>
      <c r="OWB30" s="175"/>
      <c r="OWC30" s="175"/>
      <c r="OWD30" s="175"/>
      <c r="OWE30" s="175"/>
      <c r="OWF30" s="175"/>
      <c r="OWG30" s="175"/>
      <c r="OWH30" s="175"/>
      <c r="OWI30" s="175"/>
      <c r="OWJ30" s="175"/>
      <c r="OWK30" s="175"/>
      <c r="OWL30" s="175"/>
      <c r="OWM30" s="175"/>
      <c r="OWN30" s="175"/>
      <c r="OWO30" s="175"/>
      <c r="OWP30" s="175"/>
      <c r="OWQ30" s="175"/>
      <c r="OWR30" s="175"/>
      <c r="OWS30" s="175"/>
      <c r="OWT30" s="175"/>
      <c r="OWU30" s="175"/>
      <c r="OWV30" s="175"/>
      <c r="OWW30" s="175"/>
      <c r="OWX30" s="175"/>
      <c r="OWY30" s="175"/>
      <c r="OWZ30" s="175"/>
      <c r="OXA30" s="175"/>
      <c r="OXB30" s="175"/>
      <c r="OXC30" s="175"/>
      <c r="OXD30" s="175"/>
      <c r="OXE30" s="175"/>
      <c r="OXF30" s="175"/>
      <c r="OXG30" s="175"/>
      <c r="OXH30" s="175"/>
      <c r="OXI30" s="175"/>
      <c r="OXJ30" s="175"/>
      <c r="OXK30" s="175"/>
      <c r="OXL30" s="175"/>
      <c r="OXM30" s="175"/>
      <c r="OXN30" s="175"/>
      <c r="OXO30" s="175"/>
      <c r="OXP30" s="175"/>
      <c r="OXQ30" s="175"/>
      <c r="OXR30" s="175"/>
      <c r="OXS30" s="175"/>
      <c r="OXT30" s="175"/>
      <c r="OXU30" s="175"/>
      <c r="OXV30" s="175"/>
      <c r="OXW30" s="175"/>
      <c r="OXX30" s="175"/>
      <c r="OXY30" s="175"/>
      <c r="OXZ30" s="175"/>
      <c r="OYA30" s="175"/>
      <c r="OYB30" s="175"/>
      <c r="OYC30" s="175"/>
      <c r="OYD30" s="175"/>
      <c r="OYE30" s="175"/>
      <c r="OYF30" s="175"/>
      <c r="OYG30" s="175"/>
      <c r="OYH30" s="175"/>
      <c r="OYI30" s="175"/>
      <c r="OYJ30" s="175"/>
      <c r="OYK30" s="175"/>
      <c r="OYL30" s="175"/>
      <c r="OYM30" s="175"/>
      <c r="OYN30" s="175"/>
      <c r="OYO30" s="175"/>
      <c r="OYP30" s="175"/>
      <c r="OYQ30" s="175"/>
      <c r="OYR30" s="175"/>
      <c r="OYS30" s="175"/>
      <c r="OYT30" s="175"/>
      <c r="OYU30" s="175"/>
      <c r="OYV30" s="175"/>
      <c r="OYW30" s="175"/>
      <c r="OYX30" s="175"/>
      <c r="OYY30" s="175"/>
      <c r="OYZ30" s="175"/>
      <c r="OZA30" s="175"/>
      <c r="OZB30" s="175"/>
      <c r="OZC30" s="175"/>
      <c r="OZD30" s="175"/>
      <c r="OZE30" s="175"/>
      <c r="OZF30" s="175"/>
      <c r="OZG30" s="175"/>
      <c r="OZH30" s="175"/>
      <c r="OZI30" s="175"/>
      <c r="OZJ30" s="175"/>
      <c r="OZK30" s="175"/>
      <c r="OZL30" s="175"/>
      <c r="OZM30" s="175"/>
      <c r="OZN30" s="175"/>
      <c r="OZO30" s="175"/>
      <c r="OZP30" s="175"/>
      <c r="OZQ30" s="175"/>
      <c r="OZR30" s="175"/>
      <c r="OZS30" s="175"/>
      <c r="OZT30" s="175"/>
      <c r="OZU30" s="175"/>
      <c r="OZV30" s="175"/>
      <c r="OZW30" s="175"/>
      <c r="OZX30" s="175"/>
      <c r="OZY30" s="175"/>
      <c r="OZZ30" s="175"/>
      <c r="PAA30" s="175"/>
      <c r="PAB30" s="175"/>
      <c r="PAC30" s="175"/>
      <c r="PAD30" s="175"/>
      <c r="PAE30" s="175"/>
      <c r="PAF30" s="175"/>
      <c r="PAG30" s="175"/>
      <c r="PAH30" s="175"/>
      <c r="PAI30" s="175"/>
      <c r="PAJ30" s="175"/>
      <c r="PAK30" s="175"/>
      <c r="PAL30" s="175"/>
      <c r="PAM30" s="175"/>
      <c r="PAN30" s="175"/>
      <c r="PAO30" s="175"/>
      <c r="PAP30" s="175"/>
      <c r="PAQ30" s="175"/>
      <c r="PAR30" s="175"/>
      <c r="PAS30" s="175"/>
      <c r="PAT30" s="175"/>
      <c r="PAU30" s="175"/>
      <c r="PAV30" s="175"/>
      <c r="PAW30" s="175"/>
      <c r="PAX30" s="175"/>
      <c r="PAY30" s="175"/>
      <c r="PAZ30" s="175"/>
      <c r="PBA30" s="175"/>
      <c r="PBB30" s="175"/>
      <c r="PBC30" s="175"/>
      <c r="PBD30" s="175"/>
      <c r="PBE30" s="175"/>
      <c r="PBF30" s="175"/>
      <c r="PBG30" s="175"/>
      <c r="PBH30" s="175"/>
      <c r="PBI30" s="175"/>
      <c r="PBJ30" s="175"/>
      <c r="PBK30" s="175"/>
      <c r="PBL30" s="175"/>
      <c r="PBM30" s="175"/>
      <c r="PBN30" s="175"/>
      <c r="PBO30" s="175"/>
      <c r="PBP30" s="175"/>
      <c r="PBQ30" s="175"/>
      <c r="PBR30" s="175"/>
      <c r="PBS30" s="175"/>
      <c r="PBT30" s="175"/>
      <c r="PBU30" s="175"/>
      <c r="PBV30" s="175"/>
      <c r="PBW30" s="175"/>
      <c r="PBX30" s="175"/>
      <c r="PBY30" s="175"/>
      <c r="PBZ30" s="175"/>
      <c r="PCA30" s="175"/>
      <c r="PCB30" s="175"/>
      <c r="PCC30" s="175"/>
      <c r="PCD30" s="175"/>
      <c r="PCE30" s="175"/>
      <c r="PCF30" s="175"/>
      <c r="PCG30" s="175"/>
      <c r="PCH30" s="175"/>
      <c r="PCI30" s="175"/>
      <c r="PCJ30" s="175"/>
      <c r="PCK30" s="175"/>
      <c r="PCL30" s="175"/>
      <c r="PCM30" s="175"/>
      <c r="PCN30" s="175"/>
      <c r="PCO30" s="175"/>
      <c r="PCP30" s="175"/>
      <c r="PCQ30" s="175"/>
      <c r="PCR30" s="175"/>
      <c r="PCS30" s="175"/>
      <c r="PCT30" s="175"/>
      <c r="PCU30" s="175"/>
      <c r="PCV30" s="175"/>
      <c r="PCW30" s="175"/>
      <c r="PCX30" s="175"/>
      <c r="PCY30" s="175"/>
      <c r="PCZ30" s="175"/>
      <c r="PDA30" s="175"/>
      <c r="PDB30" s="175"/>
      <c r="PDC30" s="175"/>
      <c r="PDD30" s="175"/>
      <c r="PDE30" s="175"/>
      <c r="PDF30" s="175"/>
      <c r="PDG30" s="175"/>
      <c r="PDH30" s="175"/>
      <c r="PDI30" s="175"/>
      <c r="PDJ30" s="175"/>
      <c r="PDK30" s="175"/>
      <c r="PDL30" s="175"/>
      <c r="PDM30" s="175"/>
      <c r="PDN30" s="175"/>
      <c r="PDO30" s="175"/>
      <c r="PDP30" s="175"/>
      <c r="PDQ30" s="175"/>
      <c r="PDR30" s="175"/>
      <c r="PDS30" s="175"/>
      <c r="PDT30" s="175"/>
      <c r="PDU30" s="175"/>
      <c r="PDV30" s="175"/>
      <c r="PDW30" s="175"/>
      <c r="PDX30" s="175"/>
      <c r="PDY30" s="175"/>
      <c r="PDZ30" s="175"/>
      <c r="PEA30" s="175"/>
      <c r="PEB30" s="175"/>
      <c r="PEC30" s="175"/>
      <c r="PED30" s="175"/>
      <c r="PEE30" s="175"/>
      <c r="PEF30" s="175"/>
      <c r="PEG30" s="175"/>
      <c r="PEH30" s="175"/>
      <c r="PEI30" s="175"/>
      <c r="PEJ30" s="175"/>
      <c r="PEK30" s="175"/>
      <c r="PEL30" s="175"/>
      <c r="PEM30" s="175"/>
      <c r="PEN30" s="175"/>
      <c r="PEO30" s="175"/>
      <c r="PEP30" s="175"/>
      <c r="PEQ30" s="175"/>
      <c r="PER30" s="175"/>
      <c r="PES30" s="175"/>
      <c r="PET30" s="175"/>
      <c r="PEU30" s="175"/>
      <c r="PEV30" s="175"/>
      <c r="PEW30" s="175"/>
      <c r="PEX30" s="175"/>
      <c r="PEY30" s="175"/>
      <c r="PEZ30" s="175"/>
      <c r="PFA30" s="175"/>
      <c r="PFB30" s="175"/>
      <c r="PFC30" s="175"/>
      <c r="PFD30" s="175"/>
      <c r="PFE30" s="175"/>
      <c r="PFF30" s="175"/>
      <c r="PFG30" s="175"/>
      <c r="PFH30" s="175"/>
      <c r="PFI30" s="175"/>
      <c r="PFJ30" s="175"/>
      <c r="PFK30" s="175"/>
      <c r="PFL30" s="175"/>
      <c r="PFM30" s="175"/>
      <c r="PFN30" s="175"/>
      <c r="PFO30" s="175"/>
      <c r="PFP30" s="175"/>
      <c r="PFQ30" s="175"/>
      <c r="PFR30" s="175"/>
      <c r="PFS30" s="175"/>
      <c r="PFT30" s="175"/>
      <c r="PFU30" s="175"/>
      <c r="PFV30" s="175"/>
      <c r="PFW30" s="175"/>
      <c r="PFX30" s="175"/>
      <c r="PFY30" s="175"/>
      <c r="PFZ30" s="175"/>
      <c r="PGA30" s="175"/>
      <c r="PGB30" s="175"/>
      <c r="PGC30" s="175"/>
      <c r="PGD30" s="175"/>
      <c r="PGE30" s="175"/>
      <c r="PGF30" s="175"/>
      <c r="PGG30" s="175"/>
      <c r="PGH30" s="175"/>
      <c r="PGI30" s="175"/>
      <c r="PGJ30" s="175"/>
      <c r="PGK30" s="175"/>
      <c r="PGL30" s="175"/>
      <c r="PGM30" s="175"/>
      <c r="PGN30" s="175"/>
      <c r="PGO30" s="175"/>
      <c r="PGP30" s="175"/>
      <c r="PGQ30" s="175"/>
      <c r="PGR30" s="175"/>
      <c r="PGS30" s="175"/>
      <c r="PGT30" s="175"/>
      <c r="PGU30" s="175"/>
      <c r="PGV30" s="175"/>
      <c r="PGW30" s="175"/>
      <c r="PGX30" s="175"/>
      <c r="PGY30" s="175"/>
      <c r="PGZ30" s="175"/>
      <c r="PHA30" s="175"/>
      <c r="PHB30" s="175"/>
      <c r="PHC30" s="175"/>
      <c r="PHD30" s="175"/>
      <c r="PHE30" s="175"/>
      <c r="PHF30" s="175"/>
      <c r="PHG30" s="175"/>
      <c r="PHH30" s="175"/>
      <c r="PHI30" s="175"/>
      <c r="PHJ30" s="175"/>
      <c r="PHK30" s="175"/>
      <c r="PHL30" s="175"/>
      <c r="PHM30" s="175"/>
      <c r="PHN30" s="175"/>
      <c r="PHO30" s="175"/>
      <c r="PHP30" s="175"/>
      <c r="PHQ30" s="175"/>
      <c r="PHR30" s="175"/>
      <c r="PHS30" s="175"/>
      <c r="PHT30" s="175"/>
      <c r="PHU30" s="175"/>
      <c r="PHV30" s="175"/>
      <c r="PHW30" s="175"/>
      <c r="PHX30" s="175"/>
      <c r="PHY30" s="175"/>
      <c r="PHZ30" s="175"/>
      <c r="PIA30" s="175"/>
      <c r="PIB30" s="175"/>
      <c r="PIC30" s="175"/>
      <c r="PID30" s="175"/>
      <c r="PIE30" s="175"/>
      <c r="PIF30" s="175"/>
      <c r="PIG30" s="175"/>
      <c r="PIH30" s="175"/>
      <c r="PII30" s="175"/>
      <c r="PIJ30" s="175"/>
      <c r="PIK30" s="175"/>
      <c r="PIL30" s="175"/>
      <c r="PIM30" s="175"/>
      <c r="PIN30" s="175"/>
      <c r="PIO30" s="175"/>
      <c r="PIP30" s="175"/>
      <c r="PIQ30" s="175"/>
      <c r="PIR30" s="175"/>
      <c r="PIS30" s="175"/>
      <c r="PIT30" s="175"/>
      <c r="PIU30" s="175"/>
      <c r="PIV30" s="175"/>
      <c r="PIW30" s="175"/>
      <c r="PIX30" s="175"/>
      <c r="PIY30" s="175"/>
      <c r="PIZ30" s="175"/>
      <c r="PJA30" s="175"/>
      <c r="PJB30" s="175"/>
      <c r="PJC30" s="175"/>
      <c r="PJD30" s="175"/>
      <c r="PJE30" s="175"/>
      <c r="PJF30" s="175"/>
      <c r="PJG30" s="175"/>
      <c r="PJH30" s="175"/>
      <c r="PJI30" s="175"/>
      <c r="PJJ30" s="175"/>
      <c r="PJK30" s="175"/>
      <c r="PJL30" s="175"/>
      <c r="PJM30" s="175"/>
      <c r="PJN30" s="175"/>
      <c r="PJO30" s="175"/>
      <c r="PJP30" s="175"/>
      <c r="PJQ30" s="175"/>
      <c r="PJR30" s="175"/>
      <c r="PJS30" s="175"/>
      <c r="PJT30" s="175"/>
      <c r="PJU30" s="175"/>
      <c r="PJV30" s="175"/>
      <c r="PJW30" s="175"/>
      <c r="PJX30" s="175"/>
      <c r="PJY30" s="175"/>
      <c r="PJZ30" s="175"/>
      <c r="PKA30" s="175"/>
      <c r="PKB30" s="175"/>
      <c r="PKC30" s="175"/>
      <c r="PKD30" s="175"/>
      <c r="PKE30" s="175"/>
      <c r="PKF30" s="175"/>
      <c r="PKG30" s="175"/>
      <c r="PKH30" s="175"/>
      <c r="PKI30" s="175"/>
      <c r="PKJ30" s="175"/>
      <c r="PKK30" s="175"/>
      <c r="PKL30" s="175"/>
      <c r="PKM30" s="175"/>
      <c r="PKN30" s="175"/>
      <c r="PKO30" s="175"/>
      <c r="PKP30" s="175"/>
      <c r="PKQ30" s="175"/>
      <c r="PKR30" s="175"/>
      <c r="PKS30" s="175"/>
      <c r="PKT30" s="175"/>
      <c r="PKU30" s="175"/>
      <c r="PKV30" s="175"/>
      <c r="PKW30" s="175"/>
      <c r="PKX30" s="175"/>
      <c r="PKY30" s="175"/>
      <c r="PKZ30" s="175"/>
      <c r="PLA30" s="175"/>
      <c r="PLB30" s="175"/>
      <c r="PLC30" s="175"/>
      <c r="PLD30" s="175"/>
      <c r="PLE30" s="175"/>
      <c r="PLF30" s="175"/>
      <c r="PLG30" s="175"/>
      <c r="PLH30" s="175"/>
      <c r="PLI30" s="175"/>
      <c r="PLJ30" s="175"/>
      <c r="PLK30" s="175"/>
      <c r="PLL30" s="175"/>
      <c r="PLM30" s="175"/>
      <c r="PLN30" s="175"/>
      <c r="PLO30" s="175"/>
      <c r="PLP30" s="175"/>
      <c r="PLQ30" s="175"/>
      <c r="PLR30" s="175"/>
      <c r="PLS30" s="175"/>
      <c r="PLT30" s="175"/>
      <c r="PLU30" s="175"/>
      <c r="PLV30" s="175"/>
      <c r="PLW30" s="175"/>
      <c r="PLX30" s="175"/>
      <c r="PLY30" s="175"/>
      <c r="PLZ30" s="175"/>
      <c r="PMA30" s="175"/>
      <c r="PMB30" s="175"/>
      <c r="PMC30" s="175"/>
      <c r="PMD30" s="175"/>
      <c r="PME30" s="175"/>
      <c r="PMF30" s="175"/>
      <c r="PMG30" s="175"/>
      <c r="PMH30" s="175"/>
      <c r="PMI30" s="175"/>
      <c r="PMJ30" s="175"/>
      <c r="PMK30" s="175"/>
      <c r="PML30" s="175"/>
      <c r="PMM30" s="175"/>
      <c r="PMN30" s="175"/>
      <c r="PMO30" s="175"/>
      <c r="PMP30" s="175"/>
      <c r="PMQ30" s="175"/>
      <c r="PMR30" s="175"/>
      <c r="PMS30" s="175"/>
      <c r="PMT30" s="175"/>
      <c r="PMU30" s="175"/>
      <c r="PMV30" s="175"/>
      <c r="PMW30" s="175"/>
      <c r="PMX30" s="175"/>
      <c r="PMY30" s="175"/>
      <c r="PMZ30" s="175"/>
      <c r="PNA30" s="175"/>
      <c r="PNB30" s="175"/>
      <c r="PNC30" s="175"/>
      <c r="PND30" s="175"/>
      <c r="PNE30" s="175"/>
      <c r="PNF30" s="175"/>
      <c r="PNG30" s="175"/>
      <c r="PNH30" s="175"/>
      <c r="PNI30" s="175"/>
      <c r="PNJ30" s="175"/>
      <c r="PNK30" s="175"/>
      <c r="PNL30" s="175"/>
      <c r="PNM30" s="175"/>
      <c r="PNN30" s="175"/>
      <c r="PNO30" s="175"/>
      <c r="PNP30" s="175"/>
      <c r="PNQ30" s="175"/>
      <c r="PNR30" s="175"/>
      <c r="PNS30" s="175"/>
      <c r="PNT30" s="175"/>
      <c r="PNU30" s="175"/>
      <c r="PNV30" s="175"/>
      <c r="PNW30" s="175"/>
      <c r="PNX30" s="175"/>
      <c r="PNY30" s="175"/>
      <c r="PNZ30" s="175"/>
      <c r="POA30" s="175"/>
      <c r="POB30" s="175"/>
      <c r="POC30" s="175"/>
      <c r="POD30" s="175"/>
      <c r="POE30" s="175"/>
      <c r="POF30" s="175"/>
      <c r="POG30" s="175"/>
      <c r="POH30" s="175"/>
      <c r="POI30" s="175"/>
      <c r="POJ30" s="175"/>
      <c r="POK30" s="175"/>
      <c r="POL30" s="175"/>
      <c r="POM30" s="175"/>
      <c r="PON30" s="175"/>
      <c r="POO30" s="175"/>
      <c r="POP30" s="175"/>
      <c r="POQ30" s="175"/>
      <c r="POR30" s="175"/>
      <c r="POS30" s="175"/>
      <c r="POT30" s="175"/>
      <c r="POU30" s="175"/>
      <c r="POV30" s="175"/>
      <c r="POW30" s="175"/>
      <c r="POX30" s="175"/>
      <c r="POY30" s="175"/>
      <c r="POZ30" s="175"/>
      <c r="PPA30" s="175"/>
      <c r="PPB30" s="175"/>
      <c r="PPC30" s="175"/>
      <c r="PPD30" s="175"/>
      <c r="PPE30" s="175"/>
      <c r="PPF30" s="175"/>
      <c r="PPG30" s="175"/>
      <c r="PPH30" s="175"/>
      <c r="PPI30" s="175"/>
      <c r="PPJ30" s="175"/>
      <c r="PPK30" s="175"/>
      <c r="PPL30" s="175"/>
      <c r="PPM30" s="175"/>
      <c r="PPN30" s="175"/>
      <c r="PPO30" s="175"/>
      <c r="PPP30" s="175"/>
      <c r="PPQ30" s="175"/>
      <c r="PPR30" s="175"/>
      <c r="PPS30" s="175"/>
      <c r="PPT30" s="175"/>
      <c r="PPU30" s="175"/>
      <c r="PPV30" s="175"/>
      <c r="PPW30" s="175"/>
      <c r="PPX30" s="175"/>
      <c r="PPY30" s="175"/>
      <c r="PPZ30" s="175"/>
      <c r="PQA30" s="175"/>
      <c r="PQB30" s="175"/>
      <c r="PQC30" s="175"/>
      <c r="PQD30" s="175"/>
      <c r="PQE30" s="175"/>
      <c r="PQF30" s="175"/>
      <c r="PQG30" s="175"/>
      <c r="PQH30" s="175"/>
      <c r="PQI30" s="175"/>
      <c r="PQJ30" s="175"/>
      <c r="PQK30" s="175"/>
      <c r="PQL30" s="175"/>
      <c r="PQM30" s="175"/>
      <c r="PQN30" s="175"/>
      <c r="PQO30" s="175"/>
      <c r="PQP30" s="175"/>
      <c r="PQQ30" s="175"/>
      <c r="PQR30" s="175"/>
      <c r="PQS30" s="175"/>
      <c r="PQT30" s="175"/>
      <c r="PQU30" s="175"/>
      <c r="PQV30" s="175"/>
      <c r="PQW30" s="175"/>
      <c r="PQX30" s="175"/>
      <c r="PQY30" s="175"/>
      <c r="PQZ30" s="175"/>
      <c r="PRA30" s="175"/>
      <c r="PRB30" s="175"/>
      <c r="PRC30" s="175"/>
      <c r="PRD30" s="175"/>
      <c r="PRE30" s="175"/>
      <c r="PRF30" s="175"/>
      <c r="PRG30" s="175"/>
      <c r="PRH30" s="175"/>
      <c r="PRI30" s="175"/>
      <c r="PRJ30" s="175"/>
      <c r="PRK30" s="175"/>
      <c r="PRL30" s="175"/>
      <c r="PRM30" s="175"/>
      <c r="PRN30" s="175"/>
      <c r="PRO30" s="175"/>
      <c r="PRP30" s="175"/>
      <c r="PRQ30" s="175"/>
      <c r="PRR30" s="175"/>
      <c r="PRS30" s="175"/>
      <c r="PRT30" s="175"/>
      <c r="PRU30" s="175"/>
      <c r="PRV30" s="175"/>
      <c r="PRW30" s="175"/>
      <c r="PRX30" s="175"/>
      <c r="PRY30" s="175"/>
      <c r="PRZ30" s="175"/>
      <c r="PSA30" s="175"/>
      <c r="PSB30" s="175"/>
      <c r="PSC30" s="175"/>
      <c r="PSD30" s="175"/>
      <c r="PSE30" s="175"/>
      <c r="PSF30" s="175"/>
      <c r="PSG30" s="175"/>
      <c r="PSH30" s="175"/>
      <c r="PSI30" s="175"/>
      <c r="PSJ30" s="175"/>
      <c r="PSK30" s="175"/>
      <c r="PSL30" s="175"/>
      <c r="PSM30" s="175"/>
      <c r="PSN30" s="175"/>
      <c r="PSO30" s="175"/>
      <c r="PSP30" s="175"/>
      <c r="PSQ30" s="175"/>
      <c r="PSR30" s="175"/>
      <c r="PSS30" s="175"/>
      <c r="PST30" s="175"/>
      <c r="PSU30" s="175"/>
      <c r="PSV30" s="175"/>
      <c r="PSW30" s="175"/>
      <c r="PSX30" s="175"/>
      <c r="PSY30" s="175"/>
      <c r="PSZ30" s="175"/>
      <c r="PTA30" s="175"/>
      <c r="PTB30" s="175"/>
      <c r="PTC30" s="175"/>
      <c r="PTD30" s="175"/>
      <c r="PTE30" s="175"/>
      <c r="PTF30" s="175"/>
      <c r="PTG30" s="175"/>
      <c r="PTH30" s="175"/>
      <c r="PTI30" s="175"/>
      <c r="PTJ30" s="175"/>
      <c r="PTK30" s="175"/>
      <c r="PTL30" s="175"/>
      <c r="PTM30" s="175"/>
      <c r="PTN30" s="175"/>
      <c r="PTO30" s="175"/>
      <c r="PTP30" s="175"/>
      <c r="PTQ30" s="175"/>
      <c r="PTR30" s="175"/>
      <c r="PTS30" s="175"/>
      <c r="PTT30" s="175"/>
      <c r="PTU30" s="175"/>
      <c r="PTV30" s="175"/>
      <c r="PTW30" s="175"/>
      <c r="PTX30" s="175"/>
      <c r="PTY30" s="175"/>
      <c r="PTZ30" s="175"/>
      <c r="PUA30" s="175"/>
      <c r="PUB30" s="175"/>
      <c r="PUC30" s="175"/>
      <c r="PUD30" s="175"/>
      <c r="PUE30" s="175"/>
      <c r="PUF30" s="175"/>
      <c r="PUG30" s="175"/>
      <c r="PUH30" s="175"/>
      <c r="PUI30" s="175"/>
      <c r="PUJ30" s="175"/>
      <c r="PUK30" s="175"/>
      <c r="PUL30" s="175"/>
      <c r="PUM30" s="175"/>
      <c r="PUN30" s="175"/>
      <c r="PUO30" s="175"/>
      <c r="PUP30" s="175"/>
      <c r="PUQ30" s="175"/>
      <c r="PUR30" s="175"/>
      <c r="PUS30" s="175"/>
      <c r="PUT30" s="175"/>
      <c r="PUU30" s="175"/>
      <c r="PUV30" s="175"/>
      <c r="PUW30" s="175"/>
      <c r="PUX30" s="175"/>
      <c r="PUY30" s="175"/>
      <c r="PUZ30" s="175"/>
      <c r="PVA30" s="175"/>
      <c r="PVB30" s="175"/>
      <c r="PVC30" s="175"/>
      <c r="PVD30" s="175"/>
      <c r="PVE30" s="175"/>
      <c r="PVF30" s="175"/>
      <c r="PVG30" s="175"/>
      <c r="PVH30" s="175"/>
      <c r="PVI30" s="175"/>
      <c r="PVJ30" s="175"/>
      <c r="PVK30" s="175"/>
      <c r="PVL30" s="175"/>
      <c r="PVM30" s="175"/>
      <c r="PVN30" s="175"/>
      <c r="PVO30" s="175"/>
      <c r="PVP30" s="175"/>
      <c r="PVQ30" s="175"/>
      <c r="PVR30" s="175"/>
      <c r="PVS30" s="175"/>
      <c r="PVT30" s="175"/>
      <c r="PVU30" s="175"/>
      <c r="PVV30" s="175"/>
      <c r="PVW30" s="175"/>
      <c r="PVX30" s="175"/>
      <c r="PVY30" s="175"/>
      <c r="PVZ30" s="175"/>
      <c r="PWA30" s="175"/>
      <c r="PWB30" s="175"/>
      <c r="PWC30" s="175"/>
      <c r="PWD30" s="175"/>
      <c r="PWE30" s="175"/>
      <c r="PWF30" s="175"/>
      <c r="PWG30" s="175"/>
      <c r="PWH30" s="175"/>
      <c r="PWI30" s="175"/>
      <c r="PWJ30" s="175"/>
      <c r="PWK30" s="175"/>
      <c r="PWL30" s="175"/>
      <c r="PWM30" s="175"/>
      <c r="PWN30" s="175"/>
      <c r="PWO30" s="175"/>
      <c r="PWP30" s="175"/>
      <c r="PWQ30" s="175"/>
      <c r="PWR30" s="175"/>
      <c r="PWS30" s="175"/>
      <c r="PWT30" s="175"/>
      <c r="PWU30" s="175"/>
      <c r="PWV30" s="175"/>
      <c r="PWW30" s="175"/>
      <c r="PWX30" s="175"/>
      <c r="PWY30" s="175"/>
      <c r="PWZ30" s="175"/>
      <c r="PXA30" s="175"/>
      <c r="PXB30" s="175"/>
      <c r="PXC30" s="175"/>
      <c r="PXD30" s="175"/>
      <c r="PXE30" s="175"/>
      <c r="PXF30" s="175"/>
      <c r="PXG30" s="175"/>
      <c r="PXH30" s="175"/>
      <c r="PXI30" s="175"/>
      <c r="PXJ30" s="175"/>
      <c r="PXK30" s="175"/>
      <c r="PXL30" s="175"/>
      <c r="PXM30" s="175"/>
      <c r="PXN30" s="175"/>
      <c r="PXO30" s="175"/>
      <c r="PXP30" s="175"/>
      <c r="PXQ30" s="175"/>
      <c r="PXR30" s="175"/>
      <c r="PXS30" s="175"/>
      <c r="PXT30" s="175"/>
      <c r="PXU30" s="175"/>
      <c r="PXV30" s="175"/>
      <c r="PXW30" s="175"/>
      <c r="PXX30" s="175"/>
      <c r="PXY30" s="175"/>
      <c r="PXZ30" s="175"/>
      <c r="PYA30" s="175"/>
      <c r="PYB30" s="175"/>
      <c r="PYC30" s="175"/>
      <c r="PYD30" s="175"/>
      <c r="PYE30" s="175"/>
      <c r="PYF30" s="175"/>
      <c r="PYG30" s="175"/>
      <c r="PYH30" s="175"/>
      <c r="PYI30" s="175"/>
      <c r="PYJ30" s="175"/>
      <c r="PYK30" s="175"/>
      <c r="PYL30" s="175"/>
      <c r="PYM30" s="175"/>
      <c r="PYN30" s="175"/>
      <c r="PYO30" s="175"/>
      <c r="PYP30" s="175"/>
      <c r="PYQ30" s="175"/>
      <c r="PYR30" s="175"/>
      <c r="PYS30" s="175"/>
      <c r="PYT30" s="175"/>
      <c r="PYU30" s="175"/>
      <c r="PYV30" s="175"/>
      <c r="PYW30" s="175"/>
      <c r="PYX30" s="175"/>
      <c r="PYY30" s="175"/>
      <c r="PYZ30" s="175"/>
      <c r="PZA30" s="175"/>
      <c r="PZB30" s="175"/>
      <c r="PZC30" s="175"/>
      <c r="PZD30" s="175"/>
      <c r="PZE30" s="175"/>
      <c r="PZF30" s="175"/>
      <c r="PZG30" s="175"/>
      <c r="PZH30" s="175"/>
      <c r="PZI30" s="175"/>
      <c r="PZJ30" s="175"/>
      <c r="PZK30" s="175"/>
      <c r="PZL30" s="175"/>
      <c r="PZM30" s="175"/>
      <c r="PZN30" s="175"/>
      <c r="PZO30" s="175"/>
      <c r="PZP30" s="175"/>
      <c r="PZQ30" s="175"/>
      <c r="PZR30" s="175"/>
      <c r="PZS30" s="175"/>
      <c r="PZT30" s="175"/>
      <c r="PZU30" s="175"/>
      <c r="PZV30" s="175"/>
      <c r="PZW30" s="175"/>
      <c r="PZX30" s="175"/>
      <c r="PZY30" s="175"/>
      <c r="PZZ30" s="175"/>
      <c r="QAA30" s="175"/>
      <c r="QAB30" s="175"/>
      <c r="QAC30" s="175"/>
      <c r="QAD30" s="175"/>
      <c r="QAE30" s="175"/>
      <c r="QAF30" s="175"/>
      <c r="QAG30" s="175"/>
      <c r="QAH30" s="175"/>
      <c r="QAI30" s="175"/>
      <c r="QAJ30" s="175"/>
      <c r="QAK30" s="175"/>
      <c r="QAL30" s="175"/>
      <c r="QAM30" s="175"/>
      <c r="QAN30" s="175"/>
      <c r="QAO30" s="175"/>
      <c r="QAP30" s="175"/>
      <c r="QAQ30" s="175"/>
      <c r="QAR30" s="175"/>
      <c r="QAS30" s="175"/>
      <c r="QAT30" s="175"/>
      <c r="QAU30" s="175"/>
      <c r="QAV30" s="175"/>
      <c r="QAW30" s="175"/>
      <c r="QAX30" s="175"/>
      <c r="QAY30" s="175"/>
      <c r="QAZ30" s="175"/>
      <c r="QBA30" s="175"/>
      <c r="QBB30" s="175"/>
      <c r="QBC30" s="175"/>
      <c r="QBD30" s="175"/>
      <c r="QBE30" s="175"/>
      <c r="QBF30" s="175"/>
      <c r="QBG30" s="175"/>
      <c r="QBH30" s="175"/>
      <c r="QBI30" s="175"/>
      <c r="QBJ30" s="175"/>
      <c r="QBK30" s="175"/>
      <c r="QBL30" s="175"/>
      <c r="QBM30" s="175"/>
      <c r="QBN30" s="175"/>
      <c r="QBO30" s="175"/>
      <c r="QBP30" s="175"/>
      <c r="QBQ30" s="175"/>
      <c r="QBR30" s="175"/>
      <c r="QBS30" s="175"/>
      <c r="QBT30" s="175"/>
      <c r="QBU30" s="175"/>
      <c r="QBV30" s="175"/>
      <c r="QBW30" s="175"/>
      <c r="QBX30" s="175"/>
      <c r="QBY30" s="175"/>
      <c r="QBZ30" s="175"/>
      <c r="QCA30" s="175"/>
      <c r="QCB30" s="175"/>
      <c r="QCC30" s="175"/>
      <c r="QCD30" s="175"/>
      <c r="QCE30" s="175"/>
      <c r="QCF30" s="175"/>
      <c r="QCG30" s="175"/>
      <c r="QCH30" s="175"/>
      <c r="QCI30" s="175"/>
      <c r="QCJ30" s="175"/>
      <c r="QCK30" s="175"/>
      <c r="QCL30" s="175"/>
      <c r="QCM30" s="175"/>
      <c r="QCN30" s="175"/>
      <c r="QCO30" s="175"/>
      <c r="QCP30" s="175"/>
      <c r="QCQ30" s="175"/>
      <c r="QCR30" s="175"/>
      <c r="QCS30" s="175"/>
      <c r="QCT30" s="175"/>
      <c r="QCU30" s="175"/>
      <c r="QCV30" s="175"/>
      <c r="QCW30" s="175"/>
      <c r="QCX30" s="175"/>
      <c r="QCY30" s="175"/>
      <c r="QCZ30" s="175"/>
      <c r="QDA30" s="175"/>
      <c r="QDB30" s="175"/>
      <c r="QDC30" s="175"/>
      <c r="QDD30" s="175"/>
      <c r="QDE30" s="175"/>
      <c r="QDF30" s="175"/>
      <c r="QDG30" s="175"/>
      <c r="QDH30" s="175"/>
      <c r="QDI30" s="175"/>
      <c r="QDJ30" s="175"/>
      <c r="QDK30" s="175"/>
      <c r="QDL30" s="175"/>
      <c r="QDM30" s="175"/>
      <c r="QDN30" s="175"/>
      <c r="QDO30" s="175"/>
      <c r="QDP30" s="175"/>
      <c r="QDQ30" s="175"/>
      <c r="QDR30" s="175"/>
      <c r="QDS30" s="175"/>
      <c r="QDT30" s="175"/>
      <c r="QDU30" s="175"/>
      <c r="QDV30" s="175"/>
      <c r="QDW30" s="175"/>
      <c r="QDX30" s="175"/>
      <c r="QDY30" s="175"/>
      <c r="QDZ30" s="175"/>
      <c r="QEA30" s="175"/>
      <c r="QEB30" s="175"/>
      <c r="QEC30" s="175"/>
      <c r="QED30" s="175"/>
      <c r="QEE30" s="175"/>
      <c r="QEF30" s="175"/>
      <c r="QEG30" s="175"/>
      <c r="QEH30" s="175"/>
      <c r="QEI30" s="175"/>
      <c r="QEJ30" s="175"/>
      <c r="QEK30" s="175"/>
      <c r="QEL30" s="175"/>
      <c r="QEM30" s="175"/>
      <c r="QEN30" s="175"/>
      <c r="QEO30" s="175"/>
      <c r="QEP30" s="175"/>
      <c r="QEQ30" s="175"/>
      <c r="QER30" s="175"/>
      <c r="QES30" s="175"/>
      <c r="QET30" s="175"/>
      <c r="QEU30" s="175"/>
      <c r="QEV30" s="175"/>
      <c r="QEW30" s="175"/>
      <c r="QEX30" s="175"/>
      <c r="QEY30" s="175"/>
      <c r="QEZ30" s="175"/>
      <c r="QFA30" s="175"/>
      <c r="QFB30" s="175"/>
      <c r="QFC30" s="175"/>
      <c r="QFD30" s="175"/>
      <c r="QFE30" s="175"/>
      <c r="QFF30" s="175"/>
      <c r="QFG30" s="175"/>
      <c r="QFH30" s="175"/>
      <c r="QFI30" s="175"/>
      <c r="QFJ30" s="175"/>
      <c r="QFK30" s="175"/>
      <c r="QFL30" s="175"/>
      <c r="QFM30" s="175"/>
      <c r="QFN30" s="175"/>
      <c r="QFO30" s="175"/>
      <c r="QFP30" s="175"/>
      <c r="QFQ30" s="175"/>
      <c r="QFR30" s="175"/>
      <c r="QFS30" s="175"/>
      <c r="QFT30" s="175"/>
      <c r="QFU30" s="175"/>
      <c r="QFV30" s="175"/>
      <c r="QFW30" s="175"/>
      <c r="QFX30" s="175"/>
      <c r="QFY30" s="175"/>
      <c r="QFZ30" s="175"/>
      <c r="QGA30" s="175"/>
      <c r="QGB30" s="175"/>
      <c r="QGC30" s="175"/>
      <c r="QGD30" s="175"/>
      <c r="QGE30" s="175"/>
      <c r="QGF30" s="175"/>
      <c r="QGG30" s="175"/>
      <c r="QGH30" s="175"/>
      <c r="QGI30" s="175"/>
      <c r="QGJ30" s="175"/>
      <c r="QGK30" s="175"/>
      <c r="QGL30" s="175"/>
      <c r="QGM30" s="175"/>
      <c r="QGN30" s="175"/>
      <c r="QGO30" s="175"/>
      <c r="QGP30" s="175"/>
      <c r="QGQ30" s="175"/>
      <c r="QGR30" s="175"/>
      <c r="QGS30" s="175"/>
      <c r="QGT30" s="175"/>
      <c r="QGU30" s="175"/>
      <c r="QGV30" s="175"/>
      <c r="QGW30" s="175"/>
      <c r="QGX30" s="175"/>
      <c r="QGY30" s="175"/>
      <c r="QGZ30" s="175"/>
      <c r="QHA30" s="175"/>
      <c r="QHB30" s="175"/>
      <c r="QHC30" s="175"/>
      <c r="QHD30" s="175"/>
      <c r="QHE30" s="175"/>
      <c r="QHF30" s="175"/>
      <c r="QHG30" s="175"/>
      <c r="QHH30" s="175"/>
      <c r="QHI30" s="175"/>
      <c r="QHJ30" s="175"/>
      <c r="QHK30" s="175"/>
      <c r="QHL30" s="175"/>
      <c r="QHM30" s="175"/>
      <c r="QHN30" s="175"/>
      <c r="QHO30" s="175"/>
      <c r="QHP30" s="175"/>
      <c r="QHQ30" s="175"/>
      <c r="QHR30" s="175"/>
      <c r="QHS30" s="175"/>
      <c r="QHT30" s="175"/>
      <c r="QHU30" s="175"/>
      <c r="QHV30" s="175"/>
      <c r="QHW30" s="175"/>
      <c r="QHX30" s="175"/>
      <c r="QHY30" s="175"/>
      <c r="QHZ30" s="175"/>
      <c r="QIA30" s="175"/>
      <c r="QIB30" s="175"/>
      <c r="QIC30" s="175"/>
      <c r="QID30" s="175"/>
      <c r="QIE30" s="175"/>
      <c r="QIF30" s="175"/>
      <c r="QIG30" s="175"/>
      <c r="QIH30" s="175"/>
      <c r="QII30" s="175"/>
      <c r="QIJ30" s="175"/>
      <c r="QIK30" s="175"/>
      <c r="QIL30" s="175"/>
      <c r="QIM30" s="175"/>
      <c r="QIN30" s="175"/>
      <c r="QIO30" s="175"/>
      <c r="QIP30" s="175"/>
      <c r="QIQ30" s="175"/>
      <c r="QIR30" s="175"/>
      <c r="QIS30" s="175"/>
      <c r="QIT30" s="175"/>
      <c r="QIU30" s="175"/>
      <c r="QIV30" s="175"/>
      <c r="QIW30" s="175"/>
      <c r="QIX30" s="175"/>
      <c r="QIY30" s="175"/>
      <c r="QIZ30" s="175"/>
      <c r="QJA30" s="175"/>
      <c r="QJB30" s="175"/>
      <c r="QJC30" s="175"/>
      <c r="QJD30" s="175"/>
      <c r="QJE30" s="175"/>
      <c r="QJF30" s="175"/>
      <c r="QJG30" s="175"/>
      <c r="QJH30" s="175"/>
      <c r="QJI30" s="175"/>
      <c r="QJJ30" s="175"/>
      <c r="QJK30" s="175"/>
      <c r="QJL30" s="175"/>
      <c r="QJM30" s="175"/>
      <c r="QJN30" s="175"/>
      <c r="QJO30" s="175"/>
      <c r="QJP30" s="175"/>
      <c r="QJQ30" s="175"/>
      <c r="QJR30" s="175"/>
      <c r="QJS30" s="175"/>
      <c r="QJT30" s="175"/>
      <c r="QJU30" s="175"/>
      <c r="QJV30" s="175"/>
      <c r="QJW30" s="175"/>
      <c r="QJX30" s="175"/>
      <c r="QJY30" s="175"/>
      <c r="QJZ30" s="175"/>
      <c r="QKA30" s="175"/>
      <c r="QKB30" s="175"/>
      <c r="QKC30" s="175"/>
      <c r="QKD30" s="175"/>
      <c r="QKE30" s="175"/>
      <c r="QKF30" s="175"/>
      <c r="QKG30" s="175"/>
      <c r="QKH30" s="175"/>
      <c r="QKI30" s="175"/>
      <c r="QKJ30" s="175"/>
      <c r="QKK30" s="175"/>
      <c r="QKL30" s="175"/>
      <c r="QKM30" s="175"/>
      <c r="QKN30" s="175"/>
      <c r="QKO30" s="175"/>
      <c r="QKP30" s="175"/>
      <c r="QKQ30" s="175"/>
      <c r="QKR30" s="175"/>
      <c r="QKS30" s="175"/>
      <c r="QKT30" s="175"/>
      <c r="QKU30" s="175"/>
      <c r="QKV30" s="175"/>
      <c r="QKW30" s="175"/>
      <c r="QKX30" s="175"/>
      <c r="QKY30" s="175"/>
      <c r="QKZ30" s="175"/>
      <c r="QLA30" s="175"/>
      <c r="QLB30" s="175"/>
      <c r="QLC30" s="175"/>
      <c r="QLD30" s="175"/>
      <c r="QLE30" s="175"/>
      <c r="QLF30" s="175"/>
      <c r="QLG30" s="175"/>
      <c r="QLH30" s="175"/>
      <c r="QLI30" s="175"/>
      <c r="QLJ30" s="175"/>
      <c r="QLK30" s="175"/>
      <c r="QLL30" s="175"/>
      <c r="QLM30" s="175"/>
      <c r="QLN30" s="175"/>
      <c r="QLO30" s="175"/>
      <c r="QLP30" s="175"/>
      <c r="QLQ30" s="175"/>
      <c r="QLR30" s="175"/>
      <c r="QLS30" s="175"/>
      <c r="QLT30" s="175"/>
      <c r="QLU30" s="175"/>
      <c r="QLV30" s="175"/>
      <c r="QLW30" s="175"/>
      <c r="QLX30" s="175"/>
      <c r="QLY30" s="175"/>
      <c r="QLZ30" s="175"/>
      <c r="QMA30" s="175"/>
      <c r="QMB30" s="175"/>
      <c r="QMC30" s="175"/>
      <c r="QMD30" s="175"/>
      <c r="QME30" s="175"/>
      <c r="QMF30" s="175"/>
      <c r="QMG30" s="175"/>
      <c r="QMH30" s="175"/>
      <c r="QMI30" s="175"/>
      <c r="QMJ30" s="175"/>
      <c r="QMK30" s="175"/>
      <c r="QML30" s="175"/>
      <c r="QMM30" s="175"/>
      <c r="QMN30" s="175"/>
      <c r="QMO30" s="175"/>
      <c r="QMP30" s="175"/>
      <c r="QMQ30" s="175"/>
      <c r="QMR30" s="175"/>
      <c r="QMS30" s="175"/>
      <c r="QMT30" s="175"/>
      <c r="QMU30" s="175"/>
      <c r="QMV30" s="175"/>
      <c r="QMW30" s="175"/>
      <c r="QMX30" s="175"/>
      <c r="QMY30" s="175"/>
      <c r="QMZ30" s="175"/>
      <c r="QNA30" s="175"/>
      <c r="QNB30" s="175"/>
      <c r="QNC30" s="175"/>
      <c r="QND30" s="175"/>
      <c r="QNE30" s="175"/>
      <c r="QNF30" s="175"/>
      <c r="QNG30" s="175"/>
      <c r="QNH30" s="175"/>
      <c r="QNI30" s="175"/>
      <c r="QNJ30" s="175"/>
      <c r="QNK30" s="175"/>
      <c r="QNL30" s="175"/>
      <c r="QNM30" s="175"/>
      <c r="QNN30" s="175"/>
      <c r="QNO30" s="175"/>
      <c r="QNP30" s="175"/>
      <c r="QNQ30" s="175"/>
      <c r="QNR30" s="175"/>
      <c r="QNS30" s="175"/>
      <c r="QNT30" s="175"/>
      <c r="QNU30" s="175"/>
      <c r="QNV30" s="175"/>
      <c r="QNW30" s="175"/>
      <c r="QNX30" s="175"/>
      <c r="QNY30" s="175"/>
      <c r="QNZ30" s="175"/>
      <c r="QOA30" s="175"/>
      <c r="QOB30" s="175"/>
      <c r="QOC30" s="175"/>
      <c r="QOD30" s="175"/>
      <c r="QOE30" s="175"/>
      <c r="QOF30" s="175"/>
      <c r="QOG30" s="175"/>
      <c r="QOH30" s="175"/>
      <c r="QOI30" s="175"/>
      <c r="QOJ30" s="175"/>
      <c r="QOK30" s="175"/>
      <c r="QOL30" s="175"/>
      <c r="QOM30" s="175"/>
      <c r="QON30" s="175"/>
      <c r="QOO30" s="175"/>
      <c r="QOP30" s="175"/>
      <c r="QOQ30" s="175"/>
      <c r="QOR30" s="175"/>
      <c r="QOS30" s="175"/>
      <c r="QOT30" s="175"/>
      <c r="QOU30" s="175"/>
      <c r="QOV30" s="175"/>
      <c r="QOW30" s="175"/>
      <c r="QOX30" s="175"/>
      <c r="QOY30" s="175"/>
      <c r="QOZ30" s="175"/>
      <c r="QPA30" s="175"/>
      <c r="QPB30" s="175"/>
      <c r="QPC30" s="175"/>
      <c r="QPD30" s="175"/>
      <c r="QPE30" s="175"/>
      <c r="QPF30" s="175"/>
      <c r="QPG30" s="175"/>
      <c r="QPH30" s="175"/>
      <c r="QPI30" s="175"/>
      <c r="QPJ30" s="175"/>
      <c r="QPK30" s="175"/>
      <c r="QPL30" s="175"/>
      <c r="QPM30" s="175"/>
      <c r="QPN30" s="175"/>
      <c r="QPO30" s="175"/>
      <c r="QPP30" s="175"/>
      <c r="QPQ30" s="175"/>
      <c r="QPR30" s="175"/>
      <c r="QPS30" s="175"/>
      <c r="QPT30" s="175"/>
      <c r="QPU30" s="175"/>
      <c r="QPV30" s="175"/>
      <c r="QPW30" s="175"/>
      <c r="QPX30" s="175"/>
      <c r="QPY30" s="175"/>
      <c r="QPZ30" s="175"/>
      <c r="QQA30" s="175"/>
      <c r="QQB30" s="175"/>
      <c r="QQC30" s="175"/>
      <c r="QQD30" s="175"/>
      <c r="QQE30" s="175"/>
      <c r="QQF30" s="175"/>
      <c r="QQG30" s="175"/>
      <c r="QQH30" s="175"/>
      <c r="QQI30" s="175"/>
      <c r="QQJ30" s="175"/>
      <c r="QQK30" s="175"/>
      <c r="QQL30" s="175"/>
      <c r="QQM30" s="175"/>
      <c r="QQN30" s="175"/>
      <c r="QQO30" s="175"/>
      <c r="QQP30" s="175"/>
      <c r="QQQ30" s="175"/>
      <c r="QQR30" s="175"/>
      <c r="QQS30" s="175"/>
      <c r="QQT30" s="175"/>
      <c r="QQU30" s="175"/>
      <c r="QQV30" s="175"/>
      <c r="QQW30" s="175"/>
      <c r="QQX30" s="175"/>
      <c r="QQY30" s="175"/>
      <c r="QQZ30" s="175"/>
      <c r="QRA30" s="175"/>
      <c r="QRB30" s="175"/>
      <c r="QRC30" s="175"/>
      <c r="QRD30" s="175"/>
      <c r="QRE30" s="175"/>
      <c r="QRF30" s="175"/>
      <c r="QRG30" s="175"/>
      <c r="QRH30" s="175"/>
      <c r="QRI30" s="175"/>
      <c r="QRJ30" s="175"/>
      <c r="QRK30" s="175"/>
      <c r="QRL30" s="175"/>
      <c r="QRM30" s="175"/>
      <c r="QRN30" s="175"/>
      <c r="QRO30" s="175"/>
      <c r="QRP30" s="175"/>
      <c r="QRQ30" s="175"/>
      <c r="QRR30" s="175"/>
      <c r="QRS30" s="175"/>
      <c r="QRT30" s="175"/>
      <c r="QRU30" s="175"/>
      <c r="QRV30" s="175"/>
      <c r="QRW30" s="175"/>
      <c r="QRX30" s="175"/>
      <c r="QRY30" s="175"/>
      <c r="QRZ30" s="175"/>
      <c r="QSA30" s="175"/>
      <c r="QSB30" s="175"/>
      <c r="QSC30" s="175"/>
      <c r="QSD30" s="175"/>
      <c r="QSE30" s="175"/>
      <c r="QSF30" s="175"/>
      <c r="QSG30" s="175"/>
      <c r="QSH30" s="175"/>
      <c r="QSI30" s="175"/>
      <c r="QSJ30" s="175"/>
      <c r="QSK30" s="175"/>
      <c r="QSL30" s="175"/>
      <c r="QSM30" s="175"/>
      <c r="QSN30" s="175"/>
      <c r="QSO30" s="175"/>
      <c r="QSP30" s="175"/>
      <c r="QSQ30" s="175"/>
      <c r="QSR30" s="175"/>
      <c r="QSS30" s="175"/>
      <c r="QST30" s="175"/>
      <c r="QSU30" s="175"/>
      <c r="QSV30" s="175"/>
      <c r="QSW30" s="175"/>
      <c r="QSX30" s="175"/>
      <c r="QSY30" s="175"/>
      <c r="QSZ30" s="175"/>
      <c r="QTA30" s="175"/>
      <c r="QTB30" s="175"/>
      <c r="QTC30" s="175"/>
      <c r="QTD30" s="175"/>
      <c r="QTE30" s="175"/>
      <c r="QTF30" s="175"/>
      <c r="QTG30" s="175"/>
      <c r="QTH30" s="175"/>
      <c r="QTI30" s="175"/>
      <c r="QTJ30" s="175"/>
      <c r="QTK30" s="175"/>
      <c r="QTL30" s="175"/>
      <c r="QTM30" s="175"/>
      <c r="QTN30" s="175"/>
      <c r="QTO30" s="175"/>
      <c r="QTP30" s="175"/>
      <c r="QTQ30" s="175"/>
      <c r="QTR30" s="175"/>
      <c r="QTS30" s="175"/>
      <c r="QTT30" s="175"/>
      <c r="QTU30" s="175"/>
      <c r="QTV30" s="175"/>
      <c r="QTW30" s="175"/>
      <c r="QTX30" s="175"/>
      <c r="QTY30" s="175"/>
      <c r="QTZ30" s="175"/>
      <c r="QUA30" s="175"/>
      <c r="QUB30" s="175"/>
      <c r="QUC30" s="175"/>
      <c r="QUD30" s="175"/>
      <c r="QUE30" s="175"/>
      <c r="QUF30" s="175"/>
      <c r="QUG30" s="175"/>
      <c r="QUH30" s="175"/>
      <c r="QUI30" s="175"/>
      <c r="QUJ30" s="175"/>
      <c r="QUK30" s="175"/>
      <c r="QUL30" s="175"/>
      <c r="QUM30" s="175"/>
      <c r="QUN30" s="175"/>
      <c r="QUO30" s="175"/>
      <c r="QUP30" s="175"/>
      <c r="QUQ30" s="175"/>
      <c r="QUR30" s="175"/>
      <c r="QUS30" s="175"/>
      <c r="QUT30" s="175"/>
      <c r="QUU30" s="175"/>
      <c r="QUV30" s="175"/>
      <c r="QUW30" s="175"/>
      <c r="QUX30" s="175"/>
      <c r="QUY30" s="175"/>
      <c r="QUZ30" s="175"/>
      <c r="QVA30" s="175"/>
      <c r="QVB30" s="175"/>
      <c r="QVC30" s="175"/>
      <c r="QVD30" s="175"/>
      <c r="QVE30" s="175"/>
      <c r="QVF30" s="175"/>
      <c r="QVG30" s="175"/>
      <c r="QVH30" s="175"/>
      <c r="QVI30" s="175"/>
      <c r="QVJ30" s="175"/>
      <c r="QVK30" s="175"/>
      <c r="QVL30" s="175"/>
      <c r="QVM30" s="175"/>
      <c r="QVN30" s="175"/>
      <c r="QVO30" s="175"/>
      <c r="QVP30" s="175"/>
      <c r="QVQ30" s="175"/>
      <c r="QVR30" s="175"/>
      <c r="QVS30" s="175"/>
      <c r="QVT30" s="175"/>
      <c r="QVU30" s="175"/>
      <c r="QVV30" s="175"/>
      <c r="QVW30" s="175"/>
      <c r="QVX30" s="175"/>
      <c r="QVY30" s="175"/>
      <c r="QVZ30" s="175"/>
      <c r="QWA30" s="175"/>
      <c r="QWB30" s="175"/>
      <c r="QWC30" s="175"/>
      <c r="QWD30" s="175"/>
      <c r="QWE30" s="175"/>
      <c r="QWF30" s="175"/>
      <c r="QWG30" s="175"/>
      <c r="QWH30" s="175"/>
      <c r="QWI30" s="175"/>
      <c r="QWJ30" s="175"/>
      <c r="QWK30" s="175"/>
      <c r="QWL30" s="175"/>
      <c r="QWM30" s="175"/>
      <c r="QWN30" s="175"/>
      <c r="QWO30" s="175"/>
      <c r="QWP30" s="175"/>
      <c r="QWQ30" s="175"/>
      <c r="QWR30" s="175"/>
      <c r="QWS30" s="175"/>
      <c r="QWT30" s="175"/>
      <c r="QWU30" s="175"/>
      <c r="QWV30" s="175"/>
      <c r="QWW30" s="175"/>
      <c r="QWX30" s="175"/>
      <c r="QWY30" s="175"/>
      <c r="QWZ30" s="175"/>
      <c r="QXA30" s="175"/>
      <c r="QXB30" s="175"/>
      <c r="QXC30" s="175"/>
      <c r="QXD30" s="175"/>
      <c r="QXE30" s="175"/>
      <c r="QXF30" s="175"/>
      <c r="QXG30" s="175"/>
      <c r="QXH30" s="175"/>
      <c r="QXI30" s="175"/>
      <c r="QXJ30" s="175"/>
      <c r="QXK30" s="175"/>
      <c r="QXL30" s="175"/>
      <c r="QXM30" s="175"/>
      <c r="QXN30" s="175"/>
      <c r="QXO30" s="175"/>
      <c r="QXP30" s="175"/>
      <c r="QXQ30" s="175"/>
      <c r="QXR30" s="175"/>
      <c r="QXS30" s="175"/>
      <c r="QXT30" s="175"/>
      <c r="QXU30" s="175"/>
      <c r="QXV30" s="175"/>
      <c r="QXW30" s="175"/>
      <c r="QXX30" s="175"/>
      <c r="QXY30" s="175"/>
      <c r="QXZ30" s="175"/>
      <c r="QYA30" s="175"/>
      <c r="QYB30" s="175"/>
      <c r="QYC30" s="175"/>
      <c r="QYD30" s="175"/>
      <c r="QYE30" s="175"/>
      <c r="QYF30" s="175"/>
      <c r="QYG30" s="175"/>
      <c r="QYH30" s="175"/>
      <c r="QYI30" s="175"/>
      <c r="QYJ30" s="175"/>
      <c r="QYK30" s="175"/>
      <c r="QYL30" s="175"/>
      <c r="QYM30" s="175"/>
      <c r="QYN30" s="175"/>
      <c r="QYO30" s="175"/>
      <c r="QYP30" s="175"/>
      <c r="QYQ30" s="175"/>
      <c r="QYR30" s="175"/>
      <c r="QYS30" s="175"/>
      <c r="QYT30" s="175"/>
      <c r="QYU30" s="175"/>
      <c r="QYV30" s="175"/>
      <c r="QYW30" s="175"/>
      <c r="QYX30" s="175"/>
      <c r="QYY30" s="175"/>
      <c r="QYZ30" s="175"/>
      <c r="QZA30" s="175"/>
      <c r="QZB30" s="175"/>
      <c r="QZC30" s="175"/>
      <c r="QZD30" s="175"/>
      <c r="QZE30" s="175"/>
      <c r="QZF30" s="175"/>
      <c r="QZG30" s="175"/>
      <c r="QZH30" s="175"/>
      <c r="QZI30" s="175"/>
      <c r="QZJ30" s="175"/>
      <c r="QZK30" s="175"/>
      <c r="QZL30" s="175"/>
      <c r="QZM30" s="175"/>
      <c r="QZN30" s="175"/>
      <c r="QZO30" s="175"/>
      <c r="QZP30" s="175"/>
      <c r="QZQ30" s="175"/>
      <c r="QZR30" s="175"/>
      <c r="QZS30" s="175"/>
      <c r="QZT30" s="175"/>
      <c r="QZU30" s="175"/>
      <c r="QZV30" s="175"/>
      <c r="QZW30" s="175"/>
      <c r="QZX30" s="175"/>
      <c r="QZY30" s="175"/>
      <c r="QZZ30" s="175"/>
      <c r="RAA30" s="175"/>
      <c r="RAB30" s="175"/>
      <c r="RAC30" s="175"/>
      <c r="RAD30" s="175"/>
      <c r="RAE30" s="175"/>
      <c r="RAF30" s="175"/>
      <c r="RAG30" s="175"/>
      <c r="RAH30" s="175"/>
      <c r="RAI30" s="175"/>
      <c r="RAJ30" s="175"/>
      <c r="RAK30" s="175"/>
      <c r="RAL30" s="175"/>
      <c r="RAM30" s="175"/>
      <c r="RAN30" s="175"/>
      <c r="RAO30" s="175"/>
      <c r="RAP30" s="175"/>
      <c r="RAQ30" s="175"/>
      <c r="RAR30" s="175"/>
      <c r="RAS30" s="175"/>
      <c r="RAT30" s="175"/>
      <c r="RAU30" s="175"/>
      <c r="RAV30" s="175"/>
      <c r="RAW30" s="175"/>
      <c r="RAX30" s="175"/>
      <c r="RAY30" s="175"/>
      <c r="RAZ30" s="175"/>
      <c r="RBA30" s="175"/>
      <c r="RBB30" s="175"/>
      <c r="RBC30" s="175"/>
      <c r="RBD30" s="175"/>
      <c r="RBE30" s="175"/>
      <c r="RBF30" s="175"/>
      <c r="RBG30" s="175"/>
      <c r="RBH30" s="175"/>
      <c r="RBI30" s="175"/>
      <c r="RBJ30" s="175"/>
      <c r="RBK30" s="175"/>
      <c r="RBL30" s="175"/>
      <c r="RBM30" s="175"/>
      <c r="RBN30" s="175"/>
      <c r="RBO30" s="175"/>
      <c r="RBP30" s="175"/>
      <c r="RBQ30" s="175"/>
      <c r="RBR30" s="175"/>
      <c r="RBS30" s="175"/>
      <c r="RBT30" s="175"/>
      <c r="RBU30" s="175"/>
      <c r="RBV30" s="175"/>
      <c r="RBW30" s="175"/>
      <c r="RBX30" s="175"/>
      <c r="RBY30" s="175"/>
      <c r="RBZ30" s="175"/>
      <c r="RCA30" s="175"/>
      <c r="RCB30" s="175"/>
      <c r="RCC30" s="175"/>
      <c r="RCD30" s="175"/>
      <c r="RCE30" s="175"/>
      <c r="RCF30" s="175"/>
      <c r="RCG30" s="175"/>
      <c r="RCH30" s="175"/>
      <c r="RCI30" s="175"/>
      <c r="RCJ30" s="175"/>
      <c r="RCK30" s="175"/>
      <c r="RCL30" s="175"/>
      <c r="RCM30" s="175"/>
      <c r="RCN30" s="175"/>
      <c r="RCO30" s="175"/>
      <c r="RCP30" s="175"/>
      <c r="RCQ30" s="175"/>
      <c r="RCR30" s="175"/>
      <c r="RCS30" s="175"/>
      <c r="RCT30" s="175"/>
      <c r="RCU30" s="175"/>
      <c r="RCV30" s="175"/>
      <c r="RCW30" s="175"/>
      <c r="RCX30" s="175"/>
      <c r="RCY30" s="175"/>
      <c r="RCZ30" s="175"/>
      <c r="RDA30" s="175"/>
      <c r="RDB30" s="175"/>
      <c r="RDC30" s="175"/>
      <c r="RDD30" s="175"/>
      <c r="RDE30" s="175"/>
      <c r="RDF30" s="175"/>
      <c r="RDG30" s="175"/>
      <c r="RDH30" s="175"/>
      <c r="RDI30" s="175"/>
      <c r="RDJ30" s="175"/>
      <c r="RDK30" s="175"/>
      <c r="RDL30" s="175"/>
      <c r="RDM30" s="175"/>
      <c r="RDN30" s="175"/>
      <c r="RDO30" s="175"/>
      <c r="RDP30" s="175"/>
      <c r="RDQ30" s="175"/>
      <c r="RDR30" s="175"/>
      <c r="RDS30" s="175"/>
      <c r="RDT30" s="175"/>
      <c r="RDU30" s="175"/>
      <c r="RDV30" s="175"/>
      <c r="RDW30" s="175"/>
      <c r="RDX30" s="175"/>
      <c r="RDY30" s="175"/>
      <c r="RDZ30" s="175"/>
      <c r="REA30" s="175"/>
      <c r="REB30" s="175"/>
      <c r="REC30" s="175"/>
      <c r="RED30" s="175"/>
      <c r="REE30" s="175"/>
      <c r="REF30" s="175"/>
      <c r="REG30" s="175"/>
      <c r="REH30" s="175"/>
      <c r="REI30" s="175"/>
      <c r="REJ30" s="175"/>
      <c r="REK30" s="175"/>
      <c r="REL30" s="175"/>
      <c r="REM30" s="175"/>
      <c r="REN30" s="175"/>
      <c r="REO30" s="175"/>
      <c r="REP30" s="175"/>
      <c r="REQ30" s="175"/>
      <c r="RER30" s="175"/>
      <c r="RES30" s="175"/>
      <c r="RET30" s="175"/>
      <c r="REU30" s="175"/>
      <c r="REV30" s="175"/>
      <c r="REW30" s="175"/>
      <c r="REX30" s="175"/>
      <c r="REY30" s="175"/>
      <c r="REZ30" s="175"/>
      <c r="RFA30" s="175"/>
      <c r="RFB30" s="175"/>
      <c r="RFC30" s="175"/>
      <c r="RFD30" s="175"/>
      <c r="RFE30" s="175"/>
      <c r="RFF30" s="175"/>
      <c r="RFG30" s="175"/>
      <c r="RFH30" s="175"/>
      <c r="RFI30" s="175"/>
      <c r="RFJ30" s="175"/>
      <c r="RFK30" s="175"/>
      <c r="RFL30" s="175"/>
      <c r="RFM30" s="175"/>
      <c r="RFN30" s="175"/>
      <c r="RFO30" s="175"/>
      <c r="RFP30" s="175"/>
      <c r="RFQ30" s="175"/>
      <c r="RFR30" s="175"/>
      <c r="RFS30" s="175"/>
      <c r="RFT30" s="175"/>
      <c r="RFU30" s="175"/>
      <c r="RFV30" s="175"/>
      <c r="RFW30" s="175"/>
      <c r="RFX30" s="175"/>
      <c r="RFY30" s="175"/>
      <c r="RFZ30" s="175"/>
      <c r="RGA30" s="175"/>
      <c r="RGB30" s="175"/>
      <c r="RGC30" s="175"/>
      <c r="RGD30" s="175"/>
      <c r="RGE30" s="175"/>
      <c r="RGF30" s="175"/>
      <c r="RGG30" s="175"/>
      <c r="RGH30" s="175"/>
      <c r="RGI30" s="175"/>
      <c r="RGJ30" s="175"/>
      <c r="RGK30" s="175"/>
      <c r="RGL30" s="175"/>
      <c r="RGM30" s="175"/>
      <c r="RGN30" s="175"/>
      <c r="RGO30" s="175"/>
      <c r="RGP30" s="175"/>
      <c r="RGQ30" s="175"/>
      <c r="RGR30" s="175"/>
      <c r="RGS30" s="175"/>
      <c r="RGT30" s="175"/>
      <c r="RGU30" s="175"/>
      <c r="RGV30" s="175"/>
      <c r="RGW30" s="175"/>
      <c r="RGX30" s="175"/>
      <c r="RGY30" s="175"/>
      <c r="RGZ30" s="175"/>
      <c r="RHA30" s="175"/>
      <c r="RHB30" s="175"/>
      <c r="RHC30" s="175"/>
      <c r="RHD30" s="175"/>
      <c r="RHE30" s="175"/>
      <c r="RHF30" s="175"/>
      <c r="RHG30" s="175"/>
      <c r="RHH30" s="175"/>
      <c r="RHI30" s="175"/>
      <c r="RHJ30" s="175"/>
      <c r="RHK30" s="175"/>
      <c r="RHL30" s="175"/>
      <c r="RHM30" s="175"/>
      <c r="RHN30" s="175"/>
      <c r="RHO30" s="175"/>
      <c r="RHP30" s="175"/>
      <c r="RHQ30" s="175"/>
      <c r="RHR30" s="175"/>
      <c r="RHS30" s="175"/>
      <c r="RHT30" s="175"/>
      <c r="RHU30" s="175"/>
      <c r="RHV30" s="175"/>
      <c r="RHW30" s="175"/>
      <c r="RHX30" s="175"/>
      <c r="RHY30" s="175"/>
      <c r="RHZ30" s="175"/>
      <c r="RIA30" s="175"/>
      <c r="RIB30" s="175"/>
      <c r="RIC30" s="175"/>
      <c r="RID30" s="175"/>
      <c r="RIE30" s="175"/>
      <c r="RIF30" s="175"/>
      <c r="RIG30" s="175"/>
      <c r="RIH30" s="175"/>
      <c r="RII30" s="175"/>
      <c r="RIJ30" s="175"/>
      <c r="RIK30" s="175"/>
      <c r="RIL30" s="175"/>
      <c r="RIM30" s="175"/>
      <c r="RIN30" s="175"/>
      <c r="RIO30" s="175"/>
      <c r="RIP30" s="175"/>
      <c r="RIQ30" s="175"/>
      <c r="RIR30" s="175"/>
      <c r="RIS30" s="175"/>
      <c r="RIT30" s="175"/>
      <c r="RIU30" s="175"/>
      <c r="RIV30" s="175"/>
      <c r="RIW30" s="175"/>
      <c r="RIX30" s="175"/>
      <c r="RIY30" s="175"/>
      <c r="RIZ30" s="175"/>
      <c r="RJA30" s="175"/>
      <c r="RJB30" s="175"/>
      <c r="RJC30" s="175"/>
      <c r="RJD30" s="175"/>
      <c r="RJE30" s="175"/>
      <c r="RJF30" s="175"/>
      <c r="RJG30" s="175"/>
      <c r="RJH30" s="175"/>
      <c r="RJI30" s="175"/>
      <c r="RJJ30" s="175"/>
      <c r="RJK30" s="175"/>
      <c r="RJL30" s="175"/>
      <c r="RJM30" s="175"/>
      <c r="RJN30" s="175"/>
      <c r="RJO30" s="175"/>
      <c r="RJP30" s="175"/>
      <c r="RJQ30" s="175"/>
      <c r="RJR30" s="175"/>
      <c r="RJS30" s="175"/>
      <c r="RJT30" s="175"/>
      <c r="RJU30" s="175"/>
      <c r="RJV30" s="175"/>
      <c r="RJW30" s="175"/>
      <c r="RJX30" s="175"/>
      <c r="RJY30" s="175"/>
      <c r="RJZ30" s="175"/>
      <c r="RKA30" s="175"/>
      <c r="RKB30" s="175"/>
      <c r="RKC30" s="175"/>
      <c r="RKD30" s="175"/>
      <c r="RKE30" s="175"/>
      <c r="RKF30" s="175"/>
      <c r="RKG30" s="175"/>
      <c r="RKH30" s="175"/>
      <c r="RKI30" s="175"/>
      <c r="RKJ30" s="175"/>
      <c r="RKK30" s="175"/>
      <c r="RKL30" s="175"/>
      <c r="RKM30" s="175"/>
      <c r="RKN30" s="175"/>
      <c r="RKO30" s="175"/>
      <c r="RKP30" s="175"/>
      <c r="RKQ30" s="175"/>
      <c r="RKR30" s="175"/>
      <c r="RKS30" s="175"/>
      <c r="RKT30" s="175"/>
      <c r="RKU30" s="175"/>
      <c r="RKV30" s="175"/>
      <c r="RKW30" s="175"/>
      <c r="RKX30" s="175"/>
      <c r="RKY30" s="175"/>
      <c r="RKZ30" s="175"/>
      <c r="RLA30" s="175"/>
      <c r="RLB30" s="175"/>
      <c r="RLC30" s="175"/>
      <c r="RLD30" s="175"/>
      <c r="RLE30" s="175"/>
      <c r="RLF30" s="175"/>
      <c r="RLG30" s="175"/>
      <c r="RLH30" s="175"/>
      <c r="RLI30" s="175"/>
      <c r="RLJ30" s="175"/>
      <c r="RLK30" s="175"/>
      <c r="RLL30" s="175"/>
      <c r="RLM30" s="175"/>
      <c r="RLN30" s="175"/>
      <c r="RLO30" s="175"/>
      <c r="RLP30" s="175"/>
      <c r="RLQ30" s="175"/>
      <c r="RLR30" s="175"/>
      <c r="RLS30" s="175"/>
      <c r="RLT30" s="175"/>
      <c r="RLU30" s="175"/>
      <c r="RLV30" s="175"/>
      <c r="RLW30" s="175"/>
      <c r="RLX30" s="175"/>
      <c r="RLY30" s="175"/>
      <c r="RLZ30" s="175"/>
      <c r="RMA30" s="175"/>
      <c r="RMB30" s="175"/>
      <c r="RMC30" s="175"/>
      <c r="RMD30" s="175"/>
      <c r="RME30" s="175"/>
      <c r="RMF30" s="175"/>
      <c r="RMG30" s="175"/>
      <c r="RMH30" s="175"/>
      <c r="RMI30" s="175"/>
      <c r="RMJ30" s="175"/>
      <c r="RMK30" s="175"/>
      <c r="RML30" s="175"/>
      <c r="RMM30" s="175"/>
      <c r="RMN30" s="175"/>
      <c r="RMO30" s="175"/>
      <c r="RMP30" s="175"/>
      <c r="RMQ30" s="175"/>
      <c r="RMR30" s="175"/>
      <c r="RMS30" s="175"/>
      <c r="RMT30" s="175"/>
      <c r="RMU30" s="175"/>
      <c r="RMV30" s="175"/>
      <c r="RMW30" s="175"/>
      <c r="RMX30" s="175"/>
      <c r="RMY30" s="175"/>
      <c r="RMZ30" s="175"/>
      <c r="RNA30" s="175"/>
      <c r="RNB30" s="175"/>
      <c r="RNC30" s="175"/>
      <c r="RND30" s="175"/>
      <c r="RNE30" s="175"/>
      <c r="RNF30" s="175"/>
      <c r="RNG30" s="175"/>
      <c r="RNH30" s="175"/>
      <c r="RNI30" s="175"/>
      <c r="RNJ30" s="175"/>
      <c r="RNK30" s="175"/>
      <c r="RNL30" s="175"/>
      <c r="RNM30" s="175"/>
      <c r="RNN30" s="175"/>
      <c r="RNO30" s="175"/>
      <c r="RNP30" s="175"/>
      <c r="RNQ30" s="175"/>
      <c r="RNR30" s="175"/>
      <c r="RNS30" s="175"/>
      <c r="RNT30" s="175"/>
      <c r="RNU30" s="175"/>
      <c r="RNV30" s="175"/>
      <c r="RNW30" s="175"/>
      <c r="RNX30" s="175"/>
      <c r="RNY30" s="175"/>
      <c r="RNZ30" s="175"/>
      <c r="ROA30" s="175"/>
      <c r="ROB30" s="175"/>
      <c r="ROC30" s="175"/>
      <c r="ROD30" s="175"/>
      <c r="ROE30" s="175"/>
      <c r="ROF30" s="175"/>
      <c r="ROG30" s="175"/>
      <c r="ROH30" s="175"/>
      <c r="ROI30" s="175"/>
      <c r="ROJ30" s="175"/>
      <c r="ROK30" s="175"/>
      <c r="ROL30" s="175"/>
      <c r="ROM30" s="175"/>
      <c r="RON30" s="175"/>
      <c r="ROO30" s="175"/>
      <c r="ROP30" s="175"/>
      <c r="ROQ30" s="175"/>
      <c r="ROR30" s="175"/>
      <c r="ROS30" s="175"/>
      <c r="ROT30" s="175"/>
      <c r="ROU30" s="175"/>
      <c r="ROV30" s="175"/>
      <c r="ROW30" s="175"/>
      <c r="ROX30" s="175"/>
      <c r="ROY30" s="175"/>
      <c r="ROZ30" s="175"/>
      <c r="RPA30" s="175"/>
      <c r="RPB30" s="175"/>
      <c r="RPC30" s="175"/>
      <c r="RPD30" s="175"/>
      <c r="RPE30" s="175"/>
      <c r="RPF30" s="175"/>
      <c r="RPG30" s="175"/>
      <c r="RPH30" s="175"/>
      <c r="RPI30" s="175"/>
      <c r="RPJ30" s="175"/>
      <c r="RPK30" s="175"/>
      <c r="RPL30" s="175"/>
      <c r="RPM30" s="175"/>
      <c r="RPN30" s="175"/>
      <c r="RPO30" s="175"/>
      <c r="RPP30" s="175"/>
      <c r="RPQ30" s="175"/>
      <c r="RPR30" s="175"/>
      <c r="RPS30" s="175"/>
      <c r="RPT30" s="175"/>
      <c r="RPU30" s="175"/>
      <c r="RPV30" s="175"/>
      <c r="RPW30" s="175"/>
      <c r="RPX30" s="175"/>
      <c r="RPY30" s="175"/>
      <c r="RPZ30" s="175"/>
      <c r="RQA30" s="175"/>
      <c r="RQB30" s="175"/>
      <c r="RQC30" s="175"/>
      <c r="RQD30" s="175"/>
      <c r="RQE30" s="175"/>
      <c r="RQF30" s="175"/>
      <c r="RQG30" s="175"/>
      <c r="RQH30" s="175"/>
      <c r="RQI30" s="175"/>
      <c r="RQJ30" s="175"/>
      <c r="RQK30" s="175"/>
      <c r="RQL30" s="175"/>
      <c r="RQM30" s="175"/>
      <c r="RQN30" s="175"/>
      <c r="RQO30" s="175"/>
      <c r="RQP30" s="175"/>
      <c r="RQQ30" s="175"/>
      <c r="RQR30" s="175"/>
      <c r="RQS30" s="175"/>
      <c r="RQT30" s="175"/>
      <c r="RQU30" s="175"/>
      <c r="RQV30" s="175"/>
      <c r="RQW30" s="175"/>
      <c r="RQX30" s="175"/>
      <c r="RQY30" s="175"/>
      <c r="RQZ30" s="175"/>
      <c r="RRA30" s="175"/>
      <c r="RRB30" s="175"/>
      <c r="RRC30" s="175"/>
      <c r="RRD30" s="175"/>
      <c r="RRE30" s="175"/>
      <c r="RRF30" s="175"/>
      <c r="RRG30" s="175"/>
      <c r="RRH30" s="175"/>
      <c r="RRI30" s="175"/>
      <c r="RRJ30" s="175"/>
      <c r="RRK30" s="175"/>
      <c r="RRL30" s="175"/>
      <c r="RRM30" s="175"/>
      <c r="RRN30" s="175"/>
      <c r="RRO30" s="175"/>
      <c r="RRP30" s="175"/>
      <c r="RRQ30" s="175"/>
      <c r="RRR30" s="175"/>
      <c r="RRS30" s="175"/>
      <c r="RRT30" s="175"/>
      <c r="RRU30" s="175"/>
      <c r="RRV30" s="175"/>
      <c r="RRW30" s="175"/>
      <c r="RRX30" s="175"/>
      <c r="RRY30" s="175"/>
      <c r="RRZ30" s="175"/>
      <c r="RSA30" s="175"/>
      <c r="RSB30" s="175"/>
      <c r="RSC30" s="175"/>
      <c r="RSD30" s="175"/>
      <c r="RSE30" s="175"/>
      <c r="RSF30" s="175"/>
      <c r="RSG30" s="175"/>
      <c r="RSH30" s="175"/>
      <c r="RSI30" s="175"/>
      <c r="RSJ30" s="175"/>
      <c r="RSK30" s="175"/>
      <c r="RSL30" s="175"/>
      <c r="RSM30" s="175"/>
      <c r="RSN30" s="175"/>
      <c r="RSO30" s="175"/>
      <c r="RSP30" s="175"/>
      <c r="RSQ30" s="175"/>
      <c r="RSR30" s="175"/>
      <c r="RSS30" s="175"/>
      <c r="RST30" s="175"/>
      <c r="RSU30" s="175"/>
      <c r="RSV30" s="175"/>
      <c r="RSW30" s="175"/>
      <c r="RSX30" s="175"/>
      <c r="RSY30" s="175"/>
      <c r="RSZ30" s="175"/>
      <c r="RTA30" s="175"/>
      <c r="RTB30" s="175"/>
      <c r="RTC30" s="175"/>
      <c r="RTD30" s="175"/>
      <c r="RTE30" s="175"/>
      <c r="RTF30" s="175"/>
      <c r="RTG30" s="175"/>
      <c r="RTH30" s="175"/>
      <c r="RTI30" s="175"/>
      <c r="RTJ30" s="175"/>
      <c r="RTK30" s="175"/>
      <c r="RTL30" s="175"/>
      <c r="RTM30" s="175"/>
      <c r="RTN30" s="175"/>
      <c r="RTO30" s="175"/>
      <c r="RTP30" s="175"/>
      <c r="RTQ30" s="175"/>
      <c r="RTR30" s="175"/>
      <c r="RTS30" s="175"/>
      <c r="RTT30" s="175"/>
      <c r="RTU30" s="175"/>
      <c r="RTV30" s="175"/>
      <c r="RTW30" s="175"/>
      <c r="RTX30" s="175"/>
      <c r="RTY30" s="175"/>
      <c r="RTZ30" s="175"/>
      <c r="RUA30" s="175"/>
      <c r="RUB30" s="175"/>
      <c r="RUC30" s="175"/>
      <c r="RUD30" s="175"/>
      <c r="RUE30" s="175"/>
      <c r="RUF30" s="175"/>
      <c r="RUG30" s="175"/>
      <c r="RUH30" s="175"/>
      <c r="RUI30" s="175"/>
      <c r="RUJ30" s="175"/>
      <c r="RUK30" s="175"/>
      <c r="RUL30" s="175"/>
      <c r="RUM30" s="175"/>
      <c r="RUN30" s="175"/>
      <c r="RUO30" s="175"/>
      <c r="RUP30" s="175"/>
      <c r="RUQ30" s="175"/>
      <c r="RUR30" s="175"/>
      <c r="RUS30" s="175"/>
      <c r="RUT30" s="175"/>
      <c r="RUU30" s="175"/>
      <c r="RUV30" s="175"/>
      <c r="RUW30" s="175"/>
      <c r="RUX30" s="175"/>
      <c r="RUY30" s="175"/>
      <c r="RUZ30" s="175"/>
      <c r="RVA30" s="175"/>
      <c r="RVB30" s="175"/>
      <c r="RVC30" s="175"/>
      <c r="RVD30" s="175"/>
      <c r="RVE30" s="175"/>
      <c r="RVF30" s="175"/>
      <c r="RVG30" s="175"/>
      <c r="RVH30" s="175"/>
      <c r="RVI30" s="175"/>
      <c r="RVJ30" s="175"/>
      <c r="RVK30" s="175"/>
      <c r="RVL30" s="175"/>
      <c r="RVM30" s="175"/>
      <c r="RVN30" s="175"/>
      <c r="RVO30" s="175"/>
      <c r="RVP30" s="175"/>
      <c r="RVQ30" s="175"/>
      <c r="RVR30" s="175"/>
      <c r="RVS30" s="175"/>
      <c r="RVT30" s="175"/>
      <c r="RVU30" s="175"/>
      <c r="RVV30" s="175"/>
      <c r="RVW30" s="175"/>
      <c r="RVX30" s="175"/>
      <c r="RVY30" s="175"/>
      <c r="RVZ30" s="175"/>
      <c r="RWA30" s="175"/>
      <c r="RWB30" s="175"/>
      <c r="RWC30" s="175"/>
      <c r="RWD30" s="175"/>
      <c r="RWE30" s="175"/>
      <c r="RWF30" s="175"/>
      <c r="RWG30" s="175"/>
      <c r="RWH30" s="175"/>
      <c r="RWI30" s="175"/>
      <c r="RWJ30" s="175"/>
      <c r="RWK30" s="175"/>
      <c r="RWL30" s="175"/>
      <c r="RWM30" s="175"/>
      <c r="RWN30" s="175"/>
      <c r="RWO30" s="175"/>
      <c r="RWP30" s="175"/>
      <c r="RWQ30" s="175"/>
      <c r="RWR30" s="175"/>
      <c r="RWS30" s="175"/>
      <c r="RWT30" s="175"/>
      <c r="RWU30" s="175"/>
      <c r="RWV30" s="175"/>
      <c r="RWW30" s="175"/>
      <c r="RWX30" s="175"/>
      <c r="RWY30" s="175"/>
      <c r="RWZ30" s="175"/>
      <c r="RXA30" s="175"/>
      <c r="RXB30" s="175"/>
      <c r="RXC30" s="175"/>
      <c r="RXD30" s="175"/>
      <c r="RXE30" s="175"/>
      <c r="RXF30" s="175"/>
      <c r="RXG30" s="175"/>
      <c r="RXH30" s="175"/>
      <c r="RXI30" s="175"/>
      <c r="RXJ30" s="175"/>
      <c r="RXK30" s="175"/>
      <c r="RXL30" s="175"/>
      <c r="RXM30" s="175"/>
      <c r="RXN30" s="175"/>
      <c r="RXO30" s="175"/>
      <c r="RXP30" s="175"/>
      <c r="RXQ30" s="175"/>
      <c r="RXR30" s="175"/>
      <c r="RXS30" s="175"/>
      <c r="RXT30" s="175"/>
      <c r="RXU30" s="175"/>
      <c r="RXV30" s="175"/>
      <c r="RXW30" s="175"/>
      <c r="RXX30" s="175"/>
      <c r="RXY30" s="175"/>
      <c r="RXZ30" s="175"/>
      <c r="RYA30" s="175"/>
      <c r="RYB30" s="175"/>
      <c r="RYC30" s="175"/>
      <c r="RYD30" s="175"/>
      <c r="RYE30" s="175"/>
      <c r="RYF30" s="175"/>
      <c r="RYG30" s="175"/>
      <c r="RYH30" s="175"/>
      <c r="RYI30" s="175"/>
      <c r="RYJ30" s="175"/>
      <c r="RYK30" s="175"/>
      <c r="RYL30" s="175"/>
      <c r="RYM30" s="175"/>
      <c r="RYN30" s="175"/>
      <c r="RYO30" s="175"/>
      <c r="RYP30" s="175"/>
      <c r="RYQ30" s="175"/>
      <c r="RYR30" s="175"/>
      <c r="RYS30" s="175"/>
      <c r="RYT30" s="175"/>
      <c r="RYU30" s="175"/>
      <c r="RYV30" s="175"/>
      <c r="RYW30" s="175"/>
      <c r="RYX30" s="175"/>
      <c r="RYY30" s="175"/>
      <c r="RYZ30" s="175"/>
      <c r="RZA30" s="175"/>
      <c r="RZB30" s="175"/>
      <c r="RZC30" s="175"/>
      <c r="RZD30" s="175"/>
      <c r="RZE30" s="175"/>
      <c r="RZF30" s="175"/>
      <c r="RZG30" s="175"/>
      <c r="RZH30" s="175"/>
      <c r="RZI30" s="175"/>
      <c r="RZJ30" s="175"/>
      <c r="RZK30" s="175"/>
      <c r="RZL30" s="175"/>
      <c r="RZM30" s="175"/>
      <c r="RZN30" s="175"/>
      <c r="RZO30" s="175"/>
      <c r="RZP30" s="175"/>
      <c r="RZQ30" s="175"/>
      <c r="RZR30" s="175"/>
      <c r="RZS30" s="175"/>
      <c r="RZT30" s="175"/>
      <c r="RZU30" s="175"/>
      <c r="RZV30" s="175"/>
      <c r="RZW30" s="175"/>
      <c r="RZX30" s="175"/>
      <c r="RZY30" s="175"/>
      <c r="RZZ30" s="175"/>
      <c r="SAA30" s="175"/>
      <c r="SAB30" s="175"/>
      <c r="SAC30" s="175"/>
      <c r="SAD30" s="175"/>
      <c r="SAE30" s="175"/>
      <c r="SAF30" s="175"/>
      <c r="SAG30" s="175"/>
      <c r="SAH30" s="175"/>
      <c r="SAI30" s="175"/>
      <c r="SAJ30" s="175"/>
      <c r="SAK30" s="175"/>
      <c r="SAL30" s="175"/>
      <c r="SAM30" s="175"/>
      <c r="SAN30" s="175"/>
      <c r="SAO30" s="175"/>
      <c r="SAP30" s="175"/>
      <c r="SAQ30" s="175"/>
      <c r="SAR30" s="175"/>
      <c r="SAS30" s="175"/>
      <c r="SAT30" s="175"/>
      <c r="SAU30" s="175"/>
      <c r="SAV30" s="175"/>
      <c r="SAW30" s="175"/>
      <c r="SAX30" s="175"/>
      <c r="SAY30" s="175"/>
      <c r="SAZ30" s="175"/>
      <c r="SBA30" s="175"/>
      <c r="SBB30" s="175"/>
      <c r="SBC30" s="175"/>
      <c r="SBD30" s="175"/>
      <c r="SBE30" s="175"/>
      <c r="SBF30" s="175"/>
      <c r="SBG30" s="175"/>
      <c r="SBH30" s="175"/>
      <c r="SBI30" s="175"/>
      <c r="SBJ30" s="175"/>
      <c r="SBK30" s="175"/>
      <c r="SBL30" s="175"/>
      <c r="SBM30" s="175"/>
      <c r="SBN30" s="175"/>
      <c r="SBO30" s="175"/>
      <c r="SBP30" s="175"/>
      <c r="SBQ30" s="175"/>
      <c r="SBR30" s="175"/>
      <c r="SBS30" s="175"/>
      <c r="SBT30" s="175"/>
      <c r="SBU30" s="175"/>
      <c r="SBV30" s="175"/>
      <c r="SBW30" s="175"/>
      <c r="SBX30" s="175"/>
      <c r="SBY30" s="175"/>
      <c r="SBZ30" s="175"/>
      <c r="SCA30" s="175"/>
      <c r="SCB30" s="175"/>
      <c r="SCC30" s="175"/>
      <c r="SCD30" s="175"/>
      <c r="SCE30" s="175"/>
      <c r="SCF30" s="175"/>
      <c r="SCG30" s="175"/>
      <c r="SCH30" s="175"/>
      <c r="SCI30" s="175"/>
      <c r="SCJ30" s="175"/>
      <c r="SCK30" s="175"/>
      <c r="SCL30" s="175"/>
      <c r="SCM30" s="175"/>
      <c r="SCN30" s="175"/>
      <c r="SCO30" s="175"/>
      <c r="SCP30" s="175"/>
      <c r="SCQ30" s="175"/>
      <c r="SCR30" s="175"/>
      <c r="SCS30" s="175"/>
      <c r="SCT30" s="175"/>
      <c r="SCU30" s="175"/>
      <c r="SCV30" s="175"/>
      <c r="SCW30" s="175"/>
      <c r="SCX30" s="175"/>
      <c r="SCY30" s="175"/>
      <c r="SCZ30" s="175"/>
      <c r="SDA30" s="175"/>
      <c r="SDB30" s="175"/>
      <c r="SDC30" s="175"/>
      <c r="SDD30" s="175"/>
      <c r="SDE30" s="175"/>
      <c r="SDF30" s="175"/>
      <c r="SDG30" s="175"/>
      <c r="SDH30" s="175"/>
      <c r="SDI30" s="175"/>
      <c r="SDJ30" s="175"/>
      <c r="SDK30" s="175"/>
      <c r="SDL30" s="175"/>
      <c r="SDM30" s="175"/>
      <c r="SDN30" s="175"/>
      <c r="SDO30" s="175"/>
      <c r="SDP30" s="175"/>
      <c r="SDQ30" s="175"/>
      <c r="SDR30" s="175"/>
      <c r="SDS30" s="175"/>
      <c r="SDT30" s="175"/>
      <c r="SDU30" s="175"/>
      <c r="SDV30" s="175"/>
      <c r="SDW30" s="175"/>
      <c r="SDX30" s="175"/>
      <c r="SDY30" s="175"/>
      <c r="SDZ30" s="175"/>
      <c r="SEA30" s="175"/>
      <c r="SEB30" s="175"/>
      <c r="SEC30" s="175"/>
      <c r="SED30" s="175"/>
      <c r="SEE30" s="175"/>
      <c r="SEF30" s="175"/>
      <c r="SEG30" s="175"/>
      <c r="SEH30" s="175"/>
      <c r="SEI30" s="175"/>
      <c r="SEJ30" s="175"/>
      <c r="SEK30" s="175"/>
      <c r="SEL30" s="175"/>
      <c r="SEM30" s="175"/>
      <c r="SEN30" s="175"/>
      <c r="SEO30" s="175"/>
      <c r="SEP30" s="175"/>
      <c r="SEQ30" s="175"/>
      <c r="SER30" s="175"/>
      <c r="SES30" s="175"/>
      <c r="SET30" s="175"/>
      <c r="SEU30" s="175"/>
      <c r="SEV30" s="175"/>
      <c r="SEW30" s="175"/>
      <c r="SEX30" s="175"/>
      <c r="SEY30" s="175"/>
      <c r="SEZ30" s="175"/>
      <c r="SFA30" s="175"/>
      <c r="SFB30" s="175"/>
      <c r="SFC30" s="175"/>
      <c r="SFD30" s="175"/>
      <c r="SFE30" s="175"/>
      <c r="SFF30" s="175"/>
      <c r="SFG30" s="175"/>
      <c r="SFH30" s="175"/>
      <c r="SFI30" s="175"/>
      <c r="SFJ30" s="175"/>
      <c r="SFK30" s="175"/>
      <c r="SFL30" s="175"/>
      <c r="SFM30" s="175"/>
      <c r="SFN30" s="175"/>
      <c r="SFO30" s="175"/>
      <c r="SFP30" s="175"/>
      <c r="SFQ30" s="175"/>
      <c r="SFR30" s="175"/>
      <c r="SFS30" s="175"/>
      <c r="SFT30" s="175"/>
      <c r="SFU30" s="175"/>
      <c r="SFV30" s="175"/>
      <c r="SFW30" s="175"/>
      <c r="SFX30" s="175"/>
      <c r="SFY30" s="175"/>
      <c r="SFZ30" s="175"/>
      <c r="SGA30" s="175"/>
      <c r="SGB30" s="175"/>
      <c r="SGC30" s="175"/>
      <c r="SGD30" s="175"/>
      <c r="SGE30" s="175"/>
      <c r="SGF30" s="175"/>
      <c r="SGG30" s="175"/>
      <c r="SGH30" s="175"/>
      <c r="SGI30" s="175"/>
      <c r="SGJ30" s="175"/>
      <c r="SGK30" s="175"/>
      <c r="SGL30" s="175"/>
      <c r="SGM30" s="175"/>
      <c r="SGN30" s="175"/>
      <c r="SGO30" s="175"/>
      <c r="SGP30" s="175"/>
      <c r="SGQ30" s="175"/>
      <c r="SGR30" s="175"/>
      <c r="SGS30" s="175"/>
      <c r="SGT30" s="175"/>
      <c r="SGU30" s="175"/>
      <c r="SGV30" s="175"/>
      <c r="SGW30" s="175"/>
      <c r="SGX30" s="175"/>
      <c r="SGY30" s="175"/>
      <c r="SGZ30" s="175"/>
      <c r="SHA30" s="175"/>
      <c r="SHB30" s="175"/>
      <c r="SHC30" s="175"/>
      <c r="SHD30" s="175"/>
      <c r="SHE30" s="175"/>
      <c r="SHF30" s="175"/>
      <c r="SHG30" s="175"/>
      <c r="SHH30" s="175"/>
      <c r="SHI30" s="175"/>
      <c r="SHJ30" s="175"/>
      <c r="SHK30" s="175"/>
      <c r="SHL30" s="175"/>
      <c r="SHM30" s="175"/>
      <c r="SHN30" s="175"/>
      <c r="SHO30" s="175"/>
      <c r="SHP30" s="175"/>
      <c r="SHQ30" s="175"/>
      <c r="SHR30" s="175"/>
      <c r="SHS30" s="175"/>
      <c r="SHT30" s="175"/>
      <c r="SHU30" s="175"/>
      <c r="SHV30" s="175"/>
      <c r="SHW30" s="175"/>
      <c r="SHX30" s="175"/>
      <c r="SHY30" s="175"/>
      <c r="SHZ30" s="175"/>
      <c r="SIA30" s="175"/>
      <c r="SIB30" s="175"/>
      <c r="SIC30" s="175"/>
      <c r="SID30" s="175"/>
      <c r="SIE30" s="175"/>
      <c r="SIF30" s="175"/>
      <c r="SIG30" s="175"/>
      <c r="SIH30" s="175"/>
      <c r="SII30" s="175"/>
      <c r="SIJ30" s="175"/>
      <c r="SIK30" s="175"/>
      <c r="SIL30" s="175"/>
      <c r="SIM30" s="175"/>
      <c r="SIN30" s="175"/>
      <c r="SIO30" s="175"/>
      <c r="SIP30" s="175"/>
      <c r="SIQ30" s="175"/>
      <c r="SIR30" s="175"/>
      <c r="SIS30" s="175"/>
      <c r="SIT30" s="175"/>
      <c r="SIU30" s="175"/>
      <c r="SIV30" s="175"/>
      <c r="SIW30" s="175"/>
      <c r="SIX30" s="175"/>
      <c r="SIY30" s="175"/>
      <c r="SIZ30" s="175"/>
      <c r="SJA30" s="175"/>
      <c r="SJB30" s="175"/>
      <c r="SJC30" s="175"/>
      <c r="SJD30" s="175"/>
      <c r="SJE30" s="175"/>
      <c r="SJF30" s="175"/>
      <c r="SJG30" s="175"/>
      <c r="SJH30" s="175"/>
      <c r="SJI30" s="175"/>
      <c r="SJJ30" s="175"/>
      <c r="SJK30" s="175"/>
      <c r="SJL30" s="175"/>
      <c r="SJM30" s="175"/>
      <c r="SJN30" s="175"/>
      <c r="SJO30" s="175"/>
      <c r="SJP30" s="175"/>
      <c r="SJQ30" s="175"/>
      <c r="SJR30" s="175"/>
      <c r="SJS30" s="175"/>
      <c r="SJT30" s="175"/>
      <c r="SJU30" s="175"/>
      <c r="SJV30" s="175"/>
      <c r="SJW30" s="175"/>
      <c r="SJX30" s="175"/>
      <c r="SJY30" s="175"/>
      <c r="SJZ30" s="175"/>
      <c r="SKA30" s="175"/>
      <c r="SKB30" s="175"/>
      <c r="SKC30" s="175"/>
      <c r="SKD30" s="175"/>
      <c r="SKE30" s="175"/>
      <c r="SKF30" s="175"/>
      <c r="SKG30" s="175"/>
      <c r="SKH30" s="175"/>
      <c r="SKI30" s="175"/>
      <c r="SKJ30" s="175"/>
      <c r="SKK30" s="175"/>
      <c r="SKL30" s="175"/>
      <c r="SKM30" s="175"/>
      <c r="SKN30" s="175"/>
      <c r="SKO30" s="175"/>
      <c r="SKP30" s="175"/>
      <c r="SKQ30" s="175"/>
      <c r="SKR30" s="175"/>
      <c r="SKS30" s="175"/>
      <c r="SKT30" s="175"/>
      <c r="SKU30" s="175"/>
      <c r="SKV30" s="175"/>
      <c r="SKW30" s="175"/>
      <c r="SKX30" s="175"/>
      <c r="SKY30" s="175"/>
      <c r="SKZ30" s="175"/>
      <c r="SLA30" s="175"/>
      <c r="SLB30" s="175"/>
      <c r="SLC30" s="175"/>
      <c r="SLD30" s="175"/>
      <c r="SLE30" s="175"/>
      <c r="SLF30" s="175"/>
      <c r="SLG30" s="175"/>
      <c r="SLH30" s="175"/>
      <c r="SLI30" s="175"/>
      <c r="SLJ30" s="175"/>
      <c r="SLK30" s="175"/>
      <c r="SLL30" s="175"/>
      <c r="SLM30" s="175"/>
      <c r="SLN30" s="175"/>
      <c r="SLO30" s="175"/>
      <c r="SLP30" s="175"/>
      <c r="SLQ30" s="175"/>
      <c r="SLR30" s="175"/>
      <c r="SLS30" s="175"/>
      <c r="SLT30" s="175"/>
      <c r="SLU30" s="175"/>
      <c r="SLV30" s="175"/>
      <c r="SLW30" s="175"/>
      <c r="SLX30" s="175"/>
      <c r="SLY30" s="175"/>
      <c r="SLZ30" s="175"/>
      <c r="SMA30" s="175"/>
      <c r="SMB30" s="175"/>
      <c r="SMC30" s="175"/>
      <c r="SMD30" s="175"/>
      <c r="SME30" s="175"/>
      <c r="SMF30" s="175"/>
      <c r="SMG30" s="175"/>
      <c r="SMH30" s="175"/>
      <c r="SMI30" s="175"/>
      <c r="SMJ30" s="175"/>
      <c r="SMK30" s="175"/>
      <c r="SML30" s="175"/>
      <c r="SMM30" s="175"/>
      <c r="SMN30" s="175"/>
      <c r="SMO30" s="175"/>
      <c r="SMP30" s="175"/>
      <c r="SMQ30" s="175"/>
      <c r="SMR30" s="175"/>
      <c r="SMS30" s="175"/>
      <c r="SMT30" s="175"/>
      <c r="SMU30" s="175"/>
      <c r="SMV30" s="175"/>
      <c r="SMW30" s="175"/>
      <c r="SMX30" s="175"/>
      <c r="SMY30" s="175"/>
      <c r="SMZ30" s="175"/>
      <c r="SNA30" s="175"/>
      <c r="SNB30" s="175"/>
      <c r="SNC30" s="175"/>
      <c r="SND30" s="175"/>
      <c r="SNE30" s="175"/>
      <c r="SNF30" s="175"/>
      <c r="SNG30" s="175"/>
      <c r="SNH30" s="175"/>
      <c r="SNI30" s="175"/>
      <c r="SNJ30" s="175"/>
      <c r="SNK30" s="175"/>
      <c r="SNL30" s="175"/>
      <c r="SNM30" s="175"/>
      <c r="SNN30" s="175"/>
      <c r="SNO30" s="175"/>
      <c r="SNP30" s="175"/>
      <c r="SNQ30" s="175"/>
      <c r="SNR30" s="175"/>
      <c r="SNS30" s="175"/>
      <c r="SNT30" s="175"/>
      <c r="SNU30" s="175"/>
      <c r="SNV30" s="175"/>
      <c r="SNW30" s="175"/>
      <c r="SNX30" s="175"/>
      <c r="SNY30" s="175"/>
      <c r="SNZ30" s="175"/>
      <c r="SOA30" s="175"/>
      <c r="SOB30" s="175"/>
      <c r="SOC30" s="175"/>
      <c r="SOD30" s="175"/>
      <c r="SOE30" s="175"/>
      <c r="SOF30" s="175"/>
      <c r="SOG30" s="175"/>
      <c r="SOH30" s="175"/>
      <c r="SOI30" s="175"/>
      <c r="SOJ30" s="175"/>
      <c r="SOK30" s="175"/>
      <c r="SOL30" s="175"/>
      <c r="SOM30" s="175"/>
      <c r="SON30" s="175"/>
      <c r="SOO30" s="175"/>
      <c r="SOP30" s="175"/>
      <c r="SOQ30" s="175"/>
      <c r="SOR30" s="175"/>
      <c r="SOS30" s="175"/>
      <c r="SOT30" s="175"/>
      <c r="SOU30" s="175"/>
      <c r="SOV30" s="175"/>
      <c r="SOW30" s="175"/>
      <c r="SOX30" s="175"/>
      <c r="SOY30" s="175"/>
      <c r="SOZ30" s="175"/>
      <c r="SPA30" s="175"/>
      <c r="SPB30" s="175"/>
      <c r="SPC30" s="175"/>
      <c r="SPD30" s="175"/>
      <c r="SPE30" s="175"/>
      <c r="SPF30" s="175"/>
      <c r="SPG30" s="175"/>
      <c r="SPH30" s="175"/>
      <c r="SPI30" s="175"/>
      <c r="SPJ30" s="175"/>
      <c r="SPK30" s="175"/>
      <c r="SPL30" s="175"/>
      <c r="SPM30" s="175"/>
      <c r="SPN30" s="175"/>
      <c r="SPO30" s="175"/>
      <c r="SPP30" s="175"/>
      <c r="SPQ30" s="175"/>
      <c r="SPR30" s="175"/>
      <c r="SPS30" s="175"/>
      <c r="SPT30" s="175"/>
      <c r="SPU30" s="175"/>
      <c r="SPV30" s="175"/>
      <c r="SPW30" s="175"/>
      <c r="SPX30" s="175"/>
      <c r="SPY30" s="175"/>
      <c r="SPZ30" s="175"/>
      <c r="SQA30" s="175"/>
      <c r="SQB30" s="175"/>
      <c r="SQC30" s="175"/>
      <c r="SQD30" s="175"/>
      <c r="SQE30" s="175"/>
      <c r="SQF30" s="175"/>
      <c r="SQG30" s="175"/>
      <c r="SQH30" s="175"/>
      <c r="SQI30" s="175"/>
      <c r="SQJ30" s="175"/>
      <c r="SQK30" s="175"/>
      <c r="SQL30" s="175"/>
      <c r="SQM30" s="175"/>
      <c r="SQN30" s="175"/>
      <c r="SQO30" s="175"/>
      <c r="SQP30" s="175"/>
      <c r="SQQ30" s="175"/>
      <c r="SQR30" s="175"/>
      <c r="SQS30" s="175"/>
      <c r="SQT30" s="175"/>
      <c r="SQU30" s="175"/>
      <c r="SQV30" s="175"/>
      <c r="SQW30" s="175"/>
      <c r="SQX30" s="175"/>
      <c r="SQY30" s="175"/>
      <c r="SQZ30" s="175"/>
      <c r="SRA30" s="175"/>
      <c r="SRB30" s="175"/>
      <c r="SRC30" s="175"/>
      <c r="SRD30" s="175"/>
      <c r="SRE30" s="175"/>
      <c r="SRF30" s="175"/>
      <c r="SRG30" s="175"/>
      <c r="SRH30" s="175"/>
      <c r="SRI30" s="175"/>
      <c r="SRJ30" s="175"/>
      <c r="SRK30" s="175"/>
      <c r="SRL30" s="175"/>
      <c r="SRM30" s="175"/>
      <c r="SRN30" s="175"/>
      <c r="SRO30" s="175"/>
      <c r="SRP30" s="175"/>
      <c r="SRQ30" s="175"/>
      <c r="SRR30" s="175"/>
      <c r="SRS30" s="175"/>
      <c r="SRT30" s="175"/>
      <c r="SRU30" s="175"/>
      <c r="SRV30" s="175"/>
      <c r="SRW30" s="175"/>
      <c r="SRX30" s="175"/>
      <c r="SRY30" s="175"/>
      <c r="SRZ30" s="175"/>
      <c r="SSA30" s="175"/>
      <c r="SSB30" s="175"/>
      <c r="SSC30" s="175"/>
      <c r="SSD30" s="175"/>
      <c r="SSE30" s="175"/>
      <c r="SSF30" s="175"/>
      <c r="SSG30" s="175"/>
      <c r="SSH30" s="175"/>
      <c r="SSI30" s="175"/>
      <c r="SSJ30" s="175"/>
      <c r="SSK30" s="175"/>
      <c r="SSL30" s="175"/>
      <c r="SSM30" s="175"/>
      <c r="SSN30" s="175"/>
      <c r="SSO30" s="175"/>
      <c r="SSP30" s="175"/>
      <c r="SSQ30" s="175"/>
      <c r="SSR30" s="175"/>
      <c r="SSS30" s="175"/>
      <c r="SST30" s="175"/>
      <c r="SSU30" s="175"/>
      <c r="SSV30" s="175"/>
      <c r="SSW30" s="175"/>
      <c r="SSX30" s="175"/>
      <c r="SSY30" s="175"/>
      <c r="SSZ30" s="175"/>
      <c r="STA30" s="175"/>
      <c r="STB30" s="175"/>
      <c r="STC30" s="175"/>
      <c r="STD30" s="175"/>
      <c r="STE30" s="175"/>
      <c r="STF30" s="175"/>
      <c r="STG30" s="175"/>
      <c r="STH30" s="175"/>
      <c r="STI30" s="175"/>
      <c r="STJ30" s="175"/>
      <c r="STK30" s="175"/>
      <c r="STL30" s="175"/>
      <c r="STM30" s="175"/>
      <c r="STN30" s="175"/>
      <c r="STO30" s="175"/>
      <c r="STP30" s="175"/>
      <c r="STQ30" s="175"/>
      <c r="STR30" s="175"/>
      <c r="STS30" s="175"/>
      <c r="STT30" s="175"/>
      <c r="STU30" s="175"/>
      <c r="STV30" s="175"/>
      <c r="STW30" s="175"/>
      <c r="STX30" s="175"/>
      <c r="STY30" s="175"/>
      <c r="STZ30" s="175"/>
      <c r="SUA30" s="175"/>
      <c r="SUB30" s="175"/>
      <c r="SUC30" s="175"/>
      <c r="SUD30" s="175"/>
      <c r="SUE30" s="175"/>
      <c r="SUF30" s="175"/>
      <c r="SUG30" s="175"/>
      <c r="SUH30" s="175"/>
      <c r="SUI30" s="175"/>
      <c r="SUJ30" s="175"/>
      <c r="SUK30" s="175"/>
      <c r="SUL30" s="175"/>
      <c r="SUM30" s="175"/>
      <c r="SUN30" s="175"/>
      <c r="SUO30" s="175"/>
      <c r="SUP30" s="175"/>
      <c r="SUQ30" s="175"/>
      <c r="SUR30" s="175"/>
      <c r="SUS30" s="175"/>
      <c r="SUT30" s="175"/>
      <c r="SUU30" s="175"/>
      <c r="SUV30" s="175"/>
      <c r="SUW30" s="175"/>
      <c r="SUX30" s="175"/>
      <c r="SUY30" s="175"/>
      <c r="SUZ30" s="175"/>
      <c r="SVA30" s="175"/>
      <c r="SVB30" s="175"/>
      <c r="SVC30" s="175"/>
      <c r="SVD30" s="175"/>
      <c r="SVE30" s="175"/>
      <c r="SVF30" s="175"/>
      <c r="SVG30" s="175"/>
      <c r="SVH30" s="175"/>
      <c r="SVI30" s="175"/>
      <c r="SVJ30" s="175"/>
      <c r="SVK30" s="175"/>
      <c r="SVL30" s="175"/>
      <c r="SVM30" s="175"/>
      <c r="SVN30" s="175"/>
      <c r="SVO30" s="175"/>
      <c r="SVP30" s="175"/>
      <c r="SVQ30" s="175"/>
      <c r="SVR30" s="175"/>
      <c r="SVS30" s="175"/>
      <c r="SVT30" s="175"/>
      <c r="SVU30" s="175"/>
      <c r="SVV30" s="175"/>
      <c r="SVW30" s="175"/>
      <c r="SVX30" s="175"/>
      <c r="SVY30" s="175"/>
      <c r="SVZ30" s="175"/>
      <c r="SWA30" s="175"/>
      <c r="SWB30" s="175"/>
      <c r="SWC30" s="175"/>
      <c r="SWD30" s="175"/>
      <c r="SWE30" s="175"/>
      <c r="SWF30" s="175"/>
      <c r="SWG30" s="175"/>
      <c r="SWH30" s="175"/>
      <c r="SWI30" s="175"/>
      <c r="SWJ30" s="175"/>
      <c r="SWK30" s="175"/>
      <c r="SWL30" s="175"/>
      <c r="SWM30" s="175"/>
      <c r="SWN30" s="175"/>
      <c r="SWO30" s="175"/>
      <c r="SWP30" s="175"/>
      <c r="SWQ30" s="175"/>
      <c r="SWR30" s="175"/>
      <c r="SWS30" s="175"/>
      <c r="SWT30" s="175"/>
      <c r="SWU30" s="175"/>
      <c r="SWV30" s="175"/>
      <c r="SWW30" s="175"/>
      <c r="SWX30" s="175"/>
      <c r="SWY30" s="175"/>
      <c r="SWZ30" s="175"/>
      <c r="SXA30" s="175"/>
      <c r="SXB30" s="175"/>
      <c r="SXC30" s="175"/>
      <c r="SXD30" s="175"/>
      <c r="SXE30" s="175"/>
      <c r="SXF30" s="175"/>
      <c r="SXG30" s="175"/>
      <c r="SXH30" s="175"/>
      <c r="SXI30" s="175"/>
      <c r="SXJ30" s="175"/>
      <c r="SXK30" s="175"/>
      <c r="SXL30" s="175"/>
      <c r="SXM30" s="175"/>
      <c r="SXN30" s="175"/>
      <c r="SXO30" s="175"/>
      <c r="SXP30" s="175"/>
      <c r="SXQ30" s="175"/>
      <c r="SXR30" s="175"/>
      <c r="SXS30" s="175"/>
      <c r="SXT30" s="175"/>
      <c r="SXU30" s="175"/>
      <c r="SXV30" s="175"/>
      <c r="SXW30" s="175"/>
      <c r="SXX30" s="175"/>
      <c r="SXY30" s="175"/>
      <c r="SXZ30" s="175"/>
      <c r="SYA30" s="175"/>
      <c r="SYB30" s="175"/>
      <c r="SYC30" s="175"/>
      <c r="SYD30" s="175"/>
      <c r="SYE30" s="175"/>
      <c r="SYF30" s="175"/>
      <c r="SYG30" s="175"/>
      <c r="SYH30" s="175"/>
      <c r="SYI30" s="175"/>
      <c r="SYJ30" s="175"/>
      <c r="SYK30" s="175"/>
      <c r="SYL30" s="175"/>
      <c r="SYM30" s="175"/>
      <c r="SYN30" s="175"/>
      <c r="SYO30" s="175"/>
      <c r="SYP30" s="175"/>
      <c r="SYQ30" s="175"/>
      <c r="SYR30" s="175"/>
      <c r="SYS30" s="175"/>
      <c r="SYT30" s="175"/>
      <c r="SYU30" s="175"/>
      <c r="SYV30" s="175"/>
      <c r="SYW30" s="175"/>
      <c r="SYX30" s="175"/>
      <c r="SYY30" s="175"/>
      <c r="SYZ30" s="175"/>
      <c r="SZA30" s="175"/>
      <c r="SZB30" s="175"/>
      <c r="SZC30" s="175"/>
      <c r="SZD30" s="175"/>
      <c r="SZE30" s="175"/>
      <c r="SZF30" s="175"/>
      <c r="SZG30" s="175"/>
      <c r="SZH30" s="175"/>
      <c r="SZI30" s="175"/>
      <c r="SZJ30" s="175"/>
      <c r="SZK30" s="175"/>
      <c r="SZL30" s="175"/>
      <c r="SZM30" s="175"/>
      <c r="SZN30" s="175"/>
      <c r="SZO30" s="175"/>
      <c r="SZP30" s="175"/>
      <c r="SZQ30" s="175"/>
      <c r="SZR30" s="175"/>
      <c r="SZS30" s="175"/>
      <c r="SZT30" s="175"/>
      <c r="SZU30" s="175"/>
      <c r="SZV30" s="175"/>
      <c r="SZW30" s="175"/>
      <c r="SZX30" s="175"/>
      <c r="SZY30" s="175"/>
      <c r="SZZ30" s="175"/>
      <c r="TAA30" s="175"/>
      <c r="TAB30" s="175"/>
      <c r="TAC30" s="175"/>
      <c r="TAD30" s="175"/>
      <c r="TAE30" s="175"/>
      <c r="TAF30" s="175"/>
      <c r="TAG30" s="175"/>
      <c r="TAH30" s="175"/>
      <c r="TAI30" s="175"/>
      <c r="TAJ30" s="175"/>
      <c r="TAK30" s="175"/>
      <c r="TAL30" s="175"/>
      <c r="TAM30" s="175"/>
      <c r="TAN30" s="175"/>
      <c r="TAO30" s="175"/>
      <c r="TAP30" s="175"/>
      <c r="TAQ30" s="175"/>
      <c r="TAR30" s="175"/>
      <c r="TAS30" s="175"/>
      <c r="TAT30" s="175"/>
      <c r="TAU30" s="175"/>
      <c r="TAV30" s="175"/>
      <c r="TAW30" s="175"/>
      <c r="TAX30" s="175"/>
      <c r="TAY30" s="175"/>
      <c r="TAZ30" s="175"/>
      <c r="TBA30" s="175"/>
      <c r="TBB30" s="175"/>
      <c r="TBC30" s="175"/>
      <c r="TBD30" s="175"/>
      <c r="TBE30" s="175"/>
      <c r="TBF30" s="175"/>
      <c r="TBG30" s="175"/>
      <c r="TBH30" s="175"/>
      <c r="TBI30" s="175"/>
      <c r="TBJ30" s="175"/>
      <c r="TBK30" s="175"/>
      <c r="TBL30" s="175"/>
      <c r="TBM30" s="175"/>
      <c r="TBN30" s="175"/>
      <c r="TBO30" s="175"/>
      <c r="TBP30" s="175"/>
      <c r="TBQ30" s="175"/>
      <c r="TBR30" s="175"/>
      <c r="TBS30" s="175"/>
      <c r="TBT30" s="175"/>
      <c r="TBU30" s="175"/>
      <c r="TBV30" s="175"/>
      <c r="TBW30" s="175"/>
      <c r="TBX30" s="175"/>
      <c r="TBY30" s="175"/>
      <c r="TBZ30" s="175"/>
      <c r="TCA30" s="175"/>
      <c r="TCB30" s="175"/>
      <c r="TCC30" s="175"/>
      <c r="TCD30" s="175"/>
      <c r="TCE30" s="175"/>
      <c r="TCF30" s="175"/>
      <c r="TCG30" s="175"/>
      <c r="TCH30" s="175"/>
      <c r="TCI30" s="175"/>
      <c r="TCJ30" s="175"/>
      <c r="TCK30" s="175"/>
      <c r="TCL30" s="175"/>
      <c r="TCM30" s="175"/>
      <c r="TCN30" s="175"/>
      <c r="TCO30" s="175"/>
      <c r="TCP30" s="175"/>
      <c r="TCQ30" s="175"/>
      <c r="TCR30" s="175"/>
      <c r="TCS30" s="175"/>
      <c r="TCT30" s="175"/>
      <c r="TCU30" s="175"/>
      <c r="TCV30" s="175"/>
      <c r="TCW30" s="175"/>
      <c r="TCX30" s="175"/>
      <c r="TCY30" s="175"/>
      <c r="TCZ30" s="175"/>
      <c r="TDA30" s="175"/>
      <c r="TDB30" s="175"/>
      <c r="TDC30" s="175"/>
      <c r="TDD30" s="175"/>
      <c r="TDE30" s="175"/>
      <c r="TDF30" s="175"/>
      <c r="TDG30" s="175"/>
      <c r="TDH30" s="175"/>
      <c r="TDI30" s="175"/>
      <c r="TDJ30" s="175"/>
      <c r="TDK30" s="175"/>
      <c r="TDL30" s="175"/>
      <c r="TDM30" s="175"/>
      <c r="TDN30" s="175"/>
      <c r="TDO30" s="175"/>
      <c r="TDP30" s="175"/>
      <c r="TDQ30" s="175"/>
      <c r="TDR30" s="175"/>
      <c r="TDS30" s="175"/>
      <c r="TDT30" s="175"/>
      <c r="TDU30" s="175"/>
      <c r="TDV30" s="175"/>
      <c r="TDW30" s="175"/>
      <c r="TDX30" s="175"/>
      <c r="TDY30" s="175"/>
      <c r="TDZ30" s="175"/>
      <c r="TEA30" s="175"/>
      <c r="TEB30" s="175"/>
      <c r="TEC30" s="175"/>
      <c r="TED30" s="175"/>
      <c r="TEE30" s="175"/>
      <c r="TEF30" s="175"/>
      <c r="TEG30" s="175"/>
      <c r="TEH30" s="175"/>
      <c r="TEI30" s="175"/>
      <c r="TEJ30" s="175"/>
      <c r="TEK30" s="175"/>
      <c r="TEL30" s="175"/>
      <c r="TEM30" s="175"/>
      <c r="TEN30" s="175"/>
      <c r="TEO30" s="175"/>
      <c r="TEP30" s="175"/>
      <c r="TEQ30" s="175"/>
      <c r="TER30" s="175"/>
      <c r="TES30" s="175"/>
      <c r="TET30" s="175"/>
      <c r="TEU30" s="175"/>
      <c r="TEV30" s="175"/>
      <c r="TEW30" s="175"/>
      <c r="TEX30" s="175"/>
      <c r="TEY30" s="175"/>
      <c r="TEZ30" s="175"/>
      <c r="TFA30" s="175"/>
      <c r="TFB30" s="175"/>
      <c r="TFC30" s="175"/>
      <c r="TFD30" s="175"/>
      <c r="TFE30" s="175"/>
      <c r="TFF30" s="175"/>
      <c r="TFG30" s="175"/>
      <c r="TFH30" s="175"/>
      <c r="TFI30" s="175"/>
      <c r="TFJ30" s="175"/>
      <c r="TFK30" s="175"/>
      <c r="TFL30" s="175"/>
      <c r="TFM30" s="175"/>
      <c r="TFN30" s="175"/>
      <c r="TFO30" s="175"/>
      <c r="TFP30" s="175"/>
      <c r="TFQ30" s="175"/>
      <c r="TFR30" s="175"/>
      <c r="TFS30" s="175"/>
      <c r="TFT30" s="175"/>
      <c r="TFU30" s="175"/>
      <c r="TFV30" s="175"/>
      <c r="TFW30" s="175"/>
      <c r="TFX30" s="175"/>
      <c r="TFY30" s="175"/>
      <c r="TFZ30" s="175"/>
      <c r="TGA30" s="175"/>
      <c r="TGB30" s="175"/>
      <c r="TGC30" s="175"/>
      <c r="TGD30" s="175"/>
      <c r="TGE30" s="175"/>
      <c r="TGF30" s="175"/>
      <c r="TGG30" s="175"/>
      <c r="TGH30" s="175"/>
      <c r="TGI30" s="175"/>
      <c r="TGJ30" s="175"/>
      <c r="TGK30" s="175"/>
      <c r="TGL30" s="175"/>
      <c r="TGM30" s="175"/>
      <c r="TGN30" s="175"/>
      <c r="TGO30" s="175"/>
      <c r="TGP30" s="175"/>
      <c r="TGQ30" s="175"/>
      <c r="TGR30" s="175"/>
      <c r="TGS30" s="175"/>
      <c r="TGT30" s="175"/>
      <c r="TGU30" s="175"/>
      <c r="TGV30" s="175"/>
      <c r="TGW30" s="175"/>
      <c r="TGX30" s="175"/>
      <c r="TGY30" s="175"/>
      <c r="TGZ30" s="175"/>
      <c r="THA30" s="175"/>
      <c r="THB30" s="175"/>
      <c r="THC30" s="175"/>
      <c r="THD30" s="175"/>
      <c r="THE30" s="175"/>
      <c r="THF30" s="175"/>
      <c r="THG30" s="175"/>
      <c r="THH30" s="175"/>
      <c r="THI30" s="175"/>
      <c r="THJ30" s="175"/>
      <c r="THK30" s="175"/>
      <c r="THL30" s="175"/>
      <c r="THM30" s="175"/>
      <c r="THN30" s="175"/>
      <c r="THO30" s="175"/>
      <c r="THP30" s="175"/>
      <c r="THQ30" s="175"/>
      <c r="THR30" s="175"/>
      <c r="THS30" s="175"/>
      <c r="THT30" s="175"/>
      <c r="THU30" s="175"/>
      <c r="THV30" s="175"/>
      <c r="THW30" s="175"/>
      <c r="THX30" s="175"/>
      <c r="THY30" s="175"/>
      <c r="THZ30" s="175"/>
      <c r="TIA30" s="175"/>
      <c r="TIB30" s="175"/>
      <c r="TIC30" s="175"/>
      <c r="TID30" s="175"/>
      <c r="TIE30" s="175"/>
      <c r="TIF30" s="175"/>
      <c r="TIG30" s="175"/>
      <c r="TIH30" s="175"/>
      <c r="TII30" s="175"/>
      <c r="TIJ30" s="175"/>
      <c r="TIK30" s="175"/>
      <c r="TIL30" s="175"/>
      <c r="TIM30" s="175"/>
      <c r="TIN30" s="175"/>
      <c r="TIO30" s="175"/>
      <c r="TIP30" s="175"/>
      <c r="TIQ30" s="175"/>
      <c r="TIR30" s="175"/>
      <c r="TIS30" s="175"/>
      <c r="TIT30" s="175"/>
      <c r="TIU30" s="175"/>
      <c r="TIV30" s="175"/>
      <c r="TIW30" s="175"/>
      <c r="TIX30" s="175"/>
      <c r="TIY30" s="175"/>
      <c r="TIZ30" s="175"/>
      <c r="TJA30" s="175"/>
      <c r="TJB30" s="175"/>
      <c r="TJC30" s="175"/>
      <c r="TJD30" s="175"/>
      <c r="TJE30" s="175"/>
      <c r="TJF30" s="175"/>
      <c r="TJG30" s="175"/>
      <c r="TJH30" s="175"/>
      <c r="TJI30" s="175"/>
      <c r="TJJ30" s="175"/>
      <c r="TJK30" s="175"/>
      <c r="TJL30" s="175"/>
      <c r="TJM30" s="175"/>
      <c r="TJN30" s="175"/>
      <c r="TJO30" s="175"/>
      <c r="TJP30" s="175"/>
      <c r="TJQ30" s="175"/>
      <c r="TJR30" s="175"/>
      <c r="TJS30" s="175"/>
      <c r="TJT30" s="175"/>
      <c r="TJU30" s="175"/>
      <c r="TJV30" s="175"/>
      <c r="TJW30" s="175"/>
      <c r="TJX30" s="175"/>
      <c r="TJY30" s="175"/>
      <c r="TJZ30" s="175"/>
      <c r="TKA30" s="175"/>
      <c r="TKB30" s="175"/>
      <c r="TKC30" s="175"/>
      <c r="TKD30" s="175"/>
      <c r="TKE30" s="175"/>
      <c r="TKF30" s="175"/>
      <c r="TKG30" s="175"/>
      <c r="TKH30" s="175"/>
      <c r="TKI30" s="175"/>
      <c r="TKJ30" s="175"/>
      <c r="TKK30" s="175"/>
      <c r="TKL30" s="175"/>
      <c r="TKM30" s="175"/>
      <c r="TKN30" s="175"/>
      <c r="TKO30" s="175"/>
      <c r="TKP30" s="175"/>
      <c r="TKQ30" s="175"/>
      <c r="TKR30" s="175"/>
      <c r="TKS30" s="175"/>
      <c r="TKT30" s="175"/>
      <c r="TKU30" s="175"/>
      <c r="TKV30" s="175"/>
      <c r="TKW30" s="175"/>
      <c r="TKX30" s="175"/>
      <c r="TKY30" s="175"/>
      <c r="TKZ30" s="175"/>
      <c r="TLA30" s="175"/>
      <c r="TLB30" s="175"/>
      <c r="TLC30" s="175"/>
      <c r="TLD30" s="175"/>
      <c r="TLE30" s="175"/>
      <c r="TLF30" s="175"/>
      <c r="TLG30" s="175"/>
      <c r="TLH30" s="175"/>
      <c r="TLI30" s="175"/>
      <c r="TLJ30" s="175"/>
      <c r="TLK30" s="175"/>
      <c r="TLL30" s="175"/>
      <c r="TLM30" s="175"/>
      <c r="TLN30" s="175"/>
      <c r="TLO30" s="175"/>
      <c r="TLP30" s="175"/>
      <c r="TLQ30" s="175"/>
      <c r="TLR30" s="175"/>
      <c r="TLS30" s="175"/>
      <c r="TLT30" s="175"/>
      <c r="TLU30" s="175"/>
      <c r="TLV30" s="175"/>
      <c r="TLW30" s="175"/>
      <c r="TLX30" s="175"/>
      <c r="TLY30" s="175"/>
      <c r="TLZ30" s="175"/>
      <c r="TMA30" s="175"/>
      <c r="TMB30" s="175"/>
      <c r="TMC30" s="175"/>
      <c r="TMD30" s="175"/>
      <c r="TME30" s="175"/>
      <c r="TMF30" s="175"/>
      <c r="TMG30" s="175"/>
      <c r="TMH30" s="175"/>
      <c r="TMI30" s="175"/>
      <c r="TMJ30" s="175"/>
      <c r="TMK30" s="175"/>
      <c r="TML30" s="175"/>
      <c r="TMM30" s="175"/>
      <c r="TMN30" s="175"/>
      <c r="TMO30" s="175"/>
      <c r="TMP30" s="175"/>
      <c r="TMQ30" s="175"/>
      <c r="TMR30" s="175"/>
      <c r="TMS30" s="175"/>
      <c r="TMT30" s="175"/>
      <c r="TMU30" s="175"/>
      <c r="TMV30" s="175"/>
      <c r="TMW30" s="175"/>
      <c r="TMX30" s="175"/>
      <c r="TMY30" s="175"/>
      <c r="TMZ30" s="175"/>
      <c r="TNA30" s="175"/>
      <c r="TNB30" s="175"/>
      <c r="TNC30" s="175"/>
      <c r="TND30" s="175"/>
      <c r="TNE30" s="175"/>
      <c r="TNF30" s="175"/>
      <c r="TNG30" s="175"/>
      <c r="TNH30" s="175"/>
      <c r="TNI30" s="175"/>
      <c r="TNJ30" s="175"/>
      <c r="TNK30" s="175"/>
      <c r="TNL30" s="175"/>
      <c r="TNM30" s="175"/>
      <c r="TNN30" s="175"/>
      <c r="TNO30" s="175"/>
      <c r="TNP30" s="175"/>
      <c r="TNQ30" s="175"/>
      <c r="TNR30" s="175"/>
      <c r="TNS30" s="175"/>
      <c r="TNT30" s="175"/>
      <c r="TNU30" s="175"/>
      <c r="TNV30" s="175"/>
      <c r="TNW30" s="175"/>
      <c r="TNX30" s="175"/>
      <c r="TNY30" s="175"/>
      <c r="TNZ30" s="175"/>
      <c r="TOA30" s="175"/>
      <c r="TOB30" s="175"/>
      <c r="TOC30" s="175"/>
      <c r="TOD30" s="175"/>
      <c r="TOE30" s="175"/>
      <c r="TOF30" s="175"/>
      <c r="TOG30" s="175"/>
      <c r="TOH30" s="175"/>
      <c r="TOI30" s="175"/>
      <c r="TOJ30" s="175"/>
      <c r="TOK30" s="175"/>
      <c r="TOL30" s="175"/>
      <c r="TOM30" s="175"/>
      <c r="TON30" s="175"/>
      <c r="TOO30" s="175"/>
      <c r="TOP30" s="175"/>
      <c r="TOQ30" s="175"/>
      <c r="TOR30" s="175"/>
      <c r="TOS30" s="175"/>
      <c r="TOT30" s="175"/>
      <c r="TOU30" s="175"/>
      <c r="TOV30" s="175"/>
      <c r="TOW30" s="175"/>
      <c r="TOX30" s="175"/>
      <c r="TOY30" s="175"/>
      <c r="TOZ30" s="175"/>
      <c r="TPA30" s="175"/>
      <c r="TPB30" s="175"/>
      <c r="TPC30" s="175"/>
      <c r="TPD30" s="175"/>
      <c r="TPE30" s="175"/>
      <c r="TPF30" s="175"/>
      <c r="TPG30" s="175"/>
      <c r="TPH30" s="175"/>
      <c r="TPI30" s="175"/>
      <c r="TPJ30" s="175"/>
      <c r="TPK30" s="175"/>
      <c r="TPL30" s="175"/>
      <c r="TPM30" s="175"/>
      <c r="TPN30" s="175"/>
      <c r="TPO30" s="175"/>
      <c r="TPP30" s="175"/>
      <c r="TPQ30" s="175"/>
      <c r="TPR30" s="175"/>
      <c r="TPS30" s="175"/>
      <c r="TPT30" s="175"/>
      <c r="TPU30" s="175"/>
      <c r="TPV30" s="175"/>
      <c r="TPW30" s="175"/>
      <c r="TPX30" s="175"/>
      <c r="TPY30" s="175"/>
      <c r="TPZ30" s="175"/>
      <c r="TQA30" s="175"/>
      <c r="TQB30" s="175"/>
      <c r="TQC30" s="175"/>
      <c r="TQD30" s="175"/>
      <c r="TQE30" s="175"/>
      <c r="TQF30" s="175"/>
      <c r="TQG30" s="175"/>
      <c r="TQH30" s="175"/>
      <c r="TQI30" s="175"/>
      <c r="TQJ30" s="175"/>
      <c r="TQK30" s="175"/>
      <c r="TQL30" s="175"/>
      <c r="TQM30" s="175"/>
      <c r="TQN30" s="175"/>
      <c r="TQO30" s="175"/>
      <c r="TQP30" s="175"/>
      <c r="TQQ30" s="175"/>
      <c r="TQR30" s="175"/>
      <c r="TQS30" s="175"/>
      <c r="TQT30" s="175"/>
      <c r="TQU30" s="175"/>
      <c r="TQV30" s="175"/>
      <c r="TQW30" s="175"/>
      <c r="TQX30" s="175"/>
      <c r="TQY30" s="175"/>
      <c r="TQZ30" s="175"/>
      <c r="TRA30" s="175"/>
      <c r="TRB30" s="175"/>
      <c r="TRC30" s="175"/>
      <c r="TRD30" s="175"/>
      <c r="TRE30" s="175"/>
      <c r="TRF30" s="175"/>
      <c r="TRG30" s="175"/>
      <c r="TRH30" s="175"/>
      <c r="TRI30" s="175"/>
      <c r="TRJ30" s="175"/>
      <c r="TRK30" s="175"/>
      <c r="TRL30" s="175"/>
      <c r="TRM30" s="175"/>
      <c r="TRN30" s="175"/>
      <c r="TRO30" s="175"/>
      <c r="TRP30" s="175"/>
      <c r="TRQ30" s="175"/>
      <c r="TRR30" s="175"/>
      <c r="TRS30" s="175"/>
      <c r="TRT30" s="175"/>
      <c r="TRU30" s="175"/>
      <c r="TRV30" s="175"/>
      <c r="TRW30" s="175"/>
      <c r="TRX30" s="175"/>
      <c r="TRY30" s="175"/>
      <c r="TRZ30" s="175"/>
      <c r="TSA30" s="175"/>
      <c r="TSB30" s="175"/>
      <c r="TSC30" s="175"/>
      <c r="TSD30" s="175"/>
      <c r="TSE30" s="175"/>
      <c r="TSF30" s="175"/>
      <c r="TSG30" s="175"/>
      <c r="TSH30" s="175"/>
      <c r="TSI30" s="175"/>
      <c r="TSJ30" s="175"/>
      <c r="TSK30" s="175"/>
      <c r="TSL30" s="175"/>
      <c r="TSM30" s="175"/>
      <c r="TSN30" s="175"/>
      <c r="TSO30" s="175"/>
      <c r="TSP30" s="175"/>
      <c r="TSQ30" s="175"/>
      <c r="TSR30" s="175"/>
      <c r="TSS30" s="175"/>
      <c r="TST30" s="175"/>
      <c r="TSU30" s="175"/>
      <c r="TSV30" s="175"/>
      <c r="TSW30" s="175"/>
      <c r="TSX30" s="175"/>
      <c r="TSY30" s="175"/>
      <c r="TSZ30" s="175"/>
      <c r="TTA30" s="175"/>
      <c r="TTB30" s="175"/>
      <c r="TTC30" s="175"/>
      <c r="TTD30" s="175"/>
      <c r="TTE30" s="175"/>
      <c r="TTF30" s="175"/>
      <c r="TTG30" s="175"/>
      <c r="TTH30" s="175"/>
      <c r="TTI30" s="175"/>
      <c r="TTJ30" s="175"/>
      <c r="TTK30" s="175"/>
      <c r="TTL30" s="175"/>
      <c r="TTM30" s="175"/>
      <c r="TTN30" s="175"/>
      <c r="TTO30" s="175"/>
      <c r="TTP30" s="175"/>
      <c r="TTQ30" s="175"/>
      <c r="TTR30" s="175"/>
      <c r="TTS30" s="175"/>
      <c r="TTT30" s="175"/>
      <c r="TTU30" s="175"/>
      <c r="TTV30" s="175"/>
      <c r="TTW30" s="175"/>
      <c r="TTX30" s="175"/>
      <c r="TTY30" s="175"/>
      <c r="TTZ30" s="175"/>
      <c r="TUA30" s="175"/>
      <c r="TUB30" s="175"/>
      <c r="TUC30" s="175"/>
      <c r="TUD30" s="175"/>
      <c r="TUE30" s="175"/>
      <c r="TUF30" s="175"/>
      <c r="TUG30" s="175"/>
      <c r="TUH30" s="175"/>
      <c r="TUI30" s="175"/>
      <c r="TUJ30" s="175"/>
      <c r="TUK30" s="175"/>
      <c r="TUL30" s="175"/>
      <c r="TUM30" s="175"/>
      <c r="TUN30" s="175"/>
      <c r="TUO30" s="175"/>
      <c r="TUP30" s="175"/>
      <c r="TUQ30" s="175"/>
      <c r="TUR30" s="175"/>
      <c r="TUS30" s="175"/>
      <c r="TUT30" s="175"/>
      <c r="TUU30" s="175"/>
      <c r="TUV30" s="175"/>
      <c r="TUW30" s="175"/>
      <c r="TUX30" s="175"/>
      <c r="TUY30" s="175"/>
      <c r="TUZ30" s="175"/>
      <c r="TVA30" s="175"/>
      <c r="TVB30" s="175"/>
      <c r="TVC30" s="175"/>
      <c r="TVD30" s="175"/>
      <c r="TVE30" s="175"/>
      <c r="TVF30" s="175"/>
      <c r="TVG30" s="175"/>
      <c r="TVH30" s="175"/>
      <c r="TVI30" s="175"/>
      <c r="TVJ30" s="175"/>
      <c r="TVK30" s="175"/>
      <c r="TVL30" s="175"/>
      <c r="TVM30" s="175"/>
      <c r="TVN30" s="175"/>
      <c r="TVO30" s="175"/>
      <c r="TVP30" s="175"/>
      <c r="TVQ30" s="175"/>
      <c r="TVR30" s="175"/>
      <c r="TVS30" s="175"/>
      <c r="TVT30" s="175"/>
      <c r="TVU30" s="175"/>
      <c r="TVV30" s="175"/>
      <c r="TVW30" s="175"/>
      <c r="TVX30" s="175"/>
      <c r="TVY30" s="175"/>
      <c r="TVZ30" s="175"/>
      <c r="TWA30" s="175"/>
      <c r="TWB30" s="175"/>
      <c r="TWC30" s="175"/>
      <c r="TWD30" s="175"/>
      <c r="TWE30" s="175"/>
      <c r="TWF30" s="175"/>
      <c r="TWG30" s="175"/>
      <c r="TWH30" s="175"/>
      <c r="TWI30" s="175"/>
      <c r="TWJ30" s="175"/>
      <c r="TWK30" s="175"/>
      <c r="TWL30" s="175"/>
      <c r="TWM30" s="175"/>
      <c r="TWN30" s="175"/>
      <c r="TWO30" s="175"/>
      <c r="TWP30" s="175"/>
      <c r="TWQ30" s="175"/>
      <c r="TWR30" s="175"/>
      <c r="TWS30" s="175"/>
      <c r="TWT30" s="175"/>
      <c r="TWU30" s="175"/>
      <c r="TWV30" s="175"/>
      <c r="TWW30" s="175"/>
      <c r="TWX30" s="175"/>
      <c r="TWY30" s="175"/>
      <c r="TWZ30" s="175"/>
      <c r="TXA30" s="175"/>
      <c r="TXB30" s="175"/>
      <c r="TXC30" s="175"/>
      <c r="TXD30" s="175"/>
      <c r="TXE30" s="175"/>
      <c r="TXF30" s="175"/>
      <c r="TXG30" s="175"/>
      <c r="TXH30" s="175"/>
      <c r="TXI30" s="175"/>
      <c r="TXJ30" s="175"/>
      <c r="TXK30" s="175"/>
      <c r="TXL30" s="175"/>
      <c r="TXM30" s="175"/>
      <c r="TXN30" s="175"/>
      <c r="TXO30" s="175"/>
      <c r="TXP30" s="175"/>
      <c r="TXQ30" s="175"/>
      <c r="TXR30" s="175"/>
      <c r="TXS30" s="175"/>
      <c r="TXT30" s="175"/>
      <c r="TXU30" s="175"/>
      <c r="TXV30" s="175"/>
      <c r="TXW30" s="175"/>
      <c r="TXX30" s="175"/>
      <c r="TXY30" s="175"/>
      <c r="TXZ30" s="175"/>
      <c r="TYA30" s="175"/>
      <c r="TYB30" s="175"/>
      <c r="TYC30" s="175"/>
      <c r="TYD30" s="175"/>
      <c r="TYE30" s="175"/>
      <c r="TYF30" s="175"/>
      <c r="TYG30" s="175"/>
      <c r="TYH30" s="175"/>
      <c r="TYI30" s="175"/>
      <c r="TYJ30" s="175"/>
      <c r="TYK30" s="175"/>
      <c r="TYL30" s="175"/>
      <c r="TYM30" s="175"/>
      <c r="TYN30" s="175"/>
      <c r="TYO30" s="175"/>
      <c r="TYP30" s="175"/>
      <c r="TYQ30" s="175"/>
      <c r="TYR30" s="175"/>
      <c r="TYS30" s="175"/>
      <c r="TYT30" s="175"/>
      <c r="TYU30" s="175"/>
      <c r="TYV30" s="175"/>
      <c r="TYW30" s="175"/>
      <c r="TYX30" s="175"/>
      <c r="TYY30" s="175"/>
      <c r="TYZ30" s="175"/>
      <c r="TZA30" s="175"/>
      <c r="TZB30" s="175"/>
      <c r="TZC30" s="175"/>
      <c r="TZD30" s="175"/>
      <c r="TZE30" s="175"/>
      <c r="TZF30" s="175"/>
      <c r="TZG30" s="175"/>
      <c r="TZH30" s="175"/>
      <c r="TZI30" s="175"/>
      <c r="TZJ30" s="175"/>
      <c r="TZK30" s="175"/>
      <c r="TZL30" s="175"/>
      <c r="TZM30" s="175"/>
      <c r="TZN30" s="175"/>
      <c r="TZO30" s="175"/>
      <c r="TZP30" s="175"/>
      <c r="TZQ30" s="175"/>
      <c r="TZR30" s="175"/>
      <c r="TZS30" s="175"/>
      <c r="TZT30" s="175"/>
      <c r="TZU30" s="175"/>
      <c r="TZV30" s="175"/>
      <c r="TZW30" s="175"/>
      <c r="TZX30" s="175"/>
      <c r="TZY30" s="175"/>
      <c r="TZZ30" s="175"/>
      <c r="UAA30" s="175"/>
      <c r="UAB30" s="175"/>
      <c r="UAC30" s="175"/>
      <c r="UAD30" s="175"/>
      <c r="UAE30" s="175"/>
      <c r="UAF30" s="175"/>
      <c r="UAG30" s="175"/>
      <c r="UAH30" s="175"/>
      <c r="UAI30" s="175"/>
      <c r="UAJ30" s="175"/>
      <c r="UAK30" s="175"/>
      <c r="UAL30" s="175"/>
      <c r="UAM30" s="175"/>
      <c r="UAN30" s="175"/>
      <c r="UAO30" s="175"/>
      <c r="UAP30" s="175"/>
      <c r="UAQ30" s="175"/>
      <c r="UAR30" s="175"/>
      <c r="UAS30" s="175"/>
      <c r="UAT30" s="175"/>
      <c r="UAU30" s="175"/>
      <c r="UAV30" s="175"/>
      <c r="UAW30" s="175"/>
      <c r="UAX30" s="175"/>
      <c r="UAY30" s="175"/>
      <c r="UAZ30" s="175"/>
      <c r="UBA30" s="175"/>
      <c r="UBB30" s="175"/>
      <c r="UBC30" s="175"/>
      <c r="UBD30" s="175"/>
      <c r="UBE30" s="175"/>
      <c r="UBF30" s="175"/>
      <c r="UBG30" s="175"/>
      <c r="UBH30" s="175"/>
      <c r="UBI30" s="175"/>
      <c r="UBJ30" s="175"/>
      <c r="UBK30" s="175"/>
      <c r="UBL30" s="175"/>
      <c r="UBM30" s="175"/>
      <c r="UBN30" s="175"/>
      <c r="UBO30" s="175"/>
      <c r="UBP30" s="175"/>
      <c r="UBQ30" s="175"/>
      <c r="UBR30" s="175"/>
      <c r="UBS30" s="175"/>
      <c r="UBT30" s="175"/>
      <c r="UBU30" s="175"/>
      <c r="UBV30" s="175"/>
      <c r="UBW30" s="175"/>
      <c r="UBX30" s="175"/>
      <c r="UBY30" s="175"/>
      <c r="UBZ30" s="175"/>
      <c r="UCA30" s="175"/>
      <c r="UCB30" s="175"/>
      <c r="UCC30" s="175"/>
      <c r="UCD30" s="175"/>
      <c r="UCE30" s="175"/>
      <c r="UCF30" s="175"/>
      <c r="UCG30" s="175"/>
      <c r="UCH30" s="175"/>
      <c r="UCI30" s="175"/>
      <c r="UCJ30" s="175"/>
      <c r="UCK30" s="175"/>
      <c r="UCL30" s="175"/>
      <c r="UCM30" s="175"/>
      <c r="UCN30" s="175"/>
      <c r="UCO30" s="175"/>
      <c r="UCP30" s="175"/>
      <c r="UCQ30" s="175"/>
      <c r="UCR30" s="175"/>
      <c r="UCS30" s="175"/>
      <c r="UCT30" s="175"/>
      <c r="UCU30" s="175"/>
      <c r="UCV30" s="175"/>
      <c r="UCW30" s="175"/>
      <c r="UCX30" s="175"/>
      <c r="UCY30" s="175"/>
      <c r="UCZ30" s="175"/>
      <c r="UDA30" s="175"/>
      <c r="UDB30" s="175"/>
      <c r="UDC30" s="175"/>
      <c r="UDD30" s="175"/>
      <c r="UDE30" s="175"/>
      <c r="UDF30" s="175"/>
      <c r="UDG30" s="175"/>
      <c r="UDH30" s="175"/>
      <c r="UDI30" s="175"/>
      <c r="UDJ30" s="175"/>
      <c r="UDK30" s="175"/>
      <c r="UDL30" s="175"/>
      <c r="UDM30" s="175"/>
      <c r="UDN30" s="175"/>
      <c r="UDO30" s="175"/>
      <c r="UDP30" s="175"/>
      <c r="UDQ30" s="175"/>
      <c r="UDR30" s="175"/>
      <c r="UDS30" s="175"/>
      <c r="UDT30" s="175"/>
      <c r="UDU30" s="175"/>
      <c r="UDV30" s="175"/>
      <c r="UDW30" s="175"/>
      <c r="UDX30" s="175"/>
      <c r="UDY30" s="175"/>
      <c r="UDZ30" s="175"/>
      <c r="UEA30" s="175"/>
      <c r="UEB30" s="175"/>
      <c r="UEC30" s="175"/>
      <c r="UED30" s="175"/>
      <c r="UEE30" s="175"/>
      <c r="UEF30" s="175"/>
      <c r="UEG30" s="175"/>
      <c r="UEH30" s="175"/>
      <c r="UEI30" s="175"/>
      <c r="UEJ30" s="175"/>
      <c r="UEK30" s="175"/>
      <c r="UEL30" s="175"/>
      <c r="UEM30" s="175"/>
      <c r="UEN30" s="175"/>
      <c r="UEO30" s="175"/>
      <c r="UEP30" s="175"/>
      <c r="UEQ30" s="175"/>
      <c r="UER30" s="175"/>
      <c r="UES30" s="175"/>
      <c r="UET30" s="175"/>
      <c r="UEU30" s="175"/>
      <c r="UEV30" s="175"/>
      <c r="UEW30" s="175"/>
      <c r="UEX30" s="175"/>
      <c r="UEY30" s="175"/>
      <c r="UEZ30" s="175"/>
      <c r="UFA30" s="175"/>
      <c r="UFB30" s="175"/>
      <c r="UFC30" s="175"/>
      <c r="UFD30" s="175"/>
      <c r="UFE30" s="175"/>
      <c r="UFF30" s="175"/>
      <c r="UFG30" s="175"/>
      <c r="UFH30" s="175"/>
      <c r="UFI30" s="175"/>
      <c r="UFJ30" s="175"/>
      <c r="UFK30" s="175"/>
      <c r="UFL30" s="175"/>
      <c r="UFM30" s="175"/>
      <c r="UFN30" s="175"/>
      <c r="UFO30" s="175"/>
      <c r="UFP30" s="175"/>
      <c r="UFQ30" s="175"/>
      <c r="UFR30" s="175"/>
      <c r="UFS30" s="175"/>
      <c r="UFT30" s="175"/>
      <c r="UFU30" s="175"/>
      <c r="UFV30" s="175"/>
      <c r="UFW30" s="175"/>
      <c r="UFX30" s="175"/>
      <c r="UFY30" s="175"/>
      <c r="UFZ30" s="175"/>
      <c r="UGA30" s="175"/>
      <c r="UGB30" s="175"/>
      <c r="UGC30" s="175"/>
      <c r="UGD30" s="175"/>
      <c r="UGE30" s="175"/>
      <c r="UGF30" s="175"/>
      <c r="UGG30" s="175"/>
      <c r="UGH30" s="175"/>
      <c r="UGI30" s="175"/>
      <c r="UGJ30" s="175"/>
      <c r="UGK30" s="175"/>
      <c r="UGL30" s="175"/>
      <c r="UGM30" s="175"/>
      <c r="UGN30" s="175"/>
      <c r="UGO30" s="175"/>
      <c r="UGP30" s="175"/>
      <c r="UGQ30" s="175"/>
      <c r="UGR30" s="175"/>
      <c r="UGS30" s="175"/>
      <c r="UGT30" s="175"/>
      <c r="UGU30" s="175"/>
      <c r="UGV30" s="175"/>
      <c r="UGW30" s="175"/>
      <c r="UGX30" s="175"/>
      <c r="UGY30" s="175"/>
      <c r="UGZ30" s="175"/>
      <c r="UHA30" s="175"/>
      <c r="UHB30" s="175"/>
      <c r="UHC30" s="175"/>
      <c r="UHD30" s="175"/>
      <c r="UHE30" s="175"/>
      <c r="UHF30" s="175"/>
      <c r="UHG30" s="175"/>
      <c r="UHH30" s="175"/>
      <c r="UHI30" s="175"/>
      <c r="UHJ30" s="175"/>
      <c r="UHK30" s="175"/>
      <c r="UHL30" s="175"/>
      <c r="UHM30" s="175"/>
      <c r="UHN30" s="175"/>
      <c r="UHO30" s="175"/>
      <c r="UHP30" s="175"/>
      <c r="UHQ30" s="175"/>
      <c r="UHR30" s="175"/>
      <c r="UHS30" s="175"/>
      <c r="UHT30" s="175"/>
      <c r="UHU30" s="175"/>
      <c r="UHV30" s="175"/>
      <c r="UHW30" s="175"/>
      <c r="UHX30" s="175"/>
      <c r="UHY30" s="175"/>
      <c r="UHZ30" s="175"/>
      <c r="UIA30" s="175"/>
      <c r="UIB30" s="175"/>
      <c r="UIC30" s="175"/>
      <c r="UID30" s="175"/>
      <c r="UIE30" s="175"/>
      <c r="UIF30" s="175"/>
      <c r="UIG30" s="175"/>
      <c r="UIH30" s="175"/>
      <c r="UII30" s="175"/>
      <c r="UIJ30" s="175"/>
      <c r="UIK30" s="175"/>
      <c r="UIL30" s="175"/>
      <c r="UIM30" s="175"/>
      <c r="UIN30" s="175"/>
      <c r="UIO30" s="175"/>
      <c r="UIP30" s="175"/>
      <c r="UIQ30" s="175"/>
      <c r="UIR30" s="175"/>
      <c r="UIS30" s="175"/>
      <c r="UIT30" s="175"/>
      <c r="UIU30" s="175"/>
      <c r="UIV30" s="175"/>
      <c r="UIW30" s="175"/>
      <c r="UIX30" s="175"/>
      <c r="UIY30" s="175"/>
      <c r="UIZ30" s="175"/>
      <c r="UJA30" s="175"/>
      <c r="UJB30" s="175"/>
      <c r="UJC30" s="175"/>
      <c r="UJD30" s="175"/>
      <c r="UJE30" s="175"/>
      <c r="UJF30" s="175"/>
      <c r="UJG30" s="175"/>
      <c r="UJH30" s="175"/>
      <c r="UJI30" s="175"/>
      <c r="UJJ30" s="175"/>
      <c r="UJK30" s="175"/>
      <c r="UJL30" s="175"/>
      <c r="UJM30" s="175"/>
      <c r="UJN30" s="175"/>
      <c r="UJO30" s="175"/>
      <c r="UJP30" s="175"/>
      <c r="UJQ30" s="175"/>
      <c r="UJR30" s="175"/>
      <c r="UJS30" s="175"/>
      <c r="UJT30" s="175"/>
      <c r="UJU30" s="175"/>
      <c r="UJV30" s="175"/>
      <c r="UJW30" s="175"/>
      <c r="UJX30" s="175"/>
      <c r="UJY30" s="175"/>
      <c r="UJZ30" s="175"/>
      <c r="UKA30" s="175"/>
      <c r="UKB30" s="175"/>
      <c r="UKC30" s="175"/>
      <c r="UKD30" s="175"/>
      <c r="UKE30" s="175"/>
      <c r="UKF30" s="175"/>
      <c r="UKG30" s="175"/>
      <c r="UKH30" s="175"/>
      <c r="UKI30" s="175"/>
      <c r="UKJ30" s="175"/>
      <c r="UKK30" s="175"/>
      <c r="UKL30" s="175"/>
      <c r="UKM30" s="175"/>
      <c r="UKN30" s="175"/>
      <c r="UKO30" s="175"/>
      <c r="UKP30" s="175"/>
      <c r="UKQ30" s="175"/>
      <c r="UKR30" s="175"/>
      <c r="UKS30" s="175"/>
      <c r="UKT30" s="175"/>
      <c r="UKU30" s="175"/>
      <c r="UKV30" s="175"/>
      <c r="UKW30" s="175"/>
      <c r="UKX30" s="175"/>
      <c r="UKY30" s="175"/>
      <c r="UKZ30" s="175"/>
      <c r="ULA30" s="175"/>
      <c r="ULB30" s="175"/>
      <c r="ULC30" s="175"/>
      <c r="ULD30" s="175"/>
      <c r="ULE30" s="175"/>
      <c r="ULF30" s="175"/>
      <c r="ULG30" s="175"/>
      <c r="ULH30" s="175"/>
      <c r="ULI30" s="175"/>
      <c r="ULJ30" s="175"/>
      <c r="ULK30" s="175"/>
      <c r="ULL30" s="175"/>
      <c r="ULM30" s="175"/>
      <c r="ULN30" s="175"/>
      <c r="ULO30" s="175"/>
      <c r="ULP30" s="175"/>
      <c r="ULQ30" s="175"/>
      <c r="ULR30" s="175"/>
      <c r="ULS30" s="175"/>
      <c r="ULT30" s="175"/>
      <c r="ULU30" s="175"/>
      <c r="ULV30" s="175"/>
      <c r="ULW30" s="175"/>
      <c r="ULX30" s="175"/>
      <c r="ULY30" s="175"/>
      <c r="ULZ30" s="175"/>
      <c r="UMA30" s="175"/>
      <c r="UMB30" s="175"/>
      <c r="UMC30" s="175"/>
      <c r="UMD30" s="175"/>
      <c r="UME30" s="175"/>
      <c r="UMF30" s="175"/>
      <c r="UMG30" s="175"/>
      <c r="UMH30" s="175"/>
      <c r="UMI30" s="175"/>
      <c r="UMJ30" s="175"/>
      <c r="UMK30" s="175"/>
      <c r="UML30" s="175"/>
      <c r="UMM30" s="175"/>
      <c r="UMN30" s="175"/>
      <c r="UMO30" s="175"/>
      <c r="UMP30" s="175"/>
      <c r="UMQ30" s="175"/>
      <c r="UMR30" s="175"/>
      <c r="UMS30" s="175"/>
      <c r="UMT30" s="175"/>
      <c r="UMU30" s="175"/>
      <c r="UMV30" s="175"/>
      <c r="UMW30" s="175"/>
      <c r="UMX30" s="175"/>
      <c r="UMY30" s="175"/>
      <c r="UMZ30" s="175"/>
      <c r="UNA30" s="175"/>
      <c r="UNB30" s="175"/>
      <c r="UNC30" s="175"/>
      <c r="UND30" s="175"/>
      <c r="UNE30" s="175"/>
      <c r="UNF30" s="175"/>
      <c r="UNG30" s="175"/>
      <c r="UNH30" s="175"/>
      <c r="UNI30" s="175"/>
      <c r="UNJ30" s="175"/>
      <c r="UNK30" s="175"/>
      <c r="UNL30" s="175"/>
      <c r="UNM30" s="175"/>
      <c r="UNN30" s="175"/>
      <c r="UNO30" s="175"/>
      <c r="UNP30" s="175"/>
      <c r="UNQ30" s="175"/>
      <c r="UNR30" s="175"/>
      <c r="UNS30" s="175"/>
      <c r="UNT30" s="175"/>
      <c r="UNU30" s="175"/>
      <c r="UNV30" s="175"/>
      <c r="UNW30" s="175"/>
      <c r="UNX30" s="175"/>
      <c r="UNY30" s="175"/>
      <c r="UNZ30" s="175"/>
      <c r="UOA30" s="175"/>
      <c r="UOB30" s="175"/>
      <c r="UOC30" s="175"/>
      <c r="UOD30" s="175"/>
      <c r="UOE30" s="175"/>
      <c r="UOF30" s="175"/>
      <c r="UOG30" s="175"/>
      <c r="UOH30" s="175"/>
      <c r="UOI30" s="175"/>
      <c r="UOJ30" s="175"/>
      <c r="UOK30" s="175"/>
      <c r="UOL30" s="175"/>
      <c r="UOM30" s="175"/>
      <c r="UON30" s="175"/>
      <c r="UOO30" s="175"/>
      <c r="UOP30" s="175"/>
      <c r="UOQ30" s="175"/>
      <c r="UOR30" s="175"/>
      <c r="UOS30" s="175"/>
      <c r="UOT30" s="175"/>
      <c r="UOU30" s="175"/>
      <c r="UOV30" s="175"/>
      <c r="UOW30" s="175"/>
      <c r="UOX30" s="175"/>
      <c r="UOY30" s="175"/>
      <c r="UOZ30" s="175"/>
      <c r="UPA30" s="175"/>
      <c r="UPB30" s="175"/>
      <c r="UPC30" s="175"/>
      <c r="UPD30" s="175"/>
      <c r="UPE30" s="175"/>
      <c r="UPF30" s="175"/>
      <c r="UPG30" s="175"/>
      <c r="UPH30" s="175"/>
      <c r="UPI30" s="175"/>
      <c r="UPJ30" s="175"/>
      <c r="UPK30" s="175"/>
      <c r="UPL30" s="175"/>
      <c r="UPM30" s="175"/>
      <c r="UPN30" s="175"/>
      <c r="UPO30" s="175"/>
      <c r="UPP30" s="175"/>
      <c r="UPQ30" s="175"/>
      <c r="UPR30" s="175"/>
      <c r="UPS30" s="175"/>
      <c r="UPT30" s="175"/>
      <c r="UPU30" s="175"/>
      <c r="UPV30" s="175"/>
      <c r="UPW30" s="175"/>
      <c r="UPX30" s="175"/>
      <c r="UPY30" s="175"/>
      <c r="UPZ30" s="175"/>
      <c r="UQA30" s="175"/>
      <c r="UQB30" s="175"/>
      <c r="UQC30" s="175"/>
      <c r="UQD30" s="175"/>
      <c r="UQE30" s="175"/>
      <c r="UQF30" s="175"/>
      <c r="UQG30" s="175"/>
      <c r="UQH30" s="175"/>
      <c r="UQI30" s="175"/>
      <c r="UQJ30" s="175"/>
      <c r="UQK30" s="175"/>
      <c r="UQL30" s="175"/>
      <c r="UQM30" s="175"/>
      <c r="UQN30" s="175"/>
      <c r="UQO30" s="175"/>
      <c r="UQP30" s="175"/>
      <c r="UQQ30" s="175"/>
      <c r="UQR30" s="175"/>
      <c r="UQS30" s="175"/>
      <c r="UQT30" s="175"/>
      <c r="UQU30" s="175"/>
      <c r="UQV30" s="175"/>
      <c r="UQW30" s="175"/>
      <c r="UQX30" s="175"/>
      <c r="UQY30" s="175"/>
      <c r="UQZ30" s="175"/>
      <c r="URA30" s="175"/>
      <c r="URB30" s="175"/>
      <c r="URC30" s="175"/>
      <c r="URD30" s="175"/>
      <c r="URE30" s="175"/>
      <c r="URF30" s="175"/>
      <c r="URG30" s="175"/>
      <c r="URH30" s="175"/>
      <c r="URI30" s="175"/>
      <c r="URJ30" s="175"/>
      <c r="URK30" s="175"/>
      <c r="URL30" s="175"/>
      <c r="URM30" s="175"/>
      <c r="URN30" s="175"/>
      <c r="URO30" s="175"/>
      <c r="URP30" s="175"/>
      <c r="URQ30" s="175"/>
      <c r="URR30" s="175"/>
      <c r="URS30" s="175"/>
      <c r="URT30" s="175"/>
      <c r="URU30" s="175"/>
      <c r="URV30" s="175"/>
      <c r="URW30" s="175"/>
      <c r="URX30" s="175"/>
      <c r="URY30" s="175"/>
      <c r="URZ30" s="175"/>
      <c r="USA30" s="175"/>
      <c r="USB30" s="175"/>
      <c r="USC30" s="175"/>
      <c r="USD30" s="175"/>
      <c r="USE30" s="175"/>
      <c r="USF30" s="175"/>
      <c r="USG30" s="175"/>
      <c r="USH30" s="175"/>
      <c r="USI30" s="175"/>
      <c r="USJ30" s="175"/>
      <c r="USK30" s="175"/>
      <c r="USL30" s="175"/>
      <c r="USM30" s="175"/>
      <c r="USN30" s="175"/>
      <c r="USO30" s="175"/>
      <c r="USP30" s="175"/>
      <c r="USQ30" s="175"/>
      <c r="USR30" s="175"/>
      <c r="USS30" s="175"/>
      <c r="UST30" s="175"/>
      <c r="USU30" s="175"/>
      <c r="USV30" s="175"/>
      <c r="USW30" s="175"/>
      <c r="USX30" s="175"/>
      <c r="USY30" s="175"/>
      <c r="USZ30" s="175"/>
      <c r="UTA30" s="175"/>
      <c r="UTB30" s="175"/>
      <c r="UTC30" s="175"/>
      <c r="UTD30" s="175"/>
      <c r="UTE30" s="175"/>
      <c r="UTF30" s="175"/>
      <c r="UTG30" s="175"/>
      <c r="UTH30" s="175"/>
      <c r="UTI30" s="175"/>
      <c r="UTJ30" s="175"/>
      <c r="UTK30" s="175"/>
      <c r="UTL30" s="175"/>
      <c r="UTM30" s="175"/>
      <c r="UTN30" s="175"/>
      <c r="UTO30" s="175"/>
      <c r="UTP30" s="175"/>
      <c r="UTQ30" s="175"/>
      <c r="UTR30" s="175"/>
      <c r="UTS30" s="175"/>
      <c r="UTT30" s="175"/>
      <c r="UTU30" s="175"/>
      <c r="UTV30" s="175"/>
      <c r="UTW30" s="175"/>
      <c r="UTX30" s="175"/>
      <c r="UTY30" s="175"/>
      <c r="UTZ30" s="175"/>
      <c r="UUA30" s="175"/>
      <c r="UUB30" s="175"/>
      <c r="UUC30" s="175"/>
      <c r="UUD30" s="175"/>
      <c r="UUE30" s="175"/>
      <c r="UUF30" s="175"/>
      <c r="UUG30" s="175"/>
      <c r="UUH30" s="175"/>
      <c r="UUI30" s="175"/>
      <c r="UUJ30" s="175"/>
      <c r="UUK30" s="175"/>
      <c r="UUL30" s="175"/>
      <c r="UUM30" s="175"/>
      <c r="UUN30" s="175"/>
      <c r="UUO30" s="175"/>
      <c r="UUP30" s="175"/>
      <c r="UUQ30" s="175"/>
      <c r="UUR30" s="175"/>
      <c r="UUS30" s="175"/>
      <c r="UUT30" s="175"/>
      <c r="UUU30" s="175"/>
      <c r="UUV30" s="175"/>
      <c r="UUW30" s="175"/>
      <c r="UUX30" s="175"/>
      <c r="UUY30" s="175"/>
      <c r="UUZ30" s="175"/>
      <c r="UVA30" s="175"/>
      <c r="UVB30" s="175"/>
      <c r="UVC30" s="175"/>
      <c r="UVD30" s="175"/>
      <c r="UVE30" s="175"/>
      <c r="UVF30" s="175"/>
      <c r="UVG30" s="175"/>
      <c r="UVH30" s="175"/>
      <c r="UVI30" s="175"/>
      <c r="UVJ30" s="175"/>
      <c r="UVK30" s="175"/>
      <c r="UVL30" s="175"/>
      <c r="UVM30" s="175"/>
      <c r="UVN30" s="175"/>
      <c r="UVO30" s="175"/>
      <c r="UVP30" s="175"/>
      <c r="UVQ30" s="175"/>
      <c r="UVR30" s="175"/>
      <c r="UVS30" s="175"/>
      <c r="UVT30" s="175"/>
      <c r="UVU30" s="175"/>
      <c r="UVV30" s="175"/>
      <c r="UVW30" s="175"/>
      <c r="UVX30" s="175"/>
      <c r="UVY30" s="175"/>
      <c r="UVZ30" s="175"/>
      <c r="UWA30" s="175"/>
      <c r="UWB30" s="175"/>
      <c r="UWC30" s="175"/>
      <c r="UWD30" s="175"/>
      <c r="UWE30" s="175"/>
      <c r="UWF30" s="175"/>
      <c r="UWG30" s="175"/>
      <c r="UWH30" s="175"/>
      <c r="UWI30" s="175"/>
      <c r="UWJ30" s="175"/>
      <c r="UWK30" s="175"/>
      <c r="UWL30" s="175"/>
      <c r="UWM30" s="175"/>
      <c r="UWN30" s="175"/>
      <c r="UWO30" s="175"/>
      <c r="UWP30" s="175"/>
      <c r="UWQ30" s="175"/>
      <c r="UWR30" s="175"/>
      <c r="UWS30" s="175"/>
      <c r="UWT30" s="175"/>
      <c r="UWU30" s="175"/>
      <c r="UWV30" s="175"/>
      <c r="UWW30" s="175"/>
      <c r="UWX30" s="175"/>
      <c r="UWY30" s="175"/>
      <c r="UWZ30" s="175"/>
      <c r="UXA30" s="175"/>
      <c r="UXB30" s="175"/>
      <c r="UXC30" s="175"/>
      <c r="UXD30" s="175"/>
      <c r="UXE30" s="175"/>
      <c r="UXF30" s="175"/>
      <c r="UXG30" s="175"/>
      <c r="UXH30" s="175"/>
      <c r="UXI30" s="175"/>
      <c r="UXJ30" s="175"/>
      <c r="UXK30" s="175"/>
      <c r="UXL30" s="175"/>
      <c r="UXM30" s="175"/>
      <c r="UXN30" s="175"/>
      <c r="UXO30" s="175"/>
      <c r="UXP30" s="175"/>
      <c r="UXQ30" s="175"/>
      <c r="UXR30" s="175"/>
      <c r="UXS30" s="175"/>
      <c r="UXT30" s="175"/>
      <c r="UXU30" s="175"/>
      <c r="UXV30" s="175"/>
      <c r="UXW30" s="175"/>
      <c r="UXX30" s="175"/>
      <c r="UXY30" s="175"/>
      <c r="UXZ30" s="175"/>
      <c r="UYA30" s="175"/>
      <c r="UYB30" s="175"/>
      <c r="UYC30" s="175"/>
      <c r="UYD30" s="175"/>
      <c r="UYE30" s="175"/>
      <c r="UYF30" s="175"/>
      <c r="UYG30" s="175"/>
      <c r="UYH30" s="175"/>
      <c r="UYI30" s="175"/>
      <c r="UYJ30" s="175"/>
      <c r="UYK30" s="175"/>
      <c r="UYL30" s="175"/>
      <c r="UYM30" s="175"/>
      <c r="UYN30" s="175"/>
      <c r="UYO30" s="175"/>
      <c r="UYP30" s="175"/>
      <c r="UYQ30" s="175"/>
      <c r="UYR30" s="175"/>
      <c r="UYS30" s="175"/>
      <c r="UYT30" s="175"/>
      <c r="UYU30" s="175"/>
      <c r="UYV30" s="175"/>
      <c r="UYW30" s="175"/>
      <c r="UYX30" s="175"/>
      <c r="UYY30" s="175"/>
      <c r="UYZ30" s="175"/>
      <c r="UZA30" s="175"/>
      <c r="UZB30" s="175"/>
      <c r="UZC30" s="175"/>
      <c r="UZD30" s="175"/>
      <c r="UZE30" s="175"/>
      <c r="UZF30" s="175"/>
      <c r="UZG30" s="175"/>
      <c r="UZH30" s="175"/>
      <c r="UZI30" s="175"/>
      <c r="UZJ30" s="175"/>
      <c r="UZK30" s="175"/>
      <c r="UZL30" s="175"/>
      <c r="UZM30" s="175"/>
      <c r="UZN30" s="175"/>
      <c r="UZO30" s="175"/>
      <c r="UZP30" s="175"/>
      <c r="UZQ30" s="175"/>
      <c r="UZR30" s="175"/>
      <c r="UZS30" s="175"/>
      <c r="UZT30" s="175"/>
      <c r="UZU30" s="175"/>
      <c r="UZV30" s="175"/>
      <c r="UZW30" s="175"/>
      <c r="UZX30" s="175"/>
      <c r="UZY30" s="175"/>
      <c r="UZZ30" s="175"/>
      <c r="VAA30" s="175"/>
      <c r="VAB30" s="175"/>
      <c r="VAC30" s="175"/>
      <c r="VAD30" s="175"/>
      <c r="VAE30" s="175"/>
      <c r="VAF30" s="175"/>
      <c r="VAG30" s="175"/>
      <c r="VAH30" s="175"/>
      <c r="VAI30" s="175"/>
      <c r="VAJ30" s="175"/>
      <c r="VAK30" s="175"/>
      <c r="VAL30" s="175"/>
      <c r="VAM30" s="175"/>
      <c r="VAN30" s="175"/>
      <c r="VAO30" s="175"/>
      <c r="VAP30" s="175"/>
      <c r="VAQ30" s="175"/>
      <c r="VAR30" s="175"/>
      <c r="VAS30" s="175"/>
      <c r="VAT30" s="175"/>
      <c r="VAU30" s="175"/>
      <c r="VAV30" s="175"/>
      <c r="VAW30" s="175"/>
      <c r="VAX30" s="175"/>
      <c r="VAY30" s="175"/>
      <c r="VAZ30" s="175"/>
      <c r="VBA30" s="175"/>
      <c r="VBB30" s="175"/>
      <c r="VBC30" s="175"/>
      <c r="VBD30" s="175"/>
      <c r="VBE30" s="175"/>
      <c r="VBF30" s="175"/>
      <c r="VBG30" s="175"/>
      <c r="VBH30" s="175"/>
      <c r="VBI30" s="175"/>
      <c r="VBJ30" s="175"/>
      <c r="VBK30" s="175"/>
      <c r="VBL30" s="175"/>
      <c r="VBM30" s="175"/>
      <c r="VBN30" s="175"/>
      <c r="VBO30" s="175"/>
      <c r="VBP30" s="175"/>
      <c r="VBQ30" s="175"/>
      <c r="VBR30" s="175"/>
      <c r="VBS30" s="175"/>
      <c r="VBT30" s="175"/>
      <c r="VBU30" s="175"/>
      <c r="VBV30" s="175"/>
      <c r="VBW30" s="175"/>
      <c r="VBX30" s="175"/>
      <c r="VBY30" s="175"/>
      <c r="VBZ30" s="175"/>
      <c r="VCA30" s="175"/>
      <c r="VCB30" s="175"/>
      <c r="VCC30" s="175"/>
      <c r="VCD30" s="175"/>
      <c r="VCE30" s="175"/>
      <c r="VCF30" s="175"/>
      <c r="VCG30" s="175"/>
      <c r="VCH30" s="175"/>
      <c r="VCI30" s="175"/>
      <c r="VCJ30" s="175"/>
      <c r="VCK30" s="175"/>
      <c r="VCL30" s="175"/>
      <c r="VCM30" s="175"/>
      <c r="VCN30" s="175"/>
      <c r="VCO30" s="175"/>
      <c r="VCP30" s="175"/>
      <c r="VCQ30" s="175"/>
      <c r="VCR30" s="175"/>
      <c r="VCS30" s="175"/>
      <c r="VCT30" s="175"/>
      <c r="VCU30" s="175"/>
      <c r="VCV30" s="175"/>
      <c r="VCW30" s="175"/>
      <c r="VCX30" s="175"/>
      <c r="VCY30" s="175"/>
      <c r="VCZ30" s="175"/>
      <c r="VDA30" s="175"/>
      <c r="VDB30" s="175"/>
      <c r="VDC30" s="175"/>
      <c r="VDD30" s="175"/>
      <c r="VDE30" s="175"/>
      <c r="VDF30" s="175"/>
      <c r="VDG30" s="175"/>
      <c r="VDH30" s="175"/>
      <c r="VDI30" s="175"/>
      <c r="VDJ30" s="175"/>
      <c r="VDK30" s="175"/>
      <c r="VDL30" s="175"/>
      <c r="VDM30" s="175"/>
      <c r="VDN30" s="175"/>
      <c r="VDO30" s="175"/>
      <c r="VDP30" s="175"/>
      <c r="VDQ30" s="175"/>
      <c r="VDR30" s="175"/>
      <c r="VDS30" s="175"/>
      <c r="VDT30" s="175"/>
      <c r="VDU30" s="175"/>
      <c r="VDV30" s="175"/>
      <c r="VDW30" s="175"/>
      <c r="VDX30" s="175"/>
      <c r="VDY30" s="175"/>
      <c r="VDZ30" s="175"/>
      <c r="VEA30" s="175"/>
      <c r="VEB30" s="175"/>
      <c r="VEC30" s="175"/>
      <c r="VED30" s="175"/>
      <c r="VEE30" s="175"/>
      <c r="VEF30" s="175"/>
      <c r="VEG30" s="175"/>
      <c r="VEH30" s="175"/>
      <c r="VEI30" s="175"/>
      <c r="VEJ30" s="175"/>
      <c r="VEK30" s="175"/>
      <c r="VEL30" s="175"/>
      <c r="VEM30" s="175"/>
      <c r="VEN30" s="175"/>
      <c r="VEO30" s="175"/>
      <c r="VEP30" s="175"/>
      <c r="VEQ30" s="175"/>
      <c r="VER30" s="175"/>
      <c r="VES30" s="175"/>
      <c r="VET30" s="175"/>
      <c r="VEU30" s="175"/>
      <c r="VEV30" s="175"/>
      <c r="VEW30" s="175"/>
      <c r="VEX30" s="175"/>
      <c r="VEY30" s="175"/>
      <c r="VEZ30" s="175"/>
      <c r="VFA30" s="175"/>
      <c r="VFB30" s="175"/>
      <c r="VFC30" s="175"/>
      <c r="VFD30" s="175"/>
      <c r="VFE30" s="175"/>
      <c r="VFF30" s="175"/>
      <c r="VFG30" s="175"/>
      <c r="VFH30" s="175"/>
      <c r="VFI30" s="175"/>
      <c r="VFJ30" s="175"/>
      <c r="VFK30" s="175"/>
      <c r="VFL30" s="175"/>
      <c r="VFM30" s="175"/>
      <c r="VFN30" s="175"/>
      <c r="VFO30" s="175"/>
      <c r="VFP30" s="175"/>
      <c r="VFQ30" s="175"/>
      <c r="VFR30" s="175"/>
      <c r="VFS30" s="175"/>
      <c r="VFT30" s="175"/>
      <c r="VFU30" s="175"/>
      <c r="VFV30" s="175"/>
      <c r="VFW30" s="175"/>
      <c r="VFX30" s="175"/>
      <c r="VFY30" s="175"/>
      <c r="VFZ30" s="175"/>
      <c r="VGA30" s="175"/>
      <c r="VGB30" s="175"/>
      <c r="VGC30" s="175"/>
      <c r="VGD30" s="175"/>
      <c r="VGE30" s="175"/>
      <c r="VGF30" s="175"/>
      <c r="VGG30" s="175"/>
      <c r="VGH30" s="175"/>
      <c r="VGI30" s="175"/>
      <c r="VGJ30" s="175"/>
      <c r="VGK30" s="175"/>
      <c r="VGL30" s="175"/>
      <c r="VGM30" s="175"/>
      <c r="VGN30" s="175"/>
      <c r="VGO30" s="175"/>
      <c r="VGP30" s="175"/>
      <c r="VGQ30" s="175"/>
      <c r="VGR30" s="175"/>
      <c r="VGS30" s="175"/>
      <c r="VGT30" s="175"/>
      <c r="VGU30" s="175"/>
      <c r="VGV30" s="175"/>
      <c r="VGW30" s="175"/>
      <c r="VGX30" s="175"/>
      <c r="VGY30" s="175"/>
      <c r="VGZ30" s="175"/>
      <c r="VHA30" s="175"/>
      <c r="VHB30" s="175"/>
      <c r="VHC30" s="175"/>
      <c r="VHD30" s="175"/>
      <c r="VHE30" s="175"/>
      <c r="VHF30" s="175"/>
      <c r="VHG30" s="175"/>
      <c r="VHH30" s="175"/>
      <c r="VHI30" s="175"/>
      <c r="VHJ30" s="175"/>
      <c r="VHK30" s="175"/>
      <c r="VHL30" s="175"/>
      <c r="VHM30" s="175"/>
      <c r="VHN30" s="175"/>
      <c r="VHO30" s="175"/>
      <c r="VHP30" s="175"/>
      <c r="VHQ30" s="175"/>
      <c r="VHR30" s="175"/>
      <c r="VHS30" s="175"/>
      <c r="VHT30" s="175"/>
      <c r="VHU30" s="175"/>
      <c r="VHV30" s="175"/>
      <c r="VHW30" s="175"/>
      <c r="VHX30" s="175"/>
      <c r="VHY30" s="175"/>
      <c r="VHZ30" s="175"/>
      <c r="VIA30" s="175"/>
      <c r="VIB30" s="175"/>
      <c r="VIC30" s="175"/>
      <c r="VID30" s="175"/>
      <c r="VIE30" s="175"/>
      <c r="VIF30" s="175"/>
      <c r="VIG30" s="175"/>
      <c r="VIH30" s="175"/>
      <c r="VII30" s="175"/>
      <c r="VIJ30" s="175"/>
      <c r="VIK30" s="175"/>
      <c r="VIL30" s="175"/>
      <c r="VIM30" s="175"/>
      <c r="VIN30" s="175"/>
      <c r="VIO30" s="175"/>
      <c r="VIP30" s="175"/>
      <c r="VIQ30" s="175"/>
      <c r="VIR30" s="175"/>
      <c r="VIS30" s="175"/>
      <c r="VIT30" s="175"/>
      <c r="VIU30" s="175"/>
      <c r="VIV30" s="175"/>
      <c r="VIW30" s="175"/>
      <c r="VIX30" s="175"/>
      <c r="VIY30" s="175"/>
      <c r="VIZ30" s="175"/>
      <c r="VJA30" s="175"/>
      <c r="VJB30" s="175"/>
      <c r="VJC30" s="175"/>
      <c r="VJD30" s="175"/>
      <c r="VJE30" s="175"/>
      <c r="VJF30" s="175"/>
      <c r="VJG30" s="175"/>
      <c r="VJH30" s="175"/>
      <c r="VJI30" s="175"/>
      <c r="VJJ30" s="175"/>
      <c r="VJK30" s="175"/>
      <c r="VJL30" s="175"/>
      <c r="VJM30" s="175"/>
      <c r="VJN30" s="175"/>
      <c r="VJO30" s="175"/>
      <c r="VJP30" s="175"/>
      <c r="VJQ30" s="175"/>
      <c r="VJR30" s="175"/>
      <c r="VJS30" s="175"/>
      <c r="VJT30" s="175"/>
      <c r="VJU30" s="175"/>
      <c r="VJV30" s="175"/>
      <c r="VJW30" s="175"/>
      <c r="VJX30" s="175"/>
      <c r="VJY30" s="175"/>
      <c r="VJZ30" s="175"/>
      <c r="VKA30" s="175"/>
      <c r="VKB30" s="175"/>
      <c r="VKC30" s="175"/>
      <c r="VKD30" s="175"/>
      <c r="VKE30" s="175"/>
      <c r="VKF30" s="175"/>
      <c r="VKG30" s="175"/>
      <c r="VKH30" s="175"/>
      <c r="VKI30" s="175"/>
      <c r="VKJ30" s="175"/>
      <c r="VKK30" s="175"/>
      <c r="VKL30" s="175"/>
      <c r="VKM30" s="175"/>
      <c r="VKN30" s="175"/>
      <c r="VKO30" s="175"/>
      <c r="VKP30" s="175"/>
      <c r="VKQ30" s="175"/>
      <c r="VKR30" s="175"/>
      <c r="VKS30" s="175"/>
      <c r="VKT30" s="175"/>
      <c r="VKU30" s="175"/>
      <c r="VKV30" s="175"/>
      <c r="VKW30" s="175"/>
      <c r="VKX30" s="175"/>
      <c r="VKY30" s="175"/>
      <c r="VKZ30" s="175"/>
      <c r="VLA30" s="175"/>
      <c r="VLB30" s="175"/>
      <c r="VLC30" s="175"/>
      <c r="VLD30" s="175"/>
      <c r="VLE30" s="175"/>
      <c r="VLF30" s="175"/>
      <c r="VLG30" s="175"/>
      <c r="VLH30" s="175"/>
      <c r="VLI30" s="175"/>
      <c r="VLJ30" s="175"/>
      <c r="VLK30" s="175"/>
      <c r="VLL30" s="175"/>
      <c r="VLM30" s="175"/>
      <c r="VLN30" s="175"/>
      <c r="VLO30" s="175"/>
      <c r="VLP30" s="175"/>
      <c r="VLQ30" s="175"/>
      <c r="VLR30" s="175"/>
      <c r="VLS30" s="175"/>
      <c r="VLT30" s="175"/>
      <c r="VLU30" s="175"/>
      <c r="VLV30" s="175"/>
      <c r="VLW30" s="175"/>
      <c r="VLX30" s="175"/>
      <c r="VLY30" s="175"/>
      <c r="VLZ30" s="175"/>
      <c r="VMA30" s="175"/>
      <c r="VMB30" s="175"/>
      <c r="VMC30" s="175"/>
      <c r="VMD30" s="175"/>
      <c r="VME30" s="175"/>
      <c r="VMF30" s="175"/>
      <c r="VMG30" s="175"/>
      <c r="VMH30" s="175"/>
      <c r="VMI30" s="175"/>
      <c r="VMJ30" s="175"/>
      <c r="VMK30" s="175"/>
      <c r="VML30" s="175"/>
      <c r="VMM30" s="175"/>
      <c r="VMN30" s="175"/>
      <c r="VMO30" s="175"/>
      <c r="VMP30" s="175"/>
      <c r="VMQ30" s="175"/>
      <c r="VMR30" s="175"/>
      <c r="VMS30" s="175"/>
      <c r="VMT30" s="175"/>
      <c r="VMU30" s="175"/>
      <c r="VMV30" s="175"/>
      <c r="VMW30" s="175"/>
      <c r="VMX30" s="175"/>
      <c r="VMY30" s="175"/>
      <c r="VMZ30" s="175"/>
      <c r="VNA30" s="175"/>
      <c r="VNB30" s="175"/>
      <c r="VNC30" s="175"/>
      <c r="VND30" s="175"/>
      <c r="VNE30" s="175"/>
      <c r="VNF30" s="175"/>
      <c r="VNG30" s="175"/>
      <c r="VNH30" s="175"/>
      <c r="VNI30" s="175"/>
      <c r="VNJ30" s="175"/>
      <c r="VNK30" s="175"/>
      <c r="VNL30" s="175"/>
      <c r="VNM30" s="175"/>
      <c r="VNN30" s="175"/>
      <c r="VNO30" s="175"/>
      <c r="VNP30" s="175"/>
      <c r="VNQ30" s="175"/>
      <c r="VNR30" s="175"/>
      <c r="VNS30" s="175"/>
      <c r="VNT30" s="175"/>
      <c r="VNU30" s="175"/>
      <c r="VNV30" s="175"/>
      <c r="VNW30" s="175"/>
      <c r="VNX30" s="175"/>
      <c r="VNY30" s="175"/>
      <c r="VNZ30" s="175"/>
      <c r="VOA30" s="175"/>
      <c r="VOB30" s="175"/>
      <c r="VOC30" s="175"/>
      <c r="VOD30" s="175"/>
      <c r="VOE30" s="175"/>
      <c r="VOF30" s="175"/>
      <c r="VOG30" s="175"/>
      <c r="VOH30" s="175"/>
      <c r="VOI30" s="175"/>
      <c r="VOJ30" s="175"/>
      <c r="VOK30" s="175"/>
      <c r="VOL30" s="175"/>
      <c r="VOM30" s="175"/>
      <c r="VON30" s="175"/>
      <c r="VOO30" s="175"/>
      <c r="VOP30" s="175"/>
      <c r="VOQ30" s="175"/>
      <c r="VOR30" s="175"/>
      <c r="VOS30" s="175"/>
      <c r="VOT30" s="175"/>
      <c r="VOU30" s="175"/>
      <c r="VOV30" s="175"/>
      <c r="VOW30" s="175"/>
      <c r="VOX30" s="175"/>
      <c r="VOY30" s="175"/>
      <c r="VOZ30" s="175"/>
      <c r="VPA30" s="175"/>
      <c r="VPB30" s="175"/>
      <c r="VPC30" s="175"/>
      <c r="VPD30" s="175"/>
      <c r="VPE30" s="175"/>
      <c r="VPF30" s="175"/>
      <c r="VPG30" s="175"/>
      <c r="VPH30" s="175"/>
      <c r="VPI30" s="175"/>
      <c r="VPJ30" s="175"/>
      <c r="VPK30" s="175"/>
      <c r="VPL30" s="175"/>
      <c r="VPM30" s="175"/>
      <c r="VPN30" s="175"/>
      <c r="VPO30" s="175"/>
      <c r="VPP30" s="175"/>
      <c r="VPQ30" s="175"/>
      <c r="VPR30" s="175"/>
      <c r="VPS30" s="175"/>
      <c r="VPT30" s="175"/>
      <c r="VPU30" s="175"/>
      <c r="VPV30" s="175"/>
      <c r="VPW30" s="175"/>
      <c r="VPX30" s="175"/>
      <c r="VPY30" s="175"/>
      <c r="VPZ30" s="175"/>
      <c r="VQA30" s="175"/>
      <c r="VQB30" s="175"/>
      <c r="VQC30" s="175"/>
      <c r="VQD30" s="175"/>
      <c r="VQE30" s="175"/>
      <c r="VQF30" s="175"/>
      <c r="VQG30" s="175"/>
      <c r="VQH30" s="175"/>
      <c r="VQI30" s="175"/>
      <c r="VQJ30" s="175"/>
      <c r="VQK30" s="175"/>
      <c r="VQL30" s="175"/>
      <c r="VQM30" s="175"/>
      <c r="VQN30" s="175"/>
      <c r="VQO30" s="175"/>
      <c r="VQP30" s="175"/>
      <c r="VQQ30" s="175"/>
      <c r="VQR30" s="175"/>
      <c r="VQS30" s="175"/>
      <c r="VQT30" s="175"/>
      <c r="VQU30" s="175"/>
      <c r="VQV30" s="175"/>
      <c r="VQW30" s="175"/>
      <c r="VQX30" s="175"/>
      <c r="VQY30" s="175"/>
      <c r="VQZ30" s="175"/>
      <c r="VRA30" s="175"/>
      <c r="VRB30" s="175"/>
      <c r="VRC30" s="175"/>
      <c r="VRD30" s="175"/>
      <c r="VRE30" s="175"/>
      <c r="VRF30" s="175"/>
      <c r="VRG30" s="175"/>
      <c r="VRH30" s="175"/>
      <c r="VRI30" s="175"/>
      <c r="VRJ30" s="175"/>
      <c r="VRK30" s="175"/>
      <c r="VRL30" s="175"/>
      <c r="VRM30" s="175"/>
      <c r="VRN30" s="175"/>
      <c r="VRO30" s="175"/>
      <c r="VRP30" s="175"/>
      <c r="VRQ30" s="175"/>
      <c r="VRR30" s="175"/>
      <c r="VRS30" s="175"/>
      <c r="VRT30" s="175"/>
      <c r="VRU30" s="175"/>
      <c r="VRV30" s="175"/>
      <c r="VRW30" s="175"/>
      <c r="VRX30" s="175"/>
      <c r="VRY30" s="175"/>
      <c r="VRZ30" s="175"/>
      <c r="VSA30" s="175"/>
      <c r="VSB30" s="175"/>
      <c r="VSC30" s="175"/>
      <c r="VSD30" s="175"/>
      <c r="VSE30" s="175"/>
      <c r="VSF30" s="175"/>
      <c r="VSG30" s="175"/>
      <c r="VSH30" s="175"/>
      <c r="VSI30" s="175"/>
      <c r="VSJ30" s="175"/>
      <c r="VSK30" s="175"/>
      <c r="VSL30" s="175"/>
      <c r="VSM30" s="175"/>
      <c r="VSN30" s="175"/>
      <c r="VSO30" s="175"/>
      <c r="VSP30" s="175"/>
      <c r="VSQ30" s="175"/>
      <c r="VSR30" s="175"/>
      <c r="VSS30" s="175"/>
      <c r="VST30" s="175"/>
      <c r="VSU30" s="175"/>
      <c r="VSV30" s="175"/>
      <c r="VSW30" s="175"/>
      <c r="VSX30" s="175"/>
      <c r="VSY30" s="175"/>
      <c r="VSZ30" s="175"/>
      <c r="VTA30" s="175"/>
      <c r="VTB30" s="175"/>
      <c r="VTC30" s="175"/>
      <c r="VTD30" s="175"/>
      <c r="VTE30" s="175"/>
      <c r="VTF30" s="175"/>
      <c r="VTG30" s="175"/>
      <c r="VTH30" s="175"/>
      <c r="VTI30" s="175"/>
      <c r="VTJ30" s="175"/>
      <c r="VTK30" s="175"/>
      <c r="VTL30" s="175"/>
      <c r="VTM30" s="175"/>
      <c r="VTN30" s="175"/>
      <c r="VTO30" s="175"/>
      <c r="VTP30" s="175"/>
      <c r="VTQ30" s="175"/>
      <c r="VTR30" s="175"/>
      <c r="VTS30" s="175"/>
      <c r="VTT30" s="175"/>
      <c r="VTU30" s="175"/>
      <c r="VTV30" s="175"/>
      <c r="VTW30" s="175"/>
      <c r="VTX30" s="175"/>
      <c r="VTY30" s="175"/>
      <c r="VTZ30" s="175"/>
      <c r="VUA30" s="175"/>
      <c r="VUB30" s="175"/>
      <c r="VUC30" s="175"/>
      <c r="VUD30" s="175"/>
      <c r="VUE30" s="175"/>
      <c r="VUF30" s="175"/>
      <c r="VUG30" s="175"/>
      <c r="VUH30" s="175"/>
      <c r="VUI30" s="175"/>
      <c r="VUJ30" s="175"/>
      <c r="VUK30" s="175"/>
      <c r="VUL30" s="175"/>
      <c r="VUM30" s="175"/>
      <c r="VUN30" s="175"/>
      <c r="VUO30" s="175"/>
      <c r="VUP30" s="175"/>
      <c r="VUQ30" s="175"/>
      <c r="VUR30" s="175"/>
      <c r="VUS30" s="175"/>
      <c r="VUT30" s="175"/>
      <c r="VUU30" s="175"/>
      <c r="VUV30" s="175"/>
      <c r="VUW30" s="175"/>
      <c r="VUX30" s="175"/>
      <c r="VUY30" s="175"/>
      <c r="VUZ30" s="175"/>
      <c r="VVA30" s="175"/>
      <c r="VVB30" s="175"/>
      <c r="VVC30" s="175"/>
      <c r="VVD30" s="175"/>
      <c r="VVE30" s="175"/>
      <c r="VVF30" s="175"/>
      <c r="VVG30" s="175"/>
      <c r="VVH30" s="175"/>
      <c r="VVI30" s="175"/>
      <c r="VVJ30" s="175"/>
      <c r="VVK30" s="175"/>
      <c r="VVL30" s="175"/>
      <c r="VVM30" s="175"/>
      <c r="VVN30" s="175"/>
      <c r="VVO30" s="175"/>
      <c r="VVP30" s="175"/>
      <c r="VVQ30" s="175"/>
      <c r="VVR30" s="175"/>
      <c r="VVS30" s="175"/>
      <c r="VVT30" s="175"/>
      <c r="VVU30" s="175"/>
      <c r="VVV30" s="175"/>
      <c r="VVW30" s="175"/>
      <c r="VVX30" s="175"/>
      <c r="VVY30" s="175"/>
      <c r="VVZ30" s="175"/>
      <c r="VWA30" s="175"/>
      <c r="VWB30" s="175"/>
      <c r="VWC30" s="175"/>
      <c r="VWD30" s="175"/>
      <c r="VWE30" s="175"/>
      <c r="VWF30" s="175"/>
      <c r="VWG30" s="175"/>
      <c r="VWH30" s="175"/>
      <c r="VWI30" s="175"/>
      <c r="VWJ30" s="175"/>
      <c r="VWK30" s="175"/>
      <c r="VWL30" s="175"/>
      <c r="VWM30" s="175"/>
      <c r="VWN30" s="175"/>
      <c r="VWO30" s="175"/>
      <c r="VWP30" s="175"/>
      <c r="VWQ30" s="175"/>
      <c r="VWR30" s="175"/>
      <c r="VWS30" s="175"/>
      <c r="VWT30" s="175"/>
      <c r="VWU30" s="175"/>
      <c r="VWV30" s="175"/>
      <c r="VWW30" s="175"/>
      <c r="VWX30" s="175"/>
      <c r="VWY30" s="175"/>
      <c r="VWZ30" s="175"/>
      <c r="VXA30" s="175"/>
      <c r="VXB30" s="175"/>
      <c r="VXC30" s="175"/>
      <c r="VXD30" s="175"/>
      <c r="VXE30" s="175"/>
      <c r="VXF30" s="175"/>
      <c r="VXG30" s="175"/>
      <c r="VXH30" s="175"/>
      <c r="VXI30" s="175"/>
      <c r="VXJ30" s="175"/>
      <c r="VXK30" s="175"/>
      <c r="VXL30" s="175"/>
      <c r="VXM30" s="175"/>
      <c r="VXN30" s="175"/>
      <c r="VXO30" s="175"/>
      <c r="VXP30" s="175"/>
      <c r="VXQ30" s="175"/>
      <c r="VXR30" s="175"/>
      <c r="VXS30" s="175"/>
      <c r="VXT30" s="175"/>
      <c r="VXU30" s="175"/>
      <c r="VXV30" s="175"/>
      <c r="VXW30" s="175"/>
      <c r="VXX30" s="175"/>
      <c r="VXY30" s="175"/>
      <c r="VXZ30" s="175"/>
      <c r="VYA30" s="175"/>
      <c r="VYB30" s="175"/>
      <c r="VYC30" s="175"/>
      <c r="VYD30" s="175"/>
      <c r="VYE30" s="175"/>
      <c r="VYF30" s="175"/>
      <c r="VYG30" s="175"/>
      <c r="VYH30" s="175"/>
      <c r="VYI30" s="175"/>
      <c r="VYJ30" s="175"/>
      <c r="VYK30" s="175"/>
      <c r="VYL30" s="175"/>
      <c r="VYM30" s="175"/>
      <c r="VYN30" s="175"/>
      <c r="VYO30" s="175"/>
      <c r="VYP30" s="175"/>
      <c r="VYQ30" s="175"/>
      <c r="VYR30" s="175"/>
      <c r="VYS30" s="175"/>
      <c r="VYT30" s="175"/>
      <c r="VYU30" s="175"/>
      <c r="VYV30" s="175"/>
      <c r="VYW30" s="175"/>
      <c r="VYX30" s="175"/>
      <c r="VYY30" s="175"/>
      <c r="VYZ30" s="175"/>
      <c r="VZA30" s="175"/>
      <c r="VZB30" s="175"/>
      <c r="VZC30" s="175"/>
      <c r="VZD30" s="175"/>
      <c r="VZE30" s="175"/>
      <c r="VZF30" s="175"/>
      <c r="VZG30" s="175"/>
      <c r="VZH30" s="175"/>
      <c r="VZI30" s="175"/>
      <c r="VZJ30" s="175"/>
      <c r="VZK30" s="175"/>
      <c r="VZL30" s="175"/>
      <c r="VZM30" s="175"/>
      <c r="VZN30" s="175"/>
      <c r="VZO30" s="175"/>
      <c r="VZP30" s="175"/>
      <c r="VZQ30" s="175"/>
      <c r="VZR30" s="175"/>
      <c r="VZS30" s="175"/>
      <c r="VZT30" s="175"/>
      <c r="VZU30" s="175"/>
      <c r="VZV30" s="175"/>
      <c r="VZW30" s="175"/>
      <c r="VZX30" s="175"/>
      <c r="VZY30" s="175"/>
      <c r="VZZ30" s="175"/>
      <c r="WAA30" s="175"/>
      <c r="WAB30" s="175"/>
      <c r="WAC30" s="175"/>
      <c r="WAD30" s="175"/>
      <c r="WAE30" s="175"/>
      <c r="WAF30" s="175"/>
      <c r="WAG30" s="175"/>
      <c r="WAH30" s="175"/>
      <c r="WAI30" s="175"/>
      <c r="WAJ30" s="175"/>
      <c r="WAK30" s="175"/>
      <c r="WAL30" s="175"/>
      <c r="WAM30" s="175"/>
      <c r="WAN30" s="175"/>
      <c r="WAO30" s="175"/>
      <c r="WAP30" s="175"/>
      <c r="WAQ30" s="175"/>
      <c r="WAR30" s="175"/>
      <c r="WAS30" s="175"/>
      <c r="WAT30" s="175"/>
      <c r="WAU30" s="175"/>
      <c r="WAV30" s="175"/>
      <c r="WAW30" s="175"/>
      <c r="WAX30" s="175"/>
      <c r="WAY30" s="175"/>
      <c r="WAZ30" s="175"/>
      <c r="WBA30" s="175"/>
      <c r="WBB30" s="175"/>
      <c r="WBC30" s="175"/>
      <c r="WBD30" s="175"/>
      <c r="WBE30" s="175"/>
      <c r="WBF30" s="175"/>
      <c r="WBG30" s="175"/>
      <c r="WBH30" s="175"/>
      <c r="WBI30" s="175"/>
      <c r="WBJ30" s="175"/>
      <c r="WBK30" s="175"/>
      <c r="WBL30" s="175"/>
      <c r="WBM30" s="175"/>
      <c r="WBN30" s="175"/>
      <c r="WBO30" s="175"/>
      <c r="WBP30" s="175"/>
      <c r="WBQ30" s="175"/>
      <c r="WBR30" s="175"/>
      <c r="WBS30" s="175"/>
      <c r="WBT30" s="175"/>
      <c r="WBU30" s="175"/>
      <c r="WBV30" s="175"/>
      <c r="WBW30" s="175"/>
      <c r="WBX30" s="175"/>
      <c r="WBY30" s="175"/>
      <c r="WBZ30" s="175"/>
      <c r="WCA30" s="175"/>
      <c r="WCB30" s="175"/>
      <c r="WCC30" s="175"/>
      <c r="WCD30" s="175"/>
      <c r="WCE30" s="175"/>
      <c r="WCF30" s="175"/>
      <c r="WCG30" s="175"/>
      <c r="WCH30" s="175"/>
      <c r="WCI30" s="175"/>
      <c r="WCJ30" s="175"/>
      <c r="WCK30" s="175"/>
      <c r="WCL30" s="175"/>
      <c r="WCM30" s="175"/>
      <c r="WCN30" s="175"/>
      <c r="WCO30" s="175"/>
      <c r="WCP30" s="175"/>
      <c r="WCQ30" s="175"/>
      <c r="WCR30" s="175"/>
      <c r="WCS30" s="175"/>
      <c r="WCT30" s="175"/>
      <c r="WCU30" s="175"/>
      <c r="WCV30" s="175"/>
      <c r="WCW30" s="175"/>
      <c r="WCX30" s="175"/>
      <c r="WCY30" s="175"/>
      <c r="WCZ30" s="175"/>
      <c r="WDA30" s="175"/>
      <c r="WDB30" s="175"/>
      <c r="WDC30" s="175"/>
      <c r="WDD30" s="175"/>
      <c r="WDE30" s="175"/>
      <c r="WDF30" s="175"/>
      <c r="WDG30" s="175"/>
      <c r="WDH30" s="175"/>
      <c r="WDI30" s="175"/>
      <c r="WDJ30" s="175"/>
      <c r="WDK30" s="175"/>
      <c r="WDL30" s="175"/>
      <c r="WDM30" s="175"/>
      <c r="WDN30" s="175"/>
      <c r="WDO30" s="175"/>
      <c r="WDP30" s="175"/>
      <c r="WDQ30" s="175"/>
      <c r="WDR30" s="175"/>
      <c r="WDS30" s="175"/>
      <c r="WDT30" s="175"/>
      <c r="WDU30" s="175"/>
      <c r="WDV30" s="175"/>
      <c r="WDW30" s="175"/>
      <c r="WDX30" s="175"/>
      <c r="WDY30" s="175"/>
      <c r="WDZ30" s="175"/>
      <c r="WEA30" s="175"/>
      <c r="WEB30" s="175"/>
      <c r="WEC30" s="175"/>
      <c r="WED30" s="175"/>
      <c r="WEE30" s="175"/>
      <c r="WEF30" s="175"/>
      <c r="WEG30" s="175"/>
      <c r="WEH30" s="175"/>
      <c r="WEI30" s="175"/>
      <c r="WEJ30" s="175"/>
      <c r="WEK30" s="175"/>
      <c r="WEL30" s="175"/>
      <c r="WEM30" s="175"/>
      <c r="WEN30" s="175"/>
      <c r="WEO30" s="175"/>
      <c r="WEP30" s="175"/>
      <c r="WEQ30" s="175"/>
      <c r="WER30" s="175"/>
      <c r="WES30" s="175"/>
      <c r="WET30" s="175"/>
      <c r="WEU30" s="175"/>
      <c r="WEV30" s="175"/>
      <c r="WEW30" s="175"/>
      <c r="WEX30" s="175"/>
      <c r="WEY30" s="175"/>
      <c r="WEZ30" s="175"/>
      <c r="WFA30" s="175"/>
      <c r="WFB30" s="175"/>
      <c r="WFC30" s="175"/>
      <c r="WFD30" s="175"/>
      <c r="WFE30" s="175"/>
      <c r="WFF30" s="175"/>
      <c r="WFG30" s="175"/>
      <c r="WFH30" s="175"/>
      <c r="WFI30" s="175"/>
      <c r="WFJ30" s="175"/>
      <c r="WFK30" s="175"/>
      <c r="WFL30" s="175"/>
      <c r="WFM30" s="175"/>
      <c r="WFN30" s="175"/>
      <c r="WFO30" s="175"/>
      <c r="WFP30" s="175"/>
      <c r="WFQ30" s="175"/>
      <c r="WFR30" s="175"/>
      <c r="WFS30" s="175"/>
      <c r="WFT30" s="175"/>
      <c r="WFU30" s="175"/>
      <c r="WFV30" s="175"/>
      <c r="WFW30" s="175"/>
      <c r="WFX30" s="175"/>
      <c r="WFY30" s="175"/>
      <c r="WFZ30" s="175"/>
      <c r="WGA30" s="175"/>
      <c r="WGB30" s="175"/>
      <c r="WGC30" s="175"/>
      <c r="WGD30" s="175"/>
      <c r="WGE30" s="175"/>
      <c r="WGF30" s="175"/>
      <c r="WGG30" s="175"/>
      <c r="WGH30" s="175"/>
      <c r="WGI30" s="175"/>
      <c r="WGJ30" s="175"/>
      <c r="WGK30" s="175"/>
      <c r="WGL30" s="175"/>
      <c r="WGM30" s="175"/>
      <c r="WGN30" s="175"/>
      <c r="WGO30" s="175"/>
      <c r="WGP30" s="175"/>
      <c r="WGQ30" s="175"/>
      <c r="WGR30" s="175"/>
      <c r="WGS30" s="175"/>
      <c r="WGT30" s="175"/>
      <c r="WGU30" s="175"/>
      <c r="WGV30" s="175"/>
      <c r="WGW30" s="175"/>
      <c r="WGX30" s="175"/>
      <c r="WGY30" s="175"/>
      <c r="WGZ30" s="175"/>
      <c r="WHA30" s="175"/>
      <c r="WHB30" s="175"/>
      <c r="WHC30" s="175"/>
      <c r="WHD30" s="175"/>
      <c r="WHE30" s="175"/>
      <c r="WHF30" s="175"/>
      <c r="WHG30" s="175"/>
      <c r="WHH30" s="175"/>
      <c r="WHI30" s="175"/>
      <c r="WHJ30" s="175"/>
      <c r="WHK30" s="175"/>
      <c r="WHL30" s="175"/>
      <c r="WHM30" s="175"/>
      <c r="WHN30" s="175"/>
      <c r="WHO30" s="175"/>
      <c r="WHP30" s="175"/>
      <c r="WHQ30" s="175"/>
      <c r="WHR30" s="175"/>
      <c r="WHS30" s="175"/>
      <c r="WHT30" s="175"/>
      <c r="WHU30" s="175"/>
      <c r="WHV30" s="175"/>
      <c r="WHW30" s="175"/>
      <c r="WHX30" s="175"/>
      <c r="WHY30" s="175"/>
      <c r="WHZ30" s="175"/>
      <c r="WIA30" s="175"/>
      <c r="WIB30" s="175"/>
      <c r="WIC30" s="175"/>
      <c r="WID30" s="175"/>
      <c r="WIE30" s="175"/>
      <c r="WIF30" s="175"/>
      <c r="WIG30" s="175"/>
      <c r="WIH30" s="175"/>
      <c r="WII30" s="175"/>
      <c r="WIJ30" s="175"/>
      <c r="WIK30" s="175"/>
      <c r="WIL30" s="175"/>
      <c r="WIM30" s="175"/>
      <c r="WIN30" s="175"/>
      <c r="WIO30" s="175"/>
      <c r="WIP30" s="175"/>
      <c r="WIQ30" s="175"/>
      <c r="WIR30" s="175"/>
      <c r="WIS30" s="175"/>
      <c r="WIT30" s="175"/>
      <c r="WIU30" s="175"/>
      <c r="WIV30" s="175"/>
      <c r="WIW30" s="175"/>
      <c r="WIX30" s="175"/>
      <c r="WIY30" s="175"/>
      <c r="WIZ30" s="175"/>
      <c r="WJA30" s="175"/>
      <c r="WJB30" s="175"/>
      <c r="WJC30" s="175"/>
      <c r="WJD30" s="175"/>
      <c r="WJE30" s="175"/>
      <c r="WJF30" s="175"/>
      <c r="WJG30" s="175"/>
      <c r="WJH30" s="175"/>
      <c r="WJI30" s="175"/>
      <c r="WJJ30" s="175"/>
      <c r="WJK30" s="175"/>
      <c r="WJL30" s="175"/>
      <c r="WJM30" s="175"/>
      <c r="WJN30" s="175"/>
      <c r="WJO30" s="175"/>
      <c r="WJP30" s="175"/>
      <c r="WJQ30" s="175"/>
      <c r="WJR30" s="175"/>
      <c r="WJS30" s="175"/>
      <c r="WJT30" s="175"/>
      <c r="WJU30" s="175"/>
      <c r="WJV30" s="175"/>
      <c r="WJW30" s="175"/>
      <c r="WJX30" s="175"/>
      <c r="WJY30" s="175"/>
      <c r="WJZ30" s="175"/>
      <c r="WKA30" s="175"/>
      <c r="WKB30" s="175"/>
      <c r="WKC30" s="175"/>
      <c r="WKD30" s="175"/>
      <c r="WKE30" s="175"/>
      <c r="WKF30" s="175"/>
      <c r="WKG30" s="175"/>
      <c r="WKH30" s="175"/>
      <c r="WKI30" s="175"/>
      <c r="WKJ30" s="175"/>
      <c r="WKK30" s="175"/>
      <c r="WKL30" s="175"/>
      <c r="WKM30" s="175"/>
      <c r="WKN30" s="175"/>
      <c r="WKO30" s="175"/>
      <c r="WKP30" s="175"/>
      <c r="WKQ30" s="175"/>
      <c r="WKR30" s="175"/>
      <c r="WKS30" s="175"/>
      <c r="WKT30" s="175"/>
      <c r="WKU30" s="175"/>
      <c r="WKV30" s="175"/>
      <c r="WKW30" s="175"/>
      <c r="WKX30" s="175"/>
      <c r="WKY30" s="175"/>
      <c r="WKZ30" s="175"/>
      <c r="WLA30" s="175"/>
      <c r="WLB30" s="175"/>
      <c r="WLC30" s="175"/>
      <c r="WLD30" s="175"/>
      <c r="WLE30" s="175"/>
      <c r="WLF30" s="175"/>
      <c r="WLG30" s="175"/>
      <c r="WLH30" s="175"/>
      <c r="WLI30" s="175"/>
      <c r="WLJ30" s="175"/>
      <c r="WLK30" s="175"/>
      <c r="WLL30" s="175"/>
      <c r="WLM30" s="175"/>
      <c r="WLN30" s="175"/>
      <c r="WLO30" s="175"/>
      <c r="WLP30" s="175"/>
      <c r="WLQ30" s="175"/>
      <c r="WLR30" s="175"/>
      <c r="WLS30" s="175"/>
      <c r="WLT30" s="175"/>
      <c r="WLU30" s="175"/>
      <c r="WLV30" s="175"/>
      <c r="WLW30" s="175"/>
      <c r="WLX30" s="175"/>
      <c r="WLY30" s="175"/>
      <c r="WLZ30" s="175"/>
      <c r="WMA30" s="175"/>
      <c r="WMB30" s="175"/>
      <c r="WMC30" s="175"/>
      <c r="WMD30" s="175"/>
      <c r="WME30" s="175"/>
      <c r="WMF30" s="175"/>
      <c r="WMG30" s="175"/>
      <c r="WMH30" s="175"/>
      <c r="WMI30" s="175"/>
      <c r="WMJ30" s="175"/>
      <c r="WMK30" s="175"/>
      <c r="WML30" s="175"/>
      <c r="WMM30" s="175"/>
      <c r="WMN30" s="175"/>
      <c r="WMO30" s="175"/>
      <c r="WMP30" s="175"/>
      <c r="WMQ30" s="175"/>
      <c r="WMR30" s="175"/>
      <c r="WMS30" s="175"/>
      <c r="WMT30" s="175"/>
      <c r="WMU30" s="175"/>
      <c r="WMV30" s="175"/>
      <c r="WMW30" s="175"/>
      <c r="WMX30" s="175"/>
      <c r="WMY30" s="175"/>
      <c r="WMZ30" s="175"/>
      <c r="WNA30" s="175"/>
      <c r="WNB30" s="175"/>
      <c r="WNC30" s="175"/>
      <c r="WND30" s="175"/>
      <c r="WNE30" s="175"/>
      <c r="WNF30" s="175"/>
      <c r="WNG30" s="175"/>
      <c r="WNH30" s="175"/>
      <c r="WNI30" s="175"/>
      <c r="WNJ30" s="175"/>
      <c r="WNK30" s="175"/>
      <c r="WNL30" s="175"/>
      <c r="WNM30" s="175"/>
      <c r="WNN30" s="175"/>
      <c r="WNO30" s="175"/>
      <c r="WNP30" s="175"/>
      <c r="WNQ30" s="175"/>
      <c r="WNR30" s="175"/>
      <c r="WNS30" s="175"/>
      <c r="WNT30" s="175"/>
      <c r="WNU30" s="175"/>
      <c r="WNV30" s="175"/>
      <c r="WNW30" s="175"/>
      <c r="WNX30" s="175"/>
      <c r="WNY30" s="175"/>
      <c r="WNZ30" s="175"/>
      <c r="WOA30" s="175"/>
      <c r="WOB30" s="175"/>
      <c r="WOC30" s="175"/>
      <c r="WOD30" s="175"/>
      <c r="WOE30" s="175"/>
      <c r="WOF30" s="175"/>
      <c r="WOG30" s="175"/>
      <c r="WOH30" s="175"/>
      <c r="WOI30" s="175"/>
      <c r="WOJ30" s="175"/>
      <c r="WOK30" s="175"/>
      <c r="WOL30" s="175"/>
      <c r="WOM30" s="175"/>
      <c r="WON30" s="175"/>
      <c r="WOO30" s="175"/>
      <c r="WOP30" s="175"/>
      <c r="WOQ30" s="175"/>
      <c r="WOR30" s="175"/>
      <c r="WOS30" s="175"/>
      <c r="WOT30" s="175"/>
      <c r="WOU30" s="175"/>
      <c r="WOV30" s="175"/>
      <c r="WOW30" s="175"/>
      <c r="WOX30" s="175"/>
      <c r="WOY30" s="175"/>
      <c r="WOZ30" s="175"/>
      <c r="WPA30" s="175"/>
      <c r="WPB30" s="175"/>
      <c r="WPC30" s="175"/>
      <c r="WPD30" s="175"/>
      <c r="WPE30" s="175"/>
      <c r="WPF30" s="175"/>
      <c r="WPG30" s="175"/>
      <c r="WPH30" s="175"/>
      <c r="WPI30" s="175"/>
      <c r="WPJ30" s="175"/>
      <c r="WPK30" s="175"/>
      <c r="WPL30" s="175"/>
      <c r="WPM30" s="175"/>
      <c r="WPN30" s="175"/>
      <c r="WPO30" s="175"/>
      <c r="WPP30" s="175"/>
      <c r="WPQ30" s="175"/>
      <c r="WPR30" s="175"/>
      <c r="WPS30" s="175"/>
      <c r="WPT30" s="175"/>
      <c r="WPU30" s="175"/>
      <c r="WPV30" s="175"/>
      <c r="WPW30" s="175"/>
      <c r="WPX30" s="175"/>
      <c r="WPY30" s="175"/>
      <c r="WPZ30" s="175"/>
      <c r="WQA30" s="175"/>
      <c r="WQB30" s="175"/>
      <c r="WQC30" s="175"/>
      <c r="WQD30" s="175"/>
      <c r="WQE30" s="175"/>
      <c r="WQF30" s="175"/>
      <c r="WQG30" s="175"/>
      <c r="WQH30" s="175"/>
      <c r="WQI30" s="175"/>
      <c r="WQJ30" s="175"/>
      <c r="WQK30" s="175"/>
      <c r="WQL30" s="175"/>
      <c r="WQM30" s="175"/>
      <c r="WQN30" s="175"/>
      <c r="WQO30" s="175"/>
      <c r="WQP30" s="175"/>
      <c r="WQQ30" s="175"/>
      <c r="WQR30" s="175"/>
      <c r="WQS30" s="175"/>
      <c r="WQT30" s="175"/>
      <c r="WQU30" s="175"/>
      <c r="WQV30" s="175"/>
      <c r="WQW30" s="175"/>
      <c r="WQX30" s="175"/>
      <c r="WQY30" s="175"/>
      <c r="WQZ30" s="175"/>
      <c r="WRA30" s="175"/>
      <c r="WRB30" s="175"/>
      <c r="WRC30" s="175"/>
      <c r="WRD30" s="175"/>
      <c r="WRE30" s="175"/>
      <c r="WRF30" s="175"/>
      <c r="WRG30" s="175"/>
      <c r="WRH30" s="175"/>
      <c r="WRI30" s="175"/>
      <c r="WRJ30" s="175"/>
      <c r="WRK30" s="175"/>
      <c r="WRL30" s="175"/>
      <c r="WRM30" s="175"/>
      <c r="WRN30" s="175"/>
      <c r="WRO30" s="175"/>
      <c r="WRP30" s="175"/>
      <c r="WRQ30" s="175"/>
      <c r="WRR30" s="175"/>
      <c r="WRS30" s="175"/>
      <c r="WRT30" s="175"/>
      <c r="WRU30" s="175"/>
      <c r="WRV30" s="175"/>
      <c r="WRW30" s="175"/>
      <c r="WRX30" s="175"/>
      <c r="WRY30" s="175"/>
      <c r="WRZ30" s="175"/>
      <c r="WSA30" s="175"/>
      <c r="WSB30" s="175"/>
      <c r="WSC30" s="175"/>
      <c r="WSD30" s="175"/>
      <c r="WSE30" s="175"/>
      <c r="WSF30" s="175"/>
      <c r="WSG30" s="175"/>
      <c r="WSH30" s="175"/>
      <c r="WSI30" s="175"/>
      <c r="WSJ30" s="175"/>
      <c r="WSK30" s="175"/>
      <c r="WSL30" s="175"/>
      <c r="WSM30" s="175"/>
      <c r="WSN30" s="175"/>
      <c r="WSO30" s="175"/>
      <c r="WSP30" s="175"/>
      <c r="WSQ30" s="175"/>
      <c r="WSR30" s="175"/>
      <c r="WSS30" s="175"/>
      <c r="WST30" s="175"/>
      <c r="WSU30" s="175"/>
      <c r="WSV30" s="175"/>
      <c r="WSW30" s="175"/>
      <c r="WSX30" s="175"/>
      <c r="WSY30" s="175"/>
      <c r="WSZ30" s="175"/>
      <c r="WTA30" s="175"/>
      <c r="WTB30" s="175"/>
      <c r="WTC30" s="175"/>
      <c r="WTD30" s="175"/>
      <c r="WTE30" s="175"/>
      <c r="WTF30" s="175"/>
      <c r="WTG30" s="175"/>
      <c r="WTH30" s="175"/>
      <c r="WTI30" s="175"/>
      <c r="WTJ30" s="175"/>
      <c r="WTK30" s="175"/>
      <c r="WTL30" s="175"/>
      <c r="WTM30" s="175"/>
      <c r="WTN30" s="175"/>
      <c r="WTO30" s="175"/>
      <c r="WTP30" s="175"/>
      <c r="WTQ30" s="175"/>
      <c r="WTR30" s="175"/>
      <c r="WTS30" s="175"/>
      <c r="WTT30" s="175"/>
      <c r="WTU30" s="175"/>
      <c r="WTV30" s="175"/>
      <c r="WTW30" s="175"/>
      <c r="WTX30" s="175"/>
      <c r="WTY30" s="175"/>
      <c r="WTZ30" s="175"/>
      <c r="WUA30" s="175"/>
      <c r="WUB30" s="175"/>
      <c r="WUC30" s="175"/>
      <c r="WUD30" s="175"/>
      <c r="WUE30" s="175"/>
      <c r="WUF30" s="175"/>
      <c r="WUG30" s="175"/>
      <c r="WUH30" s="175"/>
      <c r="WUI30" s="175"/>
      <c r="WUJ30" s="175"/>
      <c r="WUK30" s="175"/>
      <c r="WUL30" s="175"/>
      <c r="WUM30" s="175"/>
      <c r="WUN30" s="175"/>
      <c r="WUO30" s="175"/>
      <c r="WUP30" s="175"/>
      <c r="WUQ30" s="175"/>
      <c r="WUR30" s="175"/>
      <c r="WUS30" s="175"/>
      <c r="WUT30" s="175"/>
      <c r="WUU30" s="175"/>
      <c r="WUV30" s="175"/>
      <c r="WUW30" s="175"/>
      <c r="WUX30" s="175"/>
      <c r="WUY30" s="175"/>
      <c r="WUZ30" s="175"/>
      <c r="WVA30" s="175"/>
      <c r="WVB30" s="175"/>
      <c r="WVC30" s="175"/>
      <c r="WVD30" s="175"/>
      <c r="WVE30" s="175"/>
      <c r="WVF30" s="175"/>
      <c r="WVG30" s="175"/>
      <c r="WVH30" s="175"/>
      <c r="WVI30" s="175"/>
      <c r="WVJ30" s="175"/>
      <c r="WVK30" s="175"/>
      <c r="WVL30" s="175"/>
      <c r="WVM30" s="175"/>
      <c r="WVN30" s="175"/>
      <c r="WVO30" s="175"/>
      <c r="WVP30" s="175"/>
      <c r="WVQ30" s="175"/>
      <c r="WVR30" s="175"/>
      <c r="WVS30" s="175"/>
      <c r="WVT30" s="175"/>
      <c r="WVU30" s="175"/>
      <c r="WVV30" s="175"/>
      <c r="WVW30" s="175"/>
      <c r="WVX30" s="175"/>
      <c r="WVY30" s="175"/>
      <c r="WVZ30" s="175"/>
      <c r="WWA30" s="175"/>
      <c r="WWB30" s="175"/>
      <c r="WWC30" s="175"/>
      <c r="WWD30" s="175"/>
      <c r="WWE30" s="175"/>
      <c r="WWF30" s="175"/>
      <c r="WWG30" s="175"/>
      <c r="WWH30" s="175"/>
      <c r="WWI30" s="175"/>
      <c r="WWJ30" s="175"/>
      <c r="WWK30" s="175"/>
      <c r="WWL30" s="175"/>
      <c r="WWM30" s="175"/>
      <c r="WWN30" s="175"/>
      <c r="WWO30" s="175"/>
      <c r="WWP30" s="175"/>
      <c r="WWQ30" s="175"/>
      <c r="WWR30" s="175"/>
      <c r="WWS30" s="175"/>
      <c r="WWT30" s="175"/>
      <c r="WWU30" s="175"/>
      <c r="WWV30" s="175"/>
      <c r="WWW30" s="175"/>
      <c r="WWX30" s="175"/>
      <c r="WWY30" s="175"/>
      <c r="WWZ30" s="175"/>
      <c r="WXA30" s="175"/>
      <c r="WXB30" s="175"/>
      <c r="WXC30" s="175"/>
      <c r="WXD30" s="175"/>
      <c r="WXE30" s="175"/>
      <c r="WXF30" s="175"/>
      <c r="WXG30" s="175"/>
      <c r="WXH30" s="175"/>
      <c r="WXI30" s="175"/>
      <c r="WXJ30" s="175"/>
      <c r="WXK30" s="175"/>
      <c r="WXL30" s="175"/>
      <c r="WXM30" s="175"/>
      <c r="WXN30" s="175"/>
      <c r="WXO30" s="175"/>
      <c r="WXP30" s="175"/>
      <c r="WXQ30" s="175"/>
      <c r="WXR30" s="175"/>
      <c r="WXS30" s="175"/>
      <c r="WXT30" s="175"/>
      <c r="WXU30" s="175"/>
      <c r="WXV30" s="175"/>
      <c r="WXW30" s="175"/>
      <c r="WXX30" s="175"/>
      <c r="WXY30" s="175"/>
      <c r="WXZ30" s="175"/>
      <c r="WYA30" s="175"/>
      <c r="WYB30" s="175"/>
      <c r="WYC30" s="175"/>
      <c r="WYD30" s="175"/>
      <c r="WYE30" s="175"/>
      <c r="WYF30" s="175"/>
      <c r="WYG30" s="175"/>
      <c r="WYH30" s="175"/>
      <c r="WYI30" s="175"/>
      <c r="WYJ30" s="175"/>
      <c r="WYK30" s="175"/>
      <c r="WYL30" s="175"/>
      <c r="WYM30" s="175"/>
      <c r="WYN30" s="175"/>
      <c r="WYO30" s="175"/>
      <c r="WYP30" s="175"/>
      <c r="WYQ30" s="175"/>
      <c r="WYR30" s="175"/>
      <c r="WYS30" s="175"/>
      <c r="WYT30" s="175"/>
      <c r="WYU30" s="175"/>
      <c r="WYV30" s="175"/>
      <c r="WYW30" s="175"/>
      <c r="WYX30" s="175"/>
      <c r="WYY30" s="175"/>
      <c r="WYZ30" s="175"/>
      <c r="WZA30" s="175"/>
      <c r="WZB30" s="175"/>
      <c r="WZC30" s="175"/>
      <c r="WZD30" s="175"/>
      <c r="WZE30" s="175"/>
      <c r="WZF30" s="175"/>
      <c r="WZG30" s="175"/>
      <c r="WZH30" s="175"/>
      <c r="WZI30" s="175"/>
      <c r="WZJ30" s="175"/>
      <c r="WZK30" s="175"/>
      <c r="WZL30" s="175"/>
      <c r="WZM30" s="175"/>
      <c r="WZN30" s="175"/>
      <c r="WZO30" s="175"/>
      <c r="WZP30" s="175"/>
      <c r="WZQ30" s="175"/>
      <c r="WZR30" s="175"/>
      <c r="WZS30" s="175"/>
      <c r="WZT30" s="175"/>
      <c r="WZU30" s="175"/>
      <c r="WZV30" s="175"/>
      <c r="WZW30" s="175"/>
      <c r="WZX30" s="175"/>
      <c r="WZY30" s="175"/>
      <c r="WZZ30" s="175"/>
      <c r="XAA30" s="175"/>
      <c r="XAB30" s="175"/>
      <c r="XAC30" s="175"/>
      <c r="XAD30" s="175"/>
      <c r="XAE30" s="175"/>
      <c r="XAF30" s="175"/>
      <c r="XAG30" s="175"/>
      <c r="XAH30" s="175"/>
      <c r="XAI30" s="175"/>
      <c r="XAJ30" s="175"/>
      <c r="XAK30" s="175"/>
      <c r="XAL30" s="175"/>
      <c r="XAM30" s="175"/>
      <c r="XAN30" s="175"/>
      <c r="XAO30" s="175"/>
      <c r="XAP30" s="175"/>
      <c r="XAQ30" s="175"/>
      <c r="XAR30" s="175"/>
      <c r="XAS30" s="175"/>
      <c r="XAT30" s="175"/>
      <c r="XAU30" s="175"/>
      <c r="XAV30" s="175"/>
      <c r="XAW30" s="175"/>
      <c r="XAX30" s="175"/>
      <c r="XAY30" s="175"/>
      <c r="XAZ30" s="175"/>
      <c r="XBA30" s="175"/>
      <c r="XBB30" s="175"/>
      <c r="XBC30" s="175"/>
      <c r="XBD30" s="175"/>
      <c r="XBE30" s="175"/>
      <c r="XBF30" s="175"/>
      <c r="XBG30" s="175"/>
      <c r="XBH30" s="175"/>
      <c r="XBI30" s="175"/>
      <c r="XBJ30" s="175"/>
      <c r="XBK30" s="175"/>
      <c r="XBL30" s="175"/>
      <c r="XBM30" s="175"/>
      <c r="XBN30" s="175"/>
      <c r="XBO30" s="175"/>
      <c r="XBP30" s="175"/>
      <c r="XBQ30" s="175"/>
      <c r="XBR30" s="175"/>
      <c r="XBS30" s="175"/>
      <c r="XBT30" s="175"/>
      <c r="XBU30" s="175"/>
      <c r="XBV30" s="175"/>
      <c r="XBW30" s="175"/>
      <c r="XBX30" s="175"/>
      <c r="XBY30" s="175"/>
      <c r="XBZ30" s="175"/>
      <c r="XCA30" s="175"/>
      <c r="XCB30" s="175"/>
      <c r="XCC30" s="175"/>
      <c r="XCD30" s="175"/>
      <c r="XCE30" s="175"/>
      <c r="XCF30" s="175"/>
      <c r="XCG30" s="175"/>
      <c r="XCH30" s="175"/>
      <c r="XCI30" s="175"/>
      <c r="XCJ30" s="175"/>
      <c r="XCK30" s="175"/>
      <c r="XCL30" s="175"/>
      <c r="XCM30" s="175"/>
      <c r="XCN30" s="175"/>
      <c r="XCO30" s="175"/>
      <c r="XCP30" s="175"/>
      <c r="XCQ30" s="175"/>
      <c r="XCR30" s="175"/>
      <c r="XCS30" s="175"/>
      <c r="XCT30" s="175"/>
      <c r="XCU30" s="175"/>
      <c r="XCV30" s="175"/>
      <c r="XCW30" s="175"/>
      <c r="XCX30" s="175"/>
      <c r="XCY30" s="175"/>
      <c r="XCZ30" s="175"/>
      <c r="XDA30" s="175"/>
      <c r="XDB30" s="175"/>
      <c r="XDC30" s="175"/>
      <c r="XDD30" s="175"/>
      <c r="XDE30" s="175"/>
      <c r="XDF30" s="175"/>
      <c r="XDG30" s="175"/>
      <c r="XDH30" s="175"/>
      <c r="XDI30" s="175"/>
      <c r="XDJ30" s="175"/>
      <c r="XDK30" s="175"/>
      <c r="XDL30" s="175"/>
      <c r="XDM30" s="175"/>
      <c r="XDN30" s="175"/>
      <c r="XDO30" s="175"/>
      <c r="XDP30" s="175"/>
      <c r="XDQ30" s="175"/>
      <c r="XDR30" s="175"/>
      <c r="XDS30" s="175"/>
      <c r="XDT30" s="175"/>
      <c r="XDU30" s="175"/>
      <c r="XDV30" s="175"/>
      <c r="XDW30" s="175"/>
      <c r="XDX30" s="175"/>
      <c r="XDY30" s="175"/>
      <c r="XDZ30" s="175"/>
      <c r="XEA30" s="175"/>
      <c r="XEB30" s="175"/>
      <c r="XEC30" s="175"/>
      <c r="XED30" s="175"/>
      <c r="XEE30" s="175"/>
      <c r="XEF30" s="175"/>
      <c r="XEG30" s="175"/>
      <c r="XEH30" s="175"/>
      <c r="XEI30" s="175"/>
      <c r="XEJ30" s="175"/>
      <c r="XEK30" s="175"/>
      <c r="XEL30" s="175"/>
      <c r="XEM30" s="175"/>
      <c r="XEN30" s="175"/>
      <c r="XEO30" s="175"/>
      <c r="XEP30" s="175"/>
      <c r="XEQ30" s="175"/>
      <c r="XER30" s="175"/>
      <c r="XES30" s="175"/>
      <c r="XET30" s="175"/>
      <c r="XEU30" s="175"/>
      <c r="XEV30" s="175"/>
      <c r="XEW30" s="175"/>
      <c r="XEX30" s="175"/>
      <c r="XEY30" s="175"/>
      <c r="XEZ30" s="175"/>
      <c r="XFA30" s="175"/>
      <c r="XFB30" s="175"/>
      <c r="XFC30" s="175"/>
      <c r="XFD30" s="175"/>
    </row>
    <row r="31" spans="1:16384" x14ac:dyDescent="0.2">
      <c r="A31" s="68">
        <v>27</v>
      </c>
      <c r="B31" s="77" t="s">
        <v>587</v>
      </c>
      <c r="C31" s="76" t="s">
        <v>589</v>
      </c>
      <c r="D31" s="76" t="s">
        <v>589</v>
      </c>
      <c r="E31" s="69">
        <v>3</v>
      </c>
      <c r="F31" s="70">
        <v>10</v>
      </c>
    </row>
    <row r="32" spans="1:16384" s="103" customFormat="1" ht="15.75" thickBot="1" x14ac:dyDescent="0.25">
      <c r="A32" s="179"/>
      <c r="B32" s="179" t="s">
        <v>588</v>
      </c>
      <c r="C32" s="186" t="s">
        <v>836</v>
      </c>
      <c r="D32" s="186" t="s">
        <v>258</v>
      </c>
      <c r="E32" s="188">
        <v>8</v>
      </c>
      <c r="F32" s="189">
        <v>9</v>
      </c>
    </row>
    <row r="33" spans="1:6" x14ac:dyDescent="0.2">
      <c r="A33" s="68">
        <v>29</v>
      </c>
      <c r="B33" s="179" t="s">
        <v>583</v>
      </c>
      <c r="C33" s="76" t="s">
        <v>589</v>
      </c>
      <c r="D33" s="76" t="s">
        <v>589</v>
      </c>
      <c r="E33" s="69">
        <v>4</v>
      </c>
      <c r="F33" s="70">
        <v>10</v>
      </c>
    </row>
    <row r="34" spans="1:6" x14ac:dyDescent="0.2">
      <c r="A34" s="68">
        <v>30</v>
      </c>
      <c r="B34" s="77" t="s">
        <v>584</v>
      </c>
      <c r="C34" s="76" t="s">
        <v>589</v>
      </c>
      <c r="D34" s="76" t="s">
        <v>258</v>
      </c>
      <c r="E34" s="69">
        <v>1</v>
      </c>
      <c r="F34" s="70">
        <v>0</v>
      </c>
    </row>
    <row r="35" spans="1:6" s="103" customFormat="1" ht="15.75" thickBot="1" x14ac:dyDescent="0.25">
      <c r="A35" s="187">
        <v>31</v>
      </c>
      <c r="B35" s="75" t="s">
        <v>585</v>
      </c>
      <c r="C35" s="186" t="s">
        <v>837</v>
      </c>
      <c r="D35" s="186" t="s">
        <v>837</v>
      </c>
      <c r="E35" s="188">
        <v>6</v>
      </c>
      <c r="F35" s="189">
        <v>10</v>
      </c>
    </row>
    <row r="36" spans="1:6" x14ac:dyDescent="0.2">
      <c r="B36" s="77"/>
    </row>
  </sheetData>
  <mergeCells count="4">
    <mergeCell ref="E2:F2"/>
    <mergeCell ref="E3:F3"/>
    <mergeCell ref="B1:C1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opLeftCell="B1" workbookViewId="0">
      <selection activeCell="C15" sqref="C15"/>
    </sheetView>
  </sheetViews>
  <sheetFormatPr defaultRowHeight="15" x14ac:dyDescent="0.2"/>
  <cols>
    <col min="2" max="2" width="18.0234375" bestFit="1" customWidth="1"/>
  </cols>
  <sheetData>
    <row r="1" spans="1:15" x14ac:dyDescent="0.2">
      <c r="A1" s="213" t="s">
        <v>30</v>
      </c>
      <c r="B1" s="214"/>
      <c r="C1" s="215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7"/>
    </row>
    <row r="2" spans="1:15" ht="15.75" thickBot="1" x14ac:dyDescent="0.25">
      <c r="A2" s="221" t="s">
        <v>1</v>
      </c>
      <c r="B2" s="222"/>
      <c r="C2" s="218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20"/>
    </row>
    <row r="3" spans="1:15" ht="15.75" thickBot="1" x14ac:dyDescent="0.25">
      <c r="A3" s="15" t="s">
        <v>2</v>
      </c>
      <c r="B3" s="16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8" t="s">
        <v>16</v>
      </c>
    </row>
    <row r="4" spans="1:15" ht="15.75" thickBot="1" x14ac:dyDescent="0.25">
      <c r="A4" s="1">
        <v>1</v>
      </c>
      <c r="B4" s="2" t="s">
        <v>31</v>
      </c>
      <c r="C4" s="20">
        <v>4.34</v>
      </c>
      <c r="D4" s="20">
        <v>4.55</v>
      </c>
      <c r="E4" s="20">
        <v>4.8899999999999997</v>
      </c>
      <c r="F4" s="20">
        <v>4.83</v>
      </c>
      <c r="G4" s="20">
        <v>4.9800000000000004</v>
      </c>
      <c r="H4" s="19">
        <v>5.28</v>
      </c>
      <c r="I4" s="19">
        <v>4.7</v>
      </c>
      <c r="J4" s="19">
        <v>4.93</v>
      </c>
      <c r="K4" s="19">
        <v>5.3</v>
      </c>
      <c r="L4" s="19">
        <v>4.97</v>
      </c>
      <c r="M4" s="19">
        <v>4.6900000000000004</v>
      </c>
      <c r="N4" s="19">
        <v>4.55</v>
      </c>
      <c r="O4" s="4">
        <f>SUM(C4:N4)</f>
        <v>58.009999999999991</v>
      </c>
    </row>
    <row r="5" spans="1:15" ht="15.75" thickBot="1" x14ac:dyDescent="0.25">
      <c r="A5" s="5">
        <v>2</v>
      </c>
      <c r="B5" s="6" t="s">
        <v>212</v>
      </c>
      <c r="C5" s="20">
        <v>4.34</v>
      </c>
      <c r="D5" s="20">
        <v>4.75</v>
      </c>
      <c r="E5" s="20">
        <v>5.07</v>
      </c>
      <c r="F5" s="20">
        <v>4.84</v>
      </c>
      <c r="G5" s="20"/>
      <c r="H5" s="20"/>
      <c r="I5" s="20"/>
      <c r="J5" s="20"/>
      <c r="K5" s="20"/>
      <c r="L5" s="20"/>
      <c r="M5" s="20"/>
      <c r="N5" s="20"/>
      <c r="O5" s="4">
        <f>SUM(C5:N5)</f>
        <v>19</v>
      </c>
    </row>
    <row r="6" spans="1:15" x14ac:dyDescent="0.2">
      <c r="A6" s="5"/>
      <c r="B6" s="6" t="s">
        <v>213</v>
      </c>
      <c r="C6" s="159">
        <v>4.34</v>
      </c>
      <c r="D6" s="159">
        <v>4.66</v>
      </c>
      <c r="E6" s="159">
        <v>4.8899999999999997</v>
      </c>
      <c r="F6" s="159">
        <v>4.3600000000000003</v>
      </c>
      <c r="G6" s="159">
        <v>4.9800000000000004</v>
      </c>
      <c r="H6" s="159">
        <v>1.82</v>
      </c>
      <c r="I6" s="159">
        <v>4.7</v>
      </c>
      <c r="J6" s="159">
        <v>4.01</v>
      </c>
      <c r="K6" s="159">
        <v>2.83</v>
      </c>
      <c r="L6" s="159">
        <v>3.5</v>
      </c>
      <c r="M6" s="159">
        <v>3.66</v>
      </c>
      <c r="N6" s="159">
        <v>2.2199999999999998</v>
      </c>
      <c r="O6" s="4">
        <f>SUM(C6:N6)</f>
        <v>45.97</v>
      </c>
    </row>
    <row r="7" spans="1:15" x14ac:dyDescent="0.2">
      <c r="A7" s="5">
        <v>3</v>
      </c>
      <c r="B7" s="6" t="s">
        <v>32</v>
      </c>
      <c r="C7" s="21">
        <f t="shared" ref="C7:O7" si="0">C5/C4%</f>
        <v>100</v>
      </c>
      <c r="D7" s="21">
        <f t="shared" si="0"/>
        <v>104.39560439560439</v>
      </c>
      <c r="E7" s="21">
        <f t="shared" si="0"/>
        <v>103.68098159509204</v>
      </c>
      <c r="F7" s="21">
        <f t="shared" si="0"/>
        <v>100.20703933747411</v>
      </c>
      <c r="G7" s="21">
        <f t="shared" si="0"/>
        <v>0</v>
      </c>
      <c r="H7" s="21">
        <f t="shared" si="0"/>
        <v>0</v>
      </c>
      <c r="I7" s="21">
        <f t="shared" si="0"/>
        <v>0</v>
      </c>
      <c r="J7" s="21">
        <f t="shared" si="0"/>
        <v>0</v>
      </c>
      <c r="K7" s="21">
        <f t="shared" si="0"/>
        <v>0</v>
      </c>
      <c r="L7" s="21">
        <f t="shared" si="0"/>
        <v>0</v>
      </c>
      <c r="M7" s="21">
        <f t="shared" si="0"/>
        <v>0</v>
      </c>
      <c r="N7" s="21">
        <f t="shared" si="0"/>
        <v>0</v>
      </c>
      <c r="O7" s="21">
        <f t="shared" si="0"/>
        <v>32.752973625237033</v>
      </c>
    </row>
    <row r="8" spans="1:15" x14ac:dyDescent="0.2">
      <c r="A8" s="5"/>
      <c r="B8" s="6" t="s">
        <v>214</v>
      </c>
      <c r="C8" s="21">
        <f>(C5-C6)/C6%</f>
        <v>0</v>
      </c>
      <c r="D8" s="21">
        <f t="shared" ref="D8:O8" si="1">(D5-D6)/D6%</f>
        <v>1.9313304721030011</v>
      </c>
      <c r="E8" s="21">
        <f t="shared" si="1"/>
        <v>3.680981595092037</v>
      </c>
      <c r="F8" s="21">
        <f t="shared" si="1"/>
        <v>11.009174311926595</v>
      </c>
      <c r="G8" s="21">
        <f t="shared" si="1"/>
        <v>-100</v>
      </c>
      <c r="H8" s="21">
        <f t="shared" si="1"/>
        <v>-100</v>
      </c>
      <c r="I8" s="21">
        <f t="shared" si="1"/>
        <v>-100</v>
      </c>
      <c r="J8" s="21">
        <f t="shared" si="1"/>
        <v>-100</v>
      </c>
      <c r="K8" s="21">
        <f t="shared" si="1"/>
        <v>-100</v>
      </c>
      <c r="L8" s="21">
        <f t="shared" si="1"/>
        <v>-99.999999999999986</v>
      </c>
      <c r="M8" s="21">
        <f t="shared" si="1"/>
        <v>-100</v>
      </c>
      <c r="N8" s="21">
        <f t="shared" si="1"/>
        <v>-100</v>
      </c>
      <c r="O8" s="114">
        <f t="shared" si="1"/>
        <v>-58.668696976288885</v>
      </c>
    </row>
    <row r="9" spans="1:15" x14ac:dyDescent="0.2">
      <c r="A9" s="5">
        <v>4</v>
      </c>
      <c r="B9" s="6" t="s">
        <v>216</v>
      </c>
      <c r="C9" s="20">
        <v>5.1100000000000003</v>
      </c>
      <c r="D9" s="20">
        <v>4.74</v>
      </c>
      <c r="E9" s="20">
        <v>5.28</v>
      </c>
      <c r="F9" s="20">
        <v>4.8</v>
      </c>
      <c r="G9" s="20"/>
      <c r="H9" s="20"/>
      <c r="I9" s="20"/>
      <c r="J9" s="20"/>
      <c r="K9" s="20"/>
      <c r="L9" s="20"/>
      <c r="M9" s="20"/>
      <c r="N9" s="20"/>
      <c r="O9" s="7">
        <f>SUM(C9:N9)</f>
        <v>19.930000000000003</v>
      </c>
    </row>
    <row r="10" spans="1:15" x14ac:dyDescent="0.2">
      <c r="A10" s="5">
        <v>5</v>
      </c>
      <c r="B10" s="6" t="s">
        <v>215</v>
      </c>
      <c r="C10" s="160">
        <v>4.0600000000000005</v>
      </c>
      <c r="D10" s="160">
        <v>4.4400000000000004</v>
      </c>
      <c r="E10" s="160">
        <v>4.4800000000000004</v>
      </c>
      <c r="F10" s="160">
        <v>4.95</v>
      </c>
      <c r="G10" s="160">
        <v>4.51</v>
      </c>
      <c r="H10" s="160">
        <v>4.28</v>
      </c>
      <c r="I10" s="160">
        <v>4.53</v>
      </c>
      <c r="J10" s="160">
        <v>4.47</v>
      </c>
      <c r="K10" s="161">
        <v>4.72</v>
      </c>
      <c r="L10" s="159">
        <v>4.7300000000000004</v>
      </c>
      <c r="M10" s="159">
        <v>4.04</v>
      </c>
      <c r="N10" s="159">
        <v>4.51</v>
      </c>
      <c r="O10" s="7">
        <f>SUM(C10:N10)</f>
        <v>53.72</v>
      </c>
    </row>
    <row r="11" spans="1:15" x14ac:dyDescent="0.2">
      <c r="A11" s="5">
        <v>6</v>
      </c>
      <c r="B11" s="6" t="s">
        <v>33</v>
      </c>
      <c r="C11" s="21">
        <f>(C9-C10)/C10%</f>
        <v>25.862068965517235</v>
      </c>
      <c r="D11" s="21">
        <f t="shared" ref="D11:O11" si="2">(D9-D10)/D10%</f>
        <v>6.7567567567567526</v>
      </c>
      <c r="E11" s="21">
        <f t="shared" si="2"/>
        <v>17.857142857142851</v>
      </c>
      <c r="F11" s="21">
        <f t="shared" si="2"/>
        <v>-3.0303030303030374</v>
      </c>
      <c r="G11" s="21">
        <f t="shared" si="2"/>
        <v>-99.999999999999986</v>
      </c>
      <c r="H11" s="21">
        <f t="shared" si="2"/>
        <v>-100</v>
      </c>
      <c r="I11" s="21">
        <f t="shared" si="2"/>
        <v>-100</v>
      </c>
      <c r="J11" s="21">
        <f t="shared" si="2"/>
        <v>-100</v>
      </c>
      <c r="K11" s="21">
        <f t="shared" si="2"/>
        <v>-100</v>
      </c>
      <c r="L11" s="21">
        <f t="shared" si="2"/>
        <v>-100</v>
      </c>
      <c r="M11" s="21">
        <f t="shared" si="2"/>
        <v>-100</v>
      </c>
      <c r="N11" s="21">
        <f t="shared" si="2"/>
        <v>-99.999999999999986</v>
      </c>
      <c r="O11" s="21">
        <f t="shared" si="2"/>
        <v>-62.900223380491418</v>
      </c>
    </row>
    <row r="12" spans="1:15" x14ac:dyDescent="0.2">
      <c r="A12" s="5">
        <v>7</v>
      </c>
      <c r="B12" s="6" t="s">
        <v>34</v>
      </c>
      <c r="C12" s="20">
        <v>52875</v>
      </c>
      <c r="D12" s="20">
        <v>0</v>
      </c>
      <c r="E12" s="20">
        <v>14244</v>
      </c>
      <c r="F12" s="20">
        <v>0</v>
      </c>
      <c r="G12" s="20"/>
      <c r="H12" s="20"/>
      <c r="I12" s="20"/>
      <c r="J12" s="20"/>
      <c r="K12" s="20"/>
      <c r="L12" s="20"/>
      <c r="M12" s="20"/>
      <c r="N12" s="20"/>
      <c r="O12" s="7">
        <f>SUM(C12:N12)</f>
        <v>67119</v>
      </c>
    </row>
    <row r="13" spans="1:15" x14ac:dyDescent="0.2">
      <c r="A13" s="5">
        <v>8</v>
      </c>
      <c r="B13" s="6" t="s">
        <v>35</v>
      </c>
      <c r="C13" s="20">
        <v>37317</v>
      </c>
      <c r="D13" s="20">
        <v>0</v>
      </c>
      <c r="E13" s="20"/>
      <c r="F13" s="20">
        <v>26845</v>
      </c>
      <c r="G13" s="20"/>
      <c r="H13" s="20"/>
      <c r="I13" s="20"/>
      <c r="J13" s="20"/>
      <c r="K13" s="20"/>
      <c r="L13" s="20"/>
      <c r="M13" s="20"/>
      <c r="N13" s="20"/>
      <c r="O13" s="7">
        <f>SUM(C13:N13)</f>
        <v>64162</v>
      </c>
    </row>
    <row r="14" spans="1:15" x14ac:dyDescent="0.2">
      <c r="A14" s="5">
        <v>9</v>
      </c>
      <c r="B14" s="6" t="s">
        <v>36</v>
      </c>
      <c r="C14" s="20">
        <v>5.13</v>
      </c>
      <c r="D14" s="20">
        <v>8.1199999999999992</v>
      </c>
      <c r="E14" s="20">
        <v>7.8</v>
      </c>
      <c r="F14" s="20"/>
      <c r="G14" s="20"/>
      <c r="H14" s="20"/>
      <c r="I14" s="20"/>
      <c r="J14" s="20"/>
      <c r="K14" s="20"/>
      <c r="L14" s="20"/>
      <c r="M14" s="20"/>
      <c r="N14" s="20"/>
      <c r="O14" s="7">
        <f>SUM(C14:N14)</f>
        <v>21.05</v>
      </c>
    </row>
    <row r="15" spans="1:15" ht="15.75" thickBot="1" x14ac:dyDescent="0.25">
      <c r="A15" s="11">
        <v>10</v>
      </c>
      <c r="B15" s="22" t="s">
        <v>37</v>
      </c>
      <c r="C15" s="23" t="s">
        <v>763</v>
      </c>
      <c r="D15" s="23" t="s">
        <v>764</v>
      </c>
      <c r="E15" s="23"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4">
        <f>SUM(C15:N15)</f>
        <v>0</v>
      </c>
    </row>
  </sheetData>
  <mergeCells count="3">
    <mergeCell ref="A1:B1"/>
    <mergeCell ref="C1:O2"/>
    <mergeCell ref="A2:B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7"/>
  <sheetViews>
    <sheetView topLeftCell="A10" zoomScale="80" zoomScaleNormal="80" workbookViewId="0">
      <pane xSplit="2" topLeftCell="J10" activePane="topRight" state="frozen"/>
      <selection activeCell="D28" sqref="D28"/>
      <selection pane="topRight" activeCell="A44" sqref="A44:XFD44"/>
    </sheetView>
  </sheetViews>
  <sheetFormatPr defaultRowHeight="15" x14ac:dyDescent="0.2"/>
  <cols>
    <col min="1" max="1" width="6.3203125" bestFit="1" customWidth="1"/>
    <col min="2" max="2" width="25.828125" customWidth="1"/>
  </cols>
  <sheetData>
    <row r="1" spans="1:39" ht="15.75" thickBot="1" x14ac:dyDescent="0.25">
      <c r="C1" t="s">
        <v>91</v>
      </c>
    </row>
    <row r="2" spans="1:39" ht="15.75" thickBot="1" x14ac:dyDescent="0.25">
      <c r="A2" s="223" t="s">
        <v>93</v>
      </c>
      <c r="B2" s="224"/>
      <c r="C2" s="28"/>
      <c r="D2" s="225" t="s">
        <v>40</v>
      </c>
      <c r="E2" s="226"/>
      <c r="F2" s="227"/>
      <c r="G2" s="225" t="s">
        <v>5</v>
      </c>
      <c r="H2" s="226" t="s">
        <v>5</v>
      </c>
      <c r="I2" s="227"/>
      <c r="J2" s="225" t="s">
        <v>6</v>
      </c>
      <c r="K2" s="226" t="s">
        <v>41</v>
      </c>
      <c r="L2" s="227"/>
      <c r="M2" s="225" t="s">
        <v>42</v>
      </c>
      <c r="N2" s="226" t="s">
        <v>42</v>
      </c>
      <c r="O2" s="227"/>
      <c r="P2" s="225" t="s">
        <v>8</v>
      </c>
      <c r="Q2" s="226" t="s">
        <v>8</v>
      </c>
      <c r="R2" s="227"/>
      <c r="S2" s="225" t="s">
        <v>9</v>
      </c>
      <c r="T2" s="226" t="s">
        <v>9</v>
      </c>
      <c r="U2" s="227"/>
      <c r="V2" s="225" t="s">
        <v>10</v>
      </c>
      <c r="W2" s="226" t="s">
        <v>10</v>
      </c>
      <c r="X2" s="227"/>
      <c r="Y2" s="225" t="s">
        <v>11</v>
      </c>
      <c r="Z2" s="226" t="s">
        <v>11</v>
      </c>
      <c r="AA2" s="227"/>
      <c r="AB2" s="225" t="s">
        <v>12</v>
      </c>
      <c r="AC2" s="226" t="s">
        <v>12</v>
      </c>
      <c r="AD2" s="227"/>
      <c r="AE2" s="225" t="s">
        <v>13</v>
      </c>
      <c r="AF2" s="226" t="s">
        <v>13</v>
      </c>
      <c r="AG2" s="227"/>
      <c r="AH2" s="225" t="s">
        <v>14</v>
      </c>
      <c r="AI2" s="226" t="s">
        <v>14</v>
      </c>
      <c r="AJ2" s="227"/>
      <c r="AK2" s="225" t="s">
        <v>15</v>
      </c>
      <c r="AL2" s="226" t="s">
        <v>43</v>
      </c>
      <c r="AM2" s="227"/>
    </row>
    <row r="3" spans="1:39" ht="15.75" thickBot="1" x14ac:dyDescent="0.25">
      <c r="A3" s="25" t="s">
        <v>2</v>
      </c>
      <c r="B3" s="130" t="s">
        <v>38</v>
      </c>
      <c r="C3" s="131" t="s">
        <v>39</v>
      </c>
      <c r="D3" s="64" t="s">
        <v>46</v>
      </c>
      <c r="E3" s="32" t="s">
        <v>44</v>
      </c>
      <c r="F3" s="34" t="s">
        <v>45</v>
      </c>
      <c r="G3" s="33" t="s">
        <v>46</v>
      </c>
      <c r="H3" s="32" t="s">
        <v>44</v>
      </c>
      <c r="I3" s="34" t="s">
        <v>45</v>
      </c>
      <c r="J3" s="33" t="s">
        <v>46</v>
      </c>
      <c r="K3" s="32" t="s">
        <v>44</v>
      </c>
      <c r="L3" s="34" t="s">
        <v>45</v>
      </c>
      <c r="M3" s="33" t="s">
        <v>46</v>
      </c>
      <c r="N3" s="32" t="s">
        <v>44</v>
      </c>
      <c r="O3" s="34" t="s">
        <v>45</v>
      </c>
      <c r="P3" s="33" t="s">
        <v>46</v>
      </c>
      <c r="Q3" s="32" t="s">
        <v>44</v>
      </c>
      <c r="R3" s="34" t="s">
        <v>45</v>
      </c>
      <c r="S3" s="33" t="s">
        <v>46</v>
      </c>
      <c r="T3" s="32" t="s">
        <v>44</v>
      </c>
      <c r="U3" s="34" t="s">
        <v>45</v>
      </c>
      <c r="V3" s="33" t="s">
        <v>46</v>
      </c>
      <c r="W3" s="32" t="s">
        <v>44</v>
      </c>
      <c r="X3" s="34" t="s">
        <v>45</v>
      </c>
      <c r="Y3" s="33" t="s">
        <v>46</v>
      </c>
      <c r="Z3" s="32" t="s">
        <v>44</v>
      </c>
      <c r="AA3" s="34" t="s">
        <v>45</v>
      </c>
      <c r="AB3" s="33" t="s">
        <v>46</v>
      </c>
      <c r="AC3" s="32" t="s">
        <v>44</v>
      </c>
      <c r="AD3" s="34" t="s">
        <v>45</v>
      </c>
      <c r="AE3" s="33" t="s">
        <v>46</v>
      </c>
      <c r="AF3" s="32" t="s">
        <v>44</v>
      </c>
      <c r="AG3" s="34" t="s">
        <v>45</v>
      </c>
      <c r="AH3" s="33" t="s">
        <v>46</v>
      </c>
      <c r="AI3" s="32" t="s">
        <v>44</v>
      </c>
      <c r="AJ3" s="34" t="s">
        <v>45</v>
      </c>
      <c r="AK3" s="33" t="s">
        <v>46</v>
      </c>
      <c r="AL3" s="32" t="s">
        <v>44</v>
      </c>
      <c r="AM3" s="34" t="s">
        <v>45</v>
      </c>
    </row>
    <row r="4" spans="1:39" x14ac:dyDescent="0.2">
      <c r="A4" s="20">
        <v>1</v>
      </c>
      <c r="B4" s="132" t="s">
        <v>179</v>
      </c>
      <c r="C4" s="133">
        <v>90.16</v>
      </c>
      <c r="D4" s="125">
        <v>620</v>
      </c>
      <c r="E4" s="29">
        <v>495</v>
      </c>
      <c r="F4" s="7">
        <v>385</v>
      </c>
      <c r="G4" s="36">
        <v>490</v>
      </c>
      <c r="H4" s="29">
        <v>350</v>
      </c>
      <c r="I4" s="35">
        <v>147</v>
      </c>
      <c r="J4" s="39">
        <v>258</v>
      </c>
      <c r="K4" s="30">
        <v>353</v>
      </c>
      <c r="L4" s="35">
        <v>308</v>
      </c>
      <c r="M4" s="39">
        <v>316</v>
      </c>
      <c r="N4" s="30">
        <v>413</v>
      </c>
      <c r="O4" s="35">
        <v>329</v>
      </c>
      <c r="P4" s="37"/>
      <c r="Q4" s="20"/>
      <c r="R4" s="41"/>
      <c r="S4" s="37"/>
      <c r="T4" s="20"/>
      <c r="U4" s="35"/>
      <c r="V4" s="37"/>
      <c r="W4" s="20"/>
      <c r="X4" s="42"/>
      <c r="Y4" s="39"/>
      <c r="Z4" s="30"/>
      <c r="AA4" s="35"/>
      <c r="AB4" s="39"/>
      <c r="AC4" s="30"/>
      <c r="AD4" s="35"/>
      <c r="AE4" s="37"/>
      <c r="AF4" s="20"/>
      <c r="AG4" s="41"/>
      <c r="AH4" s="37"/>
      <c r="AI4" s="20"/>
      <c r="AJ4" s="35"/>
      <c r="AK4" s="37"/>
      <c r="AL4" s="20"/>
      <c r="AM4" s="42"/>
    </row>
    <row r="5" spans="1:39" x14ac:dyDescent="0.2">
      <c r="A5" s="20">
        <v>2</v>
      </c>
      <c r="B5" s="132" t="s">
        <v>130</v>
      </c>
      <c r="C5" s="133">
        <v>81.78</v>
      </c>
      <c r="D5" s="126">
        <v>219</v>
      </c>
      <c r="E5" s="29">
        <v>139</v>
      </c>
      <c r="F5" s="7">
        <v>260</v>
      </c>
      <c r="G5" s="36">
        <v>220</v>
      </c>
      <c r="H5" s="29">
        <v>128</v>
      </c>
      <c r="I5" s="35">
        <v>143</v>
      </c>
      <c r="J5" s="39">
        <v>30</v>
      </c>
      <c r="K5" s="30">
        <v>123</v>
      </c>
      <c r="L5" s="35">
        <v>254</v>
      </c>
      <c r="M5" s="39">
        <v>63</v>
      </c>
      <c r="N5" s="30">
        <v>89</v>
      </c>
      <c r="O5" s="35">
        <v>260</v>
      </c>
      <c r="P5" s="37"/>
      <c r="Q5" s="20"/>
      <c r="R5" s="41"/>
      <c r="S5" s="37"/>
      <c r="T5" s="20"/>
      <c r="U5" s="35"/>
      <c r="V5" s="37"/>
      <c r="W5" s="20"/>
      <c r="X5" s="42"/>
      <c r="Y5" s="39"/>
      <c r="Z5" s="30"/>
      <c r="AA5" s="35"/>
      <c r="AB5" s="39"/>
      <c r="AC5" s="30"/>
      <c r="AD5" s="35"/>
      <c r="AE5" s="37"/>
      <c r="AF5" s="20"/>
      <c r="AG5" s="41"/>
      <c r="AH5" s="37"/>
      <c r="AI5" s="20"/>
      <c r="AJ5" s="35"/>
      <c r="AK5" s="37"/>
      <c r="AL5" s="20"/>
      <c r="AM5" s="42"/>
    </row>
    <row r="6" spans="1:39" x14ac:dyDescent="0.2">
      <c r="A6" s="20">
        <v>3</v>
      </c>
      <c r="B6" s="132" t="s">
        <v>180</v>
      </c>
      <c r="C6" s="133">
        <v>77.08</v>
      </c>
      <c r="D6" s="126"/>
      <c r="E6" s="29">
        <v>0</v>
      </c>
      <c r="F6" s="7">
        <v>0</v>
      </c>
      <c r="G6" s="36"/>
      <c r="H6" s="29">
        <v>0</v>
      </c>
      <c r="I6" s="35">
        <v>0</v>
      </c>
      <c r="J6" s="39">
        <v>0</v>
      </c>
      <c r="K6" s="30">
        <v>0</v>
      </c>
      <c r="L6" s="35">
        <v>0</v>
      </c>
      <c r="M6" s="39">
        <v>0</v>
      </c>
      <c r="N6" s="30">
        <v>0</v>
      </c>
      <c r="O6" s="35">
        <v>0</v>
      </c>
      <c r="P6" s="37"/>
      <c r="Q6" s="20"/>
      <c r="R6" s="41"/>
      <c r="S6" s="37"/>
      <c r="T6" s="20"/>
      <c r="U6" s="35"/>
      <c r="V6" s="37"/>
      <c r="W6" s="20"/>
      <c r="X6" s="35"/>
      <c r="Y6" s="39"/>
      <c r="Z6" s="30"/>
      <c r="AA6" s="35"/>
      <c r="AB6" s="39"/>
      <c r="AC6" s="30"/>
      <c r="AD6" s="35"/>
      <c r="AE6" s="37"/>
      <c r="AF6" s="20"/>
      <c r="AG6" s="41"/>
      <c r="AH6" s="37"/>
      <c r="AI6" s="20"/>
      <c r="AJ6" s="35"/>
      <c r="AK6" s="37"/>
      <c r="AL6" s="20"/>
      <c r="AM6" s="35"/>
    </row>
    <row r="7" spans="1:39" x14ac:dyDescent="0.2">
      <c r="A7" s="20">
        <v>4</v>
      </c>
      <c r="B7" s="132" t="s">
        <v>779</v>
      </c>
      <c r="C7" s="133">
        <v>94.29</v>
      </c>
      <c r="D7" s="126"/>
      <c r="E7" s="29"/>
      <c r="F7" s="7"/>
      <c r="G7" s="36"/>
      <c r="H7" s="29"/>
      <c r="I7" s="35"/>
      <c r="J7" s="39">
        <v>10</v>
      </c>
      <c r="K7" s="30">
        <v>10</v>
      </c>
      <c r="L7" s="35">
        <v>0</v>
      </c>
      <c r="M7" s="39">
        <v>0</v>
      </c>
      <c r="N7" s="30">
        <v>0</v>
      </c>
      <c r="O7" s="35">
        <v>10</v>
      </c>
      <c r="P7" s="37"/>
      <c r="Q7" s="20"/>
      <c r="R7" s="41"/>
      <c r="S7" s="37"/>
      <c r="T7" s="20"/>
      <c r="U7" s="35"/>
      <c r="V7" s="37"/>
      <c r="W7" s="20"/>
      <c r="X7" s="35"/>
      <c r="Y7" s="39"/>
      <c r="Z7" s="30"/>
      <c r="AA7" s="35"/>
      <c r="AB7" s="39"/>
      <c r="AC7" s="30"/>
      <c r="AD7" s="35"/>
      <c r="AE7" s="37"/>
      <c r="AF7" s="20"/>
      <c r="AG7" s="41"/>
      <c r="AH7" s="37"/>
      <c r="AI7" s="20"/>
      <c r="AJ7" s="35"/>
      <c r="AK7" s="37"/>
      <c r="AL7" s="20"/>
      <c r="AM7" s="35"/>
    </row>
    <row r="8" spans="1:39" x14ac:dyDescent="0.2">
      <c r="A8" s="20">
        <v>5</v>
      </c>
      <c r="B8" s="132" t="s">
        <v>132</v>
      </c>
      <c r="C8" s="133">
        <v>505.6</v>
      </c>
      <c r="D8" s="126"/>
      <c r="E8" s="29">
        <v>0</v>
      </c>
      <c r="F8" s="7">
        <v>0</v>
      </c>
      <c r="G8" s="36"/>
      <c r="H8" s="29">
        <v>0</v>
      </c>
      <c r="I8" s="35">
        <v>0</v>
      </c>
      <c r="J8" s="39">
        <v>0</v>
      </c>
      <c r="K8" s="30">
        <v>0</v>
      </c>
      <c r="L8" s="35">
        <v>0</v>
      </c>
      <c r="M8" s="39">
        <v>0</v>
      </c>
      <c r="N8" s="30">
        <v>0</v>
      </c>
      <c r="O8" s="35">
        <v>0</v>
      </c>
      <c r="P8" s="37"/>
      <c r="Q8" s="20"/>
      <c r="R8" s="41"/>
      <c r="S8" s="37"/>
      <c r="T8" s="20"/>
      <c r="U8" s="35"/>
      <c r="V8" s="37"/>
      <c r="W8" s="20"/>
      <c r="X8" s="42"/>
      <c r="Y8" s="39"/>
      <c r="Z8" s="30"/>
      <c r="AA8" s="35"/>
      <c r="AB8" s="39"/>
      <c r="AC8" s="30"/>
      <c r="AD8" s="35"/>
      <c r="AE8" s="37"/>
      <c r="AF8" s="20"/>
      <c r="AG8" s="41"/>
      <c r="AH8" s="37"/>
      <c r="AI8" s="20"/>
      <c r="AJ8" s="35"/>
      <c r="AK8" s="37"/>
      <c r="AL8" s="20"/>
      <c r="AM8" s="42"/>
    </row>
    <row r="9" spans="1:39" x14ac:dyDescent="0.2">
      <c r="A9" s="20">
        <v>6</v>
      </c>
      <c r="B9" s="132" t="s">
        <v>133</v>
      </c>
      <c r="C9" s="133">
        <v>517.28</v>
      </c>
      <c r="D9" s="126"/>
      <c r="E9" s="29">
        <v>2</v>
      </c>
      <c r="F9" s="7">
        <v>24</v>
      </c>
      <c r="G9" s="36">
        <v>10</v>
      </c>
      <c r="H9" s="29">
        <v>8</v>
      </c>
      <c r="I9" s="35">
        <v>10</v>
      </c>
      <c r="J9" s="39">
        <v>0</v>
      </c>
      <c r="K9" s="30">
        <v>0</v>
      </c>
      <c r="L9" s="35">
        <v>6</v>
      </c>
      <c r="M9" s="39">
        <v>10</v>
      </c>
      <c r="N9" s="30">
        <v>10</v>
      </c>
      <c r="O9" s="35">
        <v>26</v>
      </c>
      <c r="P9" s="37"/>
      <c r="Q9" s="20"/>
      <c r="R9" s="41"/>
      <c r="S9" s="37"/>
      <c r="T9" s="20"/>
      <c r="U9" s="35"/>
      <c r="V9" s="37"/>
      <c r="W9" s="20"/>
      <c r="X9" s="42"/>
      <c r="Y9" s="39"/>
      <c r="Z9" s="30"/>
      <c r="AA9" s="35"/>
      <c r="AB9" s="39"/>
      <c r="AC9" s="30"/>
      <c r="AD9" s="35"/>
      <c r="AE9" s="37"/>
      <c r="AF9" s="20"/>
      <c r="AG9" s="41"/>
      <c r="AH9" s="37"/>
      <c r="AI9" s="20"/>
      <c r="AJ9" s="35"/>
      <c r="AK9" s="37"/>
      <c r="AL9" s="20"/>
      <c r="AM9" s="42"/>
    </row>
    <row r="10" spans="1:39" x14ac:dyDescent="0.2">
      <c r="A10" s="20">
        <v>7</v>
      </c>
      <c r="B10" s="132" t="s">
        <v>134</v>
      </c>
      <c r="C10" s="133">
        <v>41.72</v>
      </c>
      <c r="D10" s="126"/>
      <c r="E10" s="29">
        <v>0</v>
      </c>
      <c r="F10" s="7">
        <v>0</v>
      </c>
      <c r="G10" s="36"/>
      <c r="H10" s="29">
        <v>0</v>
      </c>
      <c r="I10" s="35">
        <v>0</v>
      </c>
      <c r="J10" s="39">
        <v>0</v>
      </c>
      <c r="K10" s="30">
        <v>0</v>
      </c>
      <c r="L10" s="35">
        <v>0</v>
      </c>
      <c r="M10" s="39">
        <v>0</v>
      </c>
      <c r="N10" s="30">
        <v>0</v>
      </c>
      <c r="O10" s="35">
        <v>0</v>
      </c>
      <c r="P10" s="37"/>
      <c r="Q10" s="20"/>
      <c r="R10" s="41"/>
      <c r="S10" s="37"/>
      <c r="T10" s="20"/>
      <c r="U10" s="35"/>
      <c r="V10" s="37"/>
      <c r="W10" s="20"/>
      <c r="X10" s="42"/>
      <c r="Y10" s="39"/>
      <c r="Z10" s="30"/>
      <c r="AA10" s="35"/>
      <c r="AB10" s="39"/>
      <c r="AC10" s="30"/>
      <c r="AD10" s="35"/>
      <c r="AE10" s="37"/>
      <c r="AF10" s="20"/>
      <c r="AG10" s="41"/>
      <c r="AH10" s="37"/>
      <c r="AI10" s="20"/>
      <c r="AJ10" s="35"/>
      <c r="AK10" s="37"/>
      <c r="AL10" s="20"/>
      <c r="AM10" s="42"/>
    </row>
    <row r="11" spans="1:39" x14ac:dyDescent="0.2">
      <c r="A11" s="20">
        <v>8</v>
      </c>
      <c r="B11" s="132" t="s">
        <v>181</v>
      </c>
      <c r="C11" s="133">
        <v>138.36000000000001</v>
      </c>
      <c r="D11" s="126">
        <v>80</v>
      </c>
      <c r="E11" s="29">
        <v>76</v>
      </c>
      <c r="F11" s="7">
        <v>91</v>
      </c>
      <c r="G11" s="36">
        <v>86</v>
      </c>
      <c r="H11" s="29">
        <v>123</v>
      </c>
      <c r="I11" s="35">
        <v>47</v>
      </c>
      <c r="J11" s="39">
        <v>96</v>
      </c>
      <c r="K11" s="30">
        <v>180</v>
      </c>
      <c r="L11" s="35">
        <v>153</v>
      </c>
      <c r="M11" s="39">
        <v>43</v>
      </c>
      <c r="N11" s="30">
        <v>93</v>
      </c>
      <c r="O11" s="35">
        <v>120</v>
      </c>
      <c r="P11" s="37"/>
      <c r="Q11" s="20"/>
      <c r="R11" s="41"/>
      <c r="S11" s="37"/>
      <c r="T11" s="20"/>
      <c r="U11" s="35"/>
      <c r="V11" s="37"/>
      <c r="W11" s="20"/>
      <c r="X11" s="42"/>
      <c r="Y11" s="39"/>
      <c r="Z11" s="30"/>
      <c r="AA11" s="35"/>
      <c r="AB11" s="39"/>
      <c r="AC11" s="30"/>
      <c r="AD11" s="35"/>
      <c r="AE11" s="37"/>
      <c r="AF11" s="20"/>
      <c r="AG11" s="41"/>
      <c r="AH11" s="37"/>
      <c r="AI11" s="20"/>
      <c r="AJ11" s="35"/>
      <c r="AK11" s="37"/>
      <c r="AL11" s="20"/>
      <c r="AM11" s="42"/>
    </row>
    <row r="12" spans="1:39" x14ac:dyDescent="0.2">
      <c r="A12" s="20">
        <v>9</v>
      </c>
      <c r="B12" s="132" t="s">
        <v>136</v>
      </c>
      <c r="C12" s="133">
        <v>145.84</v>
      </c>
      <c r="D12" s="126"/>
      <c r="E12" s="29">
        <v>8</v>
      </c>
      <c r="F12" s="7">
        <v>37</v>
      </c>
      <c r="G12" s="36">
        <v>65</v>
      </c>
      <c r="H12" s="29">
        <v>39</v>
      </c>
      <c r="I12" s="35">
        <v>36</v>
      </c>
      <c r="J12" s="40">
        <v>0</v>
      </c>
      <c r="K12" s="31">
        <v>15</v>
      </c>
      <c r="L12" s="35">
        <v>63</v>
      </c>
      <c r="M12" s="40">
        <v>96</v>
      </c>
      <c r="N12" s="31">
        <v>45</v>
      </c>
      <c r="O12" s="35">
        <v>94</v>
      </c>
      <c r="P12" s="37"/>
      <c r="Q12" s="20"/>
      <c r="R12" s="41"/>
      <c r="S12" s="37"/>
      <c r="T12" s="20"/>
      <c r="U12" s="35"/>
      <c r="V12" s="37"/>
      <c r="W12" s="20"/>
      <c r="X12" s="42"/>
      <c r="Y12" s="40"/>
      <c r="Z12" s="31"/>
      <c r="AA12" s="35"/>
      <c r="AB12" s="40"/>
      <c r="AC12" s="31"/>
      <c r="AD12" s="35"/>
      <c r="AE12" s="37"/>
      <c r="AF12" s="20"/>
      <c r="AG12" s="41"/>
      <c r="AH12" s="37"/>
      <c r="AI12" s="20"/>
      <c r="AJ12" s="35"/>
      <c r="AK12" s="37"/>
      <c r="AL12" s="20"/>
      <c r="AM12" s="42"/>
    </row>
    <row r="13" spans="1:39" x14ac:dyDescent="0.2">
      <c r="A13" s="20">
        <v>10</v>
      </c>
      <c r="B13" s="132" t="s">
        <v>138</v>
      </c>
      <c r="C13" s="133">
        <v>60.75</v>
      </c>
      <c r="D13" s="126"/>
      <c r="E13" s="29">
        <v>0</v>
      </c>
      <c r="F13" s="7">
        <v>0</v>
      </c>
      <c r="G13" s="36"/>
      <c r="H13" s="29">
        <v>0</v>
      </c>
      <c r="I13" s="35">
        <v>0</v>
      </c>
      <c r="J13" s="40">
        <v>0</v>
      </c>
      <c r="K13" s="31">
        <v>0</v>
      </c>
      <c r="L13" s="35">
        <v>0</v>
      </c>
      <c r="M13" s="40">
        <v>0</v>
      </c>
      <c r="N13" s="31">
        <v>0</v>
      </c>
      <c r="O13" s="35">
        <v>0</v>
      </c>
      <c r="P13" s="37"/>
      <c r="Q13" s="20"/>
      <c r="R13" s="41"/>
      <c r="S13" s="37"/>
      <c r="T13" s="20"/>
      <c r="U13" s="35"/>
      <c r="V13" s="37"/>
      <c r="W13" s="20"/>
      <c r="X13" s="42"/>
      <c r="Y13" s="40"/>
      <c r="Z13" s="31"/>
      <c r="AA13" s="35"/>
      <c r="AB13" s="40"/>
      <c r="AC13" s="31"/>
      <c r="AD13" s="35"/>
      <c r="AE13" s="37"/>
      <c r="AF13" s="20"/>
      <c r="AG13" s="41"/>
      <c r="AH13" s="37"/>
      <c r="AI13" s="20"/>
      <c r="AJ13" s="35"/>
      <c r="AK13" s="37"/>
      <c r="AL13" s="20"/>
      <c r="AM13" s="42"/>
    </row>
    <row r="14" spans="1:39" x14ac:dyDescent="0.2">
      <c r="A14" s="20">
        <v>11</v>
      </c>
      <c r="B14" s="132" t="s">
        <v>139</v>
      </c>
      <c r="C14" s="133">
        <v>35.03</v>
      </c>
      <c r="D14" s="126"/>
      <c r="E14" s="29">
        <v>0</v>
      </c>
      <c r="F14" s="7">
        <v>0</v>
      </c>
      <c r="G14" s="36"/>
      <c r="H14" s="29">
        <v>0</v>
      </c>
      <c r="I14" s="35">
        <v>0</v>
      </c>
      <c r="J14" s="39">
        <v>0</v>
      </c>
      <c r="K14" s="30">
        <v>0</v>
      </c>
      <c r="L14" s="35">
        <v>0</v>
      </c>
      <c r="M14" s="39">
        <v>0</v>
      </c>
      <c r="N14" s="30">
        <v>0</v>
      </c>
      <c r="O14" s="35">
        <v>0</v>
      </c>
      <c r="P14" s="37"/>
      <c r="Q14" s="20"/>
      <c r="R14" s="41"/>
      <c r="S14" s="37"/>
      <c r="T14" s="20"/>
      <c r="U14" s="35"/>
      <c r="V14" s="37"/>
      <c r="W14" s="20"/>
      <c r="X14" s="42"/>
      <c r="Y14" s="39"/>
      <c r="Z14" s="30"/>
      <c r="AA14" s="35"/>
      <c r="AB14" s="39"/>
      <c r="AC14" s="30"/>
      <c r="AD14" s="35"/>
      <c r="AE14" s="37"/>
      <c r="AF14" s="20"/>
      <c r="AG14" s="41"/>
      <c r="AH14" s="37"/>
      <c r="AI14" s="20"/>
      <c r="AJ14" s="35"/>
      <c r="AK14" s="37"/>
      <c r="AL14" s="20"/>
      <c r="AM14" s="42"/>
    </row>
    <row r="15" spans="1:39" x14ac:dyDescent="0.2">
      <c r="A15" s="20">
        <v>12</v>
      </c>
      <c r="B15" s="132" t="s">
        <v>140</v>
      </c>
      <c r="C15" s="133">
        <v>65.459999999999994</v>
      </c>
      <c r="D15" s="126">
        <v>186</v>
      </c>
      <c r="E15" s="29">
        <v>245</v>
      </c>
      <c r="F15" s="7">
        <v>212</v>
      </c>
      <c r="G15" s="36">
        <v>170</v>
      </c>
      <c r="H15" s="29">
        <v>251</v>
      </c>
      <c r="I15" s="35">
        <v>101</v>
      </c>
      <c r="J15" s="39">
        <v>230</v>
      </c>
      <c r="K15" s="30">
        <v>254</v>
      </c>
      <c r="L15" s="35">
        <v>89</v>
      </c>
      <c r="M15" s="39">
        <v>116</v>
      </c>
      <c r="N15" s="30">
        <v>229</v>
      </c>
      <c r="O15" s="35">
        <v>230</v>
      </c>
      <c r="P15" s="37"/>
      <c r="Q15" s="20"/>
      <c r="R15" s="41"/>
      <c r="S15" s="37"/>
      <c r="T15" s="20"/>
      <c r="U15" s="35"/>
      <c r="V15" s="37"/>
      <c r="W15" s="20"/>
      <c r="X15" s="42"/>
      <c r="Y15" s="39"/>
      <c r="Z15" s="30"/>
      <c r="AA15" s="35"/>
      <c r="AB15" s="39"/>
      <c r="AC15" s="30"/>
      <c r="AD15" s="35"/>
      <c r="AE15" s="37"/>
      <c r="AF15" s="20"/>
      <c r="AG15" s="41"/>
      <c r="AH15" s="37"/>
      <c r="AI15" s="20"/>
      <c r="AJ15" s="35"/>
      <c r="AK15" s="37"/>
      <c r="AL15" s="20"/>
      <c r="AM15" s="42"/>
    </row>
    <row r="16" spans="1:39" x14ac:dyDescent="0.2">
      <c r="A16" s="20">
        <v>13</v>
      </c>
      <c r="B16" s="132" t="s">
        <v>141</v>
      </c>
      <c r="C16" s="133">
        <v>105.39</v>
      </c>
      <c r="D16" s="126">
        <v>274</v>
      </c>
      <c r="E16" s="29">
        <v>374</v>
      </c>
      <c r="F16" s="7">
        <v>135</v>
      </c>
      <c r="G16" s="36">
        <v>269</v>
      </c>
      <c r="H16" s="29">
        <v>276</v>
      </c>
      <c r="I16" s="35">
        <v>172</v>
      </c>
      <c r="J16" s="39">
        <v>315</v>
      </c>
      <c r="K16" s="30">
        <v>230</v>
      </c>
      <c r="L16" s="35">
        <v>199</v>
      </c>
      <c r="M16" s="39">
        <v>143</v>
      </c>
      <c r="N16" s="30">
        <v>231</v>
      </c>
      <c r="O16" s="35">
        <v>369</v>
      </c>
      <c r="P16" s="37"/>
      <c r="Q16" s="20"/>
      <c r="R16" s="41"/>
      <c r="S16" s="37"/>
      <c r="T16" s="20"/>
      <c r="U16" s="35"/>
      <c r="V16" s="37"/>
      <c r="W16" s="20"/>
      <c r="X16" s="42"/>
      <c r="Y16" s="39"/>
      <c r="Z16" s="30"/>
      <c r="AA16" s="35"/>
      <c r="AB16" s="39"/>
      <c r="AC16" s="30"/>
      <c r="AD16" s="35"/>
      <c r="AE16" s="37"/>
      <c r="AF16" s="20"/>
      <c r="AG16" s="41"/>
      <c r="AH16" s="37"/>
      <c r="AI16" s="20"/>
      <c r="AJ16" s="35"/>
      <c r="AK16" s="37"/>
      <c r="AL16" s="20"/>
      <c r="AM16" s="42"/>
    </row>
    <row r="17" spans="1:39" x14ac:dyDescent="0.2">
      <c r="A17" s="20">
        <v>14</v>
      </c>
      <c r="B17" s="132" t="s">
        <v>182</v>
      </c>
      <c r="C17" s="133">
        <v>105.16</v>
      </c>
      <c r="D17" s="126">
        <v>62</v>
      </c>
      <c r="E17" s="29">
        <v>0</v>
      </c>
      <c r="F17" s="7">
        <v>10</v>
      </c>
      <c r="G17" s="36">
        <v>100</v>
      </c>
      <c r="H17" s="29">
        <v>121</v>
      </c>
      <c r="I17" s="35">
        <v>19</v>
      </c>
      <c r="J17" s="39">
        <v>10</v>
      </c>
      <c r="K17" s="30">
        <v>130</v>
      </c>
      <c r="L17" s="35">
        <v>19</v>
      </c>
      <c r="M17" s="39">
        <v>0</v>
      </c>
      <c r="N17" s="30">
        <v>0</v>
      </c>
      <c r="O17" s="35">
        <v>0</v>
      </c>
      <c r="P17" s="37"/>
      <c r="Q17" s="20"/>
      <c r="R17" s="41"/>
      <c r="S17" s="37"/>
      <c r="T17" s="20"/>
      <c r="U17" s="35"/>
      <c r="V17" s="37"/>
      <c r="W17" s="20"/>
      <c r="X17" s="42"/>
      <c r="Y17" s="39"/>
      <c r="Z17" s="30"/>
      <c r="AA17" s="35"/>
      <c r="AB17" s="39"/>
      <c r="AC17" s="30"/>
      <c r="AD17" s="35"/>
      <c r="AE17" s="37"/>
      <c r="AF17" s="20"/>
      <c r="AG17" s="41"/>
      <c r="AH17" s="37"/>
      <c r="AI17" s="20"/>
      <c r="AJ17" s="35"/>
      <c r="AK17" s="37"/>
      <c r="AL17" s="20"/>
      <c r="AM17" s="42"/>
    </row>
    <row r="18" spans="1:39" x14ac:dyDescent="0.2">
      <c r="A18" s="20">
        <v>15</v>
      </c>
      <c r="B18" s="132" t="s">
        <v>234</v>
      </c>
      <c r="C18" s="133">
        <v>74.08</v>
      </c>
      <c r="D18" s="126"/>
      <c r="E18" s="29">
        <v>0</v>
      </c>
      <c r="F18" s="7">
        <v>140</v>
      </c>
      <c r="G18" s="36"/>
      <c r="H18" s="29">
        <v>0</v>
      </c>
      <c r="I18" s="35">
        <v>0</v>
      </c>
      <c r="J18" s="39">
        <v>0</v>
      </c>
      <c r="K18" s="30">
        <v>0</v>
      </c>
      <c r="L18" s="35">
        <v>0</v>
      </c>
      <c r="M18" s="39">
        <v>18</v>
      </c>
      <c r="N18" s="30">
        <v>11</v>
      </c>
      <c r="O18" s="35">
        <v>48</v>
      </c>
      <c r="P18" s="37"/>
      <c r="Q18" s="20"/>
      <c r="R18" s="41"/>
      <c r="S18" s="37"/>
      <c r="T18" s="20"/>
      <c r="U18" s="35"/>
      <c r="V18" s="37"/>
      <c r="W18" s="20"/>
      <c r="X18" s="42"/>
      <c r="Y18" s="39"/>
      <c r="Z18" s="30"/>
      <c r="AA18" s="35"/>
      <c r="AB18" s="39"/>
      <c r="AC18" s="30"/>
      <c r="AD18" s="35"/>
      <c r="AE18" s="37"/>
      <c r="AF18" s="20"/>
      <c r="AG18" s="41"/>
      <c r="AH18" s="37"/>
      <c r="AI18" s="20"/>
      <c r="AJ18" s="35"/>
      <c r="AK18" s="37"/>
      <c r="AL18" s="20"/>
      <c r="AM18" s="42"/>
    </row>
    <row r="19" spans="1:39" x14ac:dyDescent="0.2">
      <c r="A19" s="20">
        <v>16</v>
      </c>
      <c r="B19" s="132" t="s">
        <v>183</v>
      </c>
      <c r="C19" s="133">
        <v>174.98</v>
      </c>
      <c r="D19" s="126">
        <v>10</v>
      </c>
      <c r="E19" s="29">
        <v>20</v>
      </c>
      <c r="F19" s="7">
        <v>22</v>
      </c>
      <c r="G19" s="36">
        <v>4</v>
      </c>
      <c r="H19" s="29">
        <v>8</v>
      </c>
      <c r="I19" s="35">
        <v>7</v>
      </c>
      <c r="J19" s="39">
        <v>30</v>
      </c>
      <c r="K19" s="30">
        <v>16</v>
      </c>
      <c r="L19" s="35">
        <v>1</v>
      </c>
      <c r="M19" s="39">
        <v>-13</v>
      </c>
      <c r="N19" s="30">
        <v>3</v>
      </c>
      <c r="O19" s="35">
        <v>53</v>
      </c>
      <c r="P19" s="37"/>
      <c r="Q19" s="20"/>
      <c r="R19" s="41"/>
      <c r="S19" s="37"/>
      <c r="T19" s="20"/>
      <c r="U19" s="35"/>
      <c r="V19" s="37"/>
      <c r="W19" s="20"/>
      <c r="X19" s="42"/>
      <c r="Y19" s="39"/>
      <c r="Z19" s="30"/>
      <c r="AA19" s="35"/>
      <c r="AB19" s="39"/>
      <c r="AC19" s="30"/>
      <c r="AD19" s="35"/>
      <c r="AE19" s="37"/>
      <c r="AF19" s="20"/>
      <c r="AG19" s="41"/>
      <c r="AH19" s="37"/>
      <c r="AI19" s="20"/>
      <c r="AJ19" s="35"/>
      <c r="AK19" s="37"/>
      <c r="AL19" s="20"/>
      <c r="AM19" s="42"/>
    </row>
    <row r="20" spans="1:39" x14ac:dyDescent="0.2">
      <c r="A20" s="20">
        <v>17</v>
      </c>
      <c r="B20" s="132" t="s">
        <v>184</v>
      </c>
      <c r="C20" s="133">
        <v>365.46</v>
      </c>
      <c r="D20" s="126">
        <v>10</v>
      </c>
      <c r="E20" s="29">
        <v>12</v>
      </c>
      <c r="F20" s="7">
        <v>55</v>
      </c>
      <c r="G20" s="36"/>
      <c r="H20" s="29">
        <v>14</v>
      </c>
      <c r="I20" s="35">
        <v>0</v>
      </c>
      <c r="J20" s="39">
        <v>50</v>
      </c>
      <c r="K20" s="30">
        <v>25</v>
      </c>
      <c r="L20" s="35">
        <v>15</v>
      </c>
      <c r="M20" s="39">
        <v>19</v>
      </c>
      <c r="N20" s="30">
        <v>9</v>
      </c>
      <c r="O20" s="35">
        <v>54</v>
      </c>
      <c r="P20" s="37"/>
      <c r="Q20" s="20"/>
      <c r="R20" s="41"/>
      <c r="S20" s="37"/>
      <c r="T20" s="20"/>
      <c r="U20" s="35"/>
      <c r="V20" s="37"/>
      <c r="W20" s="20"/>
      <c r="X20" s="42"/>
      <c r="Y20" s="39"/>
      <c r="Z20" s="30"/>
      <c r="AA20" s="35"/>
      <c r="AB20" s="39"/>
      <c r="AC20" s="30"/>
      <c r="AD20" s="35"/>
      <c r="AE20" s="37"/>
      <c r="AF20" s="20"/>
      <c r="AG20" s="41"/>
      <c r="AH20" s="37"/>
      <c r="AI20" s="20"/>
      <c r="AJ20" s="35"/>
      <c r="AK20" s="37"/>
      <c r="AL20" s="20"/>
      <c r="AM20" s="42"/>
    </row>
    <row r="21" spans="1:39" x14ac:dyDescent="0.2">
      <c r="A21" s="20">
        <v>18</v>
      </c>
      <c r="B21" s="132" t="s">
        <v>185</v>
      </c>
      <c r="C21" s="133">
        <v>63.65</v>
      </c>
      <c r="D21" s="126">
        <v>90</v>
      </c>
      <c r="E21" s="29">
        <v>35</v>
      </c>
      <c r="F21" s="7">
        <v>21</v>
      </c>
      <c r="G21" s="36">
        <v>30</v>
      </c>
      <c r="H21" s="29">
        <v>34</v>
      </c>
      <c r="I21" s="35">
        <v>37</v>
      </c>
      <c r="J21" s="39">
        <v>10</v>
      </c>
      <c r="K21" s="30">
        <v>22</v>
      </c>
      <c r="L21" s="35">
        <v>46</v>
      </c>
      <c r="M21" s="39">
        <v>0</v>
      </c>
      <c r="N21" s="30">
        <v>12</v>
      </c>
      <c r="O21" s="35">
        <v>53</v>
      </c>
      <c r="P21" s="37"/>
      <c r="Q21" s="20"/>
      <c r="R21" s="41"/>
      <c r="S21" s="37"/>
      <c r="T21" s="20"/>
      <c r="U21" s="35"/>
      <c r="V21" s="37"/>
      <c r="W21" s="20"/>
      <c r="X21" s="42"/>
      <c r="Y21" s="39"/>
      <c r="Z21" s="30"/>
      <c r="AA21" s="35"/>
      <c r="AB21" s="39"/>
      <c r="AC21" s="30"/>
      <c r="AD21" s="35"/>
      <c r="AE21" s="37"/>
      <c r="AF21" s="20"/>
      <c r="AG21" s="41"/>
      <c r="AH21" s="37"/>
      <c r="AI21" s="20"/>
      <c r="AJ21" s="35"/>
      <c r="AK21" s="37"/>
      <c r="AL21" s="20"/>
      <c r="AM21" s="42"/>
    </row>
    <row r="22" spans="1:39" x14ac:dyDescent="0.2">
      <c r="A22" s="20">
        <v>19</v>
      </c>
      <c r="B22" s="132" t="s">
        <v>186</v>
      </c>
      <c r="C22" s="133">
        <v>121.5</v>
      </c>
      <c r="D22" s="126"/>
      <c r="E22" s="29">
        <v>9</v>
      </c>
      <c r="F22" s="7">
        <v>44</v>
      </c>
      <c r="G22" s="36">
        <v>30</v>
      </c>
      <c r="H22" s="29">
        <v>6</v>
      </c>
      <c r="I22" s="35">
        <v>18</v>
      </c>
      <c r="J22" s="39">
        <v>0</v>
      </c>
      <c r="K22" s="30">
        <v>15</v>
      </c>
      <c r="L22" s="35">
        <v>33</v>
      </c>
      <c r="M22" s="39">
        <v>0</v>
      </c>
      <c r="N22" s="30">
        <v>12</v>
      </c>
      <c r="O22" s="35">
        <v>21</v>
      </c>
      <c r="P22" s="37"/>
      <c r="Q22" s="20"/>
      <c r="R22" s="41"/>
      <c r="S22" s="37"/>
      <c r="T22" s="20"/>
      <c r="U22" s="35"/>
      <c r="V22" s="37"/>
      <c r="W22" s="20"/>
      <c r="X22" s="42"/>
      <c r="Y22" s="39"/>
      <c r="Z22" s="30"/>
      <c r="AA22" s="35"/>
      <c r="AB22" s="39"/>
      <c r="AC22" s="30"/>
      <c r="AD22" s="35"/>
      <c r="AE22" s="37"/>
      <c r="AF22" s="20"/>
      <c r="AG22" s="41"/>
      <c r="AH22" s="37"/>
      <c r="AI22" s="20"/>
      <c r="AJ22" s="35"/>
      <c r="AK22" s="37"/>
      <c r="AL22" s="20"/>
      <c r="AM22" s="42"/>
    </row>
    <row r="23" spans="1:39" x14ac:dyDescent="0.2">
      <c r="A23" s="20">
        <v>20</v>
      </c>
      <c r="B23" s="132" t="s">
        <v>187</v>
      </c>
      <c r="C23" s="133">
        <v>66.47</v>
      </c>
      <c r="D23" s="126"/>
      <c r="E23" s="29">
        <v>48</v>
      </c>
      <c r="F23" s="7">
        <v>30</v>
      </c>
      <c r="G23" s="36"/>
      <c r="H23" s="29">
        <v>17</v>
      </c>
      <c r="I23" s="35">
        <v>9</v>
      </c>
      <c r="J23" s="39">
        <v>18</v>
      </c>
      <c r="K23" s="30">
        <v>18</v>
      </c>
      <c r="L23" s="35">
        <v>0</v>
      </c>
      <c r="M23" s="39">
        <v>15</v>
      </c>
      <c r="N23" s="30">
        <v>46</v>
      </c>
      <c r="O23" s="35">
        <v>24</v>
      </c>
      <c r="P23" s="37"/>
      <c r="Q23" s="20"/>
      <c r="R23" s="41"/>
      <c r="S23" s="37"/>
      <c r="T23" s="20"/>
      <c r="U23" s="35"/>
      <c r="V23" s="37"/>
      <c r="W23" s="20"/>
      <c r="X23" s="42"/>
      <c r="Y23" s="39"/>
      <c r="Z23" s="30"/>
      <c r="AA23" s="35"/>
      <c r="AB23" s="39"/>
      <c r="AC23" s="30"/>
      <c r="AD23" s="35"/>
      <c r="AE23" s="37"/>
      <c r="AF23" s="20"/>
      <c r="AG23" s="41"/>
      <c r="AH23" s="37"/>
      <c r="AI23" s="20"/>
      <c r="AJ23" s="35"/>
      <c r="AK23" s="37"/>
      <c r="AL23" s="20"/>
      <c r="AM23" s="42"/>
    </row>
    <row r="24" spans="1:39" x14ac:dyDescent="0.2">
      <c r="A24" s="20">
        <v>21</v>
      </c>
      <c r="B24" s="132" t="s">
        <v>188</v>
      </c>
      <c r="C24" s="133">
        <v>112.44</v>
      </c>
      <c r="D24" s="126"/>
      <c r="E24" s="29">
        <v>3</v>
      </c>
      <c r="F24" s="7">
        <v>13</v>
      </c>
      <c r="G24" s="36">
        <v>24</v>
      </c>
      <c r="H24" s="29">
        <v>40</v>
      </c>
      <c r="I24" s="35">
        <v>99</v>
      </c>
      <c r="J24" s="39">
        <v>15</v>
      </c>
      <c r="K24" s="30">
        <v>40</v>
      </c>
      <c r="L24" s="35">
        <v>81</v>
      </c>
      <c r="M24" s="39">
        <v>53</v>
      </c>
      <c r="N24" s="30">
        <v>25</v>
      </c>
      <c r="O24" s="35">
        <v>140</v>
      </c>
      <c r="P24" s="37"/>
      <c r="Q24" s="20"/>
      <c r="R24" s="41"/>
      <c r="S24" s="37"/>
      <c r="T24" s="20"/>
      <c r="U24" s="35"/>
      <c r="V24" s="37"/>
      <c r="W24" s="20"/>
      <c r="X24" s="42"/>
      <c r="Y24" s="39"/>
      <c r="Z24" s="30"/>
      <c r="AA24" s="35"/>
      <c r="AB24" s="39"/>
      <c r="AC24" s="30"/>
      <c r="AD24" s="35"/>
      <c r="AE24" s="37"/>
      <c r="AF24" s="20"/>
      <c r="AG24" s="41"/>
      <c r="AH24" s="37"/>
      <c r="AI24" s="20"/>
      <c r="AJ24" s="35"/>
      <c r="AK24" s="37"/>
      <c r="AL24" s="20"/>
      <c r="AM24" s="42"/>
    </row>
    <row r="25" spans="1:39" x14ac:dyDescent="0.2">
      <c r="A25" s="20">
        <v>22</v>
      </c>
      <c r="B25" s="132" t="s">
        <v>235</v>
      </c>
      <c r="C25" s="133">
        <v>77.08</v>
      </c>
      <c r="D25" s="126">
        <v>22</v>
      </c>
      <c r="E25" s="29">
        <v>39</v>
      </c>
      <c r="F25" s="7">
        <v>46</v>
      </c>
      <c r="G25" s="36"/>
      <c r="H25" s="29">
        <v>27</v>
      </c>
      <c r="I25" s="35">
        <v>61</v>
      </c>
      <c r="J25" s="39">
        <v>20</v>
      </c>
      <c r="K25" s="30">
        <v>40</v>
      </c>
      <c r="L25" s="35">
        <v>52</v>
      </c>
      <c r="M25" s="39">
        <v>120</v>
      </c>
      <c r="N25" s="30">
        <v>46</v>
      </c>
      <c r="O25" s="35">
        <v>131</v>
      </c>
      <c r="P25" s="37"/>
      <c r="Q25" s="20"/>
      <c r="R25" s="41"/>
      <c r="S25" s="37"/>
      <c r="T25" s="20"/>
      <c r="U25" s="35"/>
      <c r="V25" s="37"/>
      <c r="W25" s="20"/>
      <c r="X25" s="42"/>
      <c r="Y25" s="39"/>
      <c r="Z25" s="30"/>
      <c r="AA25" s="35"/>
      <c r="AB25" s="39"/>
      <c r="AC25" s="30"/>
      <c r="AD25" s="35"/>
      <c r="AE25" s="37"/>
      <c r="AF25" s="20"/>
      <c r="AG25" s="41"/>
      <c r="AH25" s="37"/>
      <c r="AI25" s="20"/>
      <c r="AJ25" s="35"/>
      <c r="AK25" s="37"/>
      <c r="AL25" s="20"/>
      <c r="AM25" s="42"/>
    </row>
    <row r="26" spans="1:39" x14ac:dyDescent="0.2">
      <c r="A26" s="20">
        <v>23</v>
      </c>
      <c r="B26" s="132" t="s">
        <v>189</v>
      </c>
      <c r="C26" s="133">
        <v>91.93</v>
      </c>
      <c r="D26" s="126"/>
      <c r="E26" s="29">
        <v>5</v>
      </c>
      <c r="F26" s="7">
        <v>6</v>
      </c>
      <c r="G26" s="36"/>
      <c r="H26" s="29">
        <v>0</v>
      </c>
      <c r="I26" s="35">
        <v>0</v>
      </c>
      <c r="J26" s="39">
        <v>0</v>
      </c>
      <c r="K26" s="30">
        <v>6</v>
      </c>
      <c r="L26" s="35">
        <v>0</v>
      </c>
      <c r="M26" s="39">
        <v>0</v>
      </c>
      <c r="N26" s="30">
        <v>0</v>
      </c>
      <c r="O26" s="35">
        <v>0</v>
      </c>
      <c r="P26" s="37"/>
      <c r="Q26" s="20"/>
      <c r="R26" s="41"/>
      <c r="S26" s="37"/>
      <c r="T26" s="20"/>
      <c r="U26" s="35"/>
      <c r="V26" s="37"/>
      <c r="W26" s="20"/>
      <c r="X26" s="42"/>
      <c r="Y26" s="39"/>
      <c r="Z26" s="30"/>
      <c r="AA26" s="35"/>
      <c r="AB26" s="39"/>
      <c r="AC26" s="30"/>
      <c r="AD26" s="35"/>
      <c r="AE26" s="37"/>
      <c r="AF26" s="20"/>
      <c r="AG26" s="41"/>
      <c r="AH26" s="37"/>
      <c r="AI26" s="20"/>
      <c r="AJ26" s="35"/>
      <c r="AK26" s="37"/>
      <c r="AL26" s="20"/>
      <c r="AM26" s="42"/>
    </row>
    <row r="27" spans="1:39" x14ac:dyDescent="0.2">
      <c r="A27" s="20">
        <v>24</v>
      </c>
      <c r="B27" s="132" t="s">
        <v>190</v>
      </c>
      <c r="C27" s="133">
        <v>76.819999999999993</v>
      </c>
      <c r="D27" s="126">
        <v>40</v>
      </c>
      <c r="E27" s="29">
        <v>40</v>
      </c>
      <c r="F27" s="7">
        <v>57</v>
      </c>
      <c r="G27" s="36">
        <v>20</v>
      </c>
      <c r="H27" s="29">
        <v>9</v>
      </c>
      <c r="I27" s="35">
        <v>5</v>
      </c>
      <c r="J27" s="39">
        <v>20</v>
      </c>
      <c r="K27" s="30">
        <v>46</v>
      </c>
      <c r="L27" s="35">
        <v>21</v>
      </c>
      <c r="M27" s="39">
        <v>29</v>
      </c>
      <c r="N27" s="30">
        <v>16</v>
      </c>
      <c r="O27" s="35">
        <v>60</v>
      </c>
      <c r="P27" s="37"/>
      <c r="Q27" s="20"/>
      <c r="R27" s="41"/>
      <c r="S27" s="37"/>
      <c r="T27" s="20"/>
      <c r="U27" s="35"/>
      <c r="V27" s="37"/>
      <c r="W27" s="20"/>
      <c r="X27" s="42"/>
      <c r="Y27" s="39"/>
      <c r="Z27" s="30"/>
      <c r="AA27" s="35"/>
      <c r="AB27" s="39"/>
      <c r="AC27" s="30"/>
      <c r="AD27" s="35"/>
      <c r="AE27" s="37"/>
      <c r="AF27" s="20"/>
      <c r="AG27" s="41"/>
      <c r="AH27" s="37"/>
      <c r="AI27" s="20"/>
      <c r="AJ27" s="35"/>
      <c r="AK27" s="37"/>
      <c r="AL27" s="20"/>
      <c r="AM27" s="42"/>
    </row>
    <row r="28" spans="1:39" x14ac:dyDescent="0.2">
      <c r="A28" s="20">
        <v>25</v>
      </c>
      <c r="B28" s="132" t="s">
        <v>191</v>
      </c>
      <c r="C28" s="133">
        <v>82.93</v>
      </c>
      <c r="D28" s="126"/>
      <c r="E28" s="29">
        <v>0</v>
      </c>
      <c r="F28" s="7">
        <v>0</v>
      </c>
      <c r="G28" s="36"/>
      <c r="H28" s="29">
        <v>0</v>
      </c>
      <c r="I28" s="35">
        <v>0</v>
      </c>
      <c r="J28" s="39">
        <v>0</v>
      </c>
      <c r="K28" s="30">
        <v>0</v>
      </c>
      <c r="L28" s="35">
        <v>0</v>
      </c>
      <c r="M28" s="39">
        <v>0</v>
      </c>
      <c r="N28" s="30">
        <v>0</v>
      </c>
      <c r="O28" s="35">
        <v>0</v>
      </c>
      <c r="P28" s="37"/>
      <c r="Q28" s="20"/>
      <c r="R28" s="41"/>
      <c r="S28" s="37"/>
      <c r="T28" s="20"/>
      <c r="U28" s="35"/>
      <c r="V28" s="37"/>
      <c r="W28" s="20"/>
      <c r="X28" s="42"/>
      <c r="Y28" s="39"/>
      <c r="Z28" s="30"/>
      <c r="AA28" s="35"/>
      <c r="AB28" s="39"/>
      <c r="AC28" s="30"/>
      <c r="AD28" s="35"/>
      <c r="AE28" s="37"/>
      <c r="AF28" s="20"/>
      <c r="AG28" s="41"/>
      <c r="AH28" s="37"/>
      <c r="AI28" s="20"/>
      <c r="AJ28" s="35"/>
      <c r="AK28" s="37"/>
      <c r="AL28" s="20"/>
      <c r="AM28" s="42"/>
    </row>
    <row r="29" spans="1:39" x14ac:dyDescent="0.2">
      <c r="A29" s="20">
        <v>26</v>
      </c>
      <c r="B29" s="132" t="s">
        <v>192</v>
      </c>
      <c r="C29" s="133">
        <v>62.93</v>
      </c>
      <c r="D29" s="126"/>
      <c r="E29" s="29">
        <v>9</v>
      </c>
      <c r="F29" s="7">
        <v>7</v>
      </c>
      <c r="G29" s="36">
        <v>10</v>
      </c>
      <c r="H29" s="29">
        <v>31</v>
      </c>
      <c r="I29" s="35">
        <v>0</v>
      </c>
      <c r="J29" s="39">
        <v>23</v>
      </c>
      <c r="K29" s="30">
        <v>21</v>
      </c>
      <c r="L29" s="35">
        <v>5</v>
      </c>
      <c r="M29" s="39">
        <v>0</v>
      </c>
      <c r="N29" s="30">
        <v>8</v>
      </c>
      <c r="O29" s="35">
        <v>15</v>
      </c>
      <c r="P29" s="37"/>
      <c r="Q29" s="20"/>
      <c r="R29" s="41"/>
      <c r="S29" s="37"/>
      <c r="T29" s="20"/>
      <c r="U29" s="35"/>
      <c r="V29" s="37"/>
      <c r="W29" s="20"/>
      <c r="X29" s="42"/>
      <c r="Y29" s="39"/>
      <c r="Z29" s="30"/>
      <c r="AA29" s="35"/>
      <c r="AB29" s="39"/>
      <c r="AC29" s="30"/>
      <c r="AD29" s="35"/>
      <c r="AE29" s="37"/>
      <c r="AF29" s="20"/>
      <c r="AG29" s="41"/>
      <c r="AH29" s="37"/>
      <c r="AI29" s="20"/>
      <c r="AJ29" s="35"/>
      <c r="AK29" s="37"/>
      <c r="AL29" s="20"/>
      <c r="AM29" s="42"/>
    </row>
    <row r="30" spans="1:39" x14ac:dyDescent="0.2">
      <c r="A30" s="20">
        <v>27</v>
      </c>
      <c r="B30" t="s">
        <v>780</v>
      </c>
      <c r="C30" s="133">
        <v>31.32</v>
      </c>
      <c r="D30" s="126"/>
      <c r="E30" s="29"/>
      <c r="F30" s="7"/>
      <c r="G30" s="36"/>
      <c r="H30" s="29"/>
      <c r="I30" s="35"/>
      <c r="J30" s="39">
        <v>20</v>
      </c>
      <c r="K30" s="30">
        <v>10</v>
      </c>
      <c r="L30" s="35">
        <v>0</v>
      </c>
      <c r="M30" s="39">
        <v>0</v>
      </c>
      <c r="N30" s="30">
        <v>0</v>
      </c>
      <c r="O30" s="35">
        <v>20</v>
      </c>
      <c r="P30" s="37"/>
      <c r="Q30" s="20"/>
      <c r="R30" s="41"/>
      <c r="S30" s="37"/>
      <c r="T30" s="20"/>
      <c r="U30" s="35"/>
      <c r="V30" s="37"/>
      <c r="W30" s="20"/>
      <c r="X30" s="42"/>
      <c r="Y30" s="39"/>
      <c r="Z30" s="30"/>
      <c r="AA30" s="35"/>
      <c r="AB30" s="39"/>
      <c r="AC30" s="30"/>
      <c r="AD30" s="35"/>
      <c r="AE30" s="37"/>
      <c r="AF30" s="20"/>
      <c r="AG30" s="41"/>
      <c r="AH30" s="37"/>
      <c r="AI30" s="20"/>
      <c r="AJ30" s="35"/>
      <c r="AK30" s="37"/>
      <c r="AL30" s="20"/>
      <c r="AM30" s="42"/>
    </row>
    <row r="31" spans="1:39" x14ac:dyDescent="0.2">
      <c r="A31" s="20">
        <v>28</v>
      </c>
      <c r="B31" t="s">
        <v>781</v>
      </c>
      <c r="C31" s="133">
        <v>37.71</v>
      </c>
      <c r="D31" s="126"/>
      <c r="E31" s="29"/>
      <c r="F31" s="7"/>
      <c r="G31" s="36"/>
      <c r="H31" s="29"/>
      <c r="I31" s="35"/>
      <c r="J31" s="39">
        <v>17</v>
      </c>
      <c r="K31" s="30">
        <v>10</v>
      </c>
      <c r="L31" s="35">
        <v>0</v>
      </c>
      <c r="M31" s="39">
        <v>0</v>
      </c>
      <c r="N31" s="30">
        <v>0</v>
      </c>
      <c r="O31" s="35">
        <v>20</v>
      </c>
      <c r="P31" s="37"/>
      <c r="Q31" s="20"/>
      <c r="R31" s="41"/>
      <c r="S31" s="37"/>
      <c r="T31" s="20"/>
      <c r="U31" s="35"/>
      <c r="V31" s="37"/>
      <c r="W31" s="20"/>
      <c r="X31" s="42"/>
      <c r="Y31" s="39"/>
      <c r="Z31" s="30"/>
      <c r="AA31" s="35"/>
      <c r="AB31" s="39"/>
      <c r="AC31" s="30"/>
      <c r="AD31" s="35"/>
      <c r="AE31" s="37"/>
      <c r="AF31" s="20"/>
      <c r="AG31" s="41"/>
      <c r="AH31" s="37"/>
      <c r="AI31" s="20"/>
      <c r="AJ31" s="35"/>
      <c r="AK31" s="37"/>
      <c r="AL31" s="20"/>
      <c r="AM31" s="42"/>
    </row>
    <row r="32" spans="1:39" x14ac:dyDescent="0.2">
      <c r="A32" s="20">
        <v>29</v>
      </c>
      <c r="B32" s="132" t="s">
        <v>193</v>
      </c>
      <c r="C32" s="133">
        <v>66.12</v>
      </c>
      <c r="D32" s="126"/>
      <c r="E32" s="29">
        <v>0</v>
      </c>
      <c r="F32" s="7">
        <v>0</v>
      </c>
      <c r="G32" s="36"/>
      <c r="H32" s="29">
        <v>0</v>
      </c>
      <c r="I32" s="35">
        <v>0</v>
      </c>
      <c r="J32" s="39">
        <v>0</v>
      </c>
      <c r="K32" s="30">
        <v>0</v>
      </c>
      <c r="L32" s="35">
        <v>0</v>
      </c>
      <c r="M32" s="39">
        <v>0</v>
      </c>
      <c r="N32" s="30">
        <v>0</v>
      </c>
      <c r="O32" s="35">
        <v>0</v>
      </c>
      <c r="P32" s="37"/>
      <c r="Q32" s="20"/>
      <c r="R32" s="41"/>
      <c r="S32" s="37"/>
      <c r="T32" s="20"/>
      <c r="U32" s="35"/>
      <c r="V32" s="37"/>
      <c r="W32" s="20"/>
      <c r="X32" s="35"/>
      <c r="Y32" s="39"/>
      <c r="Z32" s="30"/>
      <c r="AA32" s="35"/>
      <c r="AB32" s="39"/>
      <c r="AC32" s="30"/>
      <c r="AD32" s="35"/>
      <c r="AE32" s="37"/>
      <c r="AF32" s="20"/>
      <c r="AG32" s="41"/>
      <c r="AH32" s="37"/>
      <c r="AI32" s="20"/>
      <c r="AJ32" s="35"/>
      <c r="AK32" s="37"/>
      <c r="AL32" s="20"/>
      <c r="AM32" s="35"/>
    </row>
    <row r="33" spans="1:39" x14ac:dyDescent="0.2">
      <c r="A33" s="20">
        <v>30</v>
      </c>
      <c r="B33" s="132" t="s">
        <v>194</v>
      </c>
      <c r="C33" s="133">
        <v>123.24</v>
      </c>
      <c r="D33" s="126">
        <v>20</v>
      </c>
      <c r="E33" s="29">
        <v>10</v>
      </c>
      <c r="F33" s="7">
        <v>20</v>
      </c>
      <c r="G33" s="36">
        <v>10</v>
      </c>
      <c r="H33" s="29">
        <v>11</v>
      </c>
      <c r="I33" s="35">
        <v>19</v>
      </c>
      <c r="J33" s="39">
        <v>20</v>
      </c>
      <c r="K33" s="30">
        <v>12</v>
      </c>
      <c r="L33" s="35">
        <v>27</v>
      </c>
      <c r="M33" s="39">
        <v>0</v>
      </c>
      <c r="N33" s="30">
        <v>6</v>
      </c>
      <c r="O33" s="35">
        <v>21</v>
      </c>
      <c r="P33" s="37"/>
      <c r="Q33" s="20"/>
      <c r="R33" s="41"/>
      <c r="S33" s="37"/>
      <c r="T33" s="20"/>
      <c r="U33" s="35"/>
      <c r="V33" s="37"/>
      <c r="W33" s="20"/>
      <c r="X33" s="35"/>
      <c r="Y33" s="39"/>
      <c r="Z33" s="30"/>
      <c r="AA33" s="35"/>
      <c r="AB33" s="39"/>
      <c r="AC33" s="30"/>
      <c r="AD33" s="35"/>
      <c r="AE33" s="37"/>
      <c r="AF33" s="20"/>
      <c r="AG33" s="41"/>
      <c r="AH33" s="37"/>
      <c r="AI33" s="20"/>
      <c r="AJ33" s="35"/>
      <c r="AK33" s="37"/>
      <c r="AL33" s="20"/>
      <c r="AM33" s="35"/>
    </row>
    <row r="34" spans="1:39" x14ac:dyDescent="0.2">
      <c r="A34" s="20">
        <v>31</v>
      </c>
      <c r="B34" s="132" t="s">
        <v>147</v>
      </c>
      <c r="C34" s="133">
        <v>121.42</v>
      </c>
      <c r="D34" s="126">
        <v>8</v>
      </c>
      <c r="E34" s="29">
        <v>134</v>
      </c>
      <c r="F34" s="7">
        <v>111</v>
      </c>
      <c r="G34" s="36">
        <v>10</v>
      </c>
      <c r="H34" s="29">
        <v>46</v>
      </c>
      <c r="I34" s="35">
        <v>85</v>
      </c>
      <c r="J34" s="39">
        <v>70</v>
      </c>
      <c r="K34" s="30">
        <v>92</v>
      </c>
      <c r="L34" s="35">
        <v>88</v>
      </c>
      <c r="M34" s="39">
        <v>11</v>
      </c>
      <c r="N34" s="30">
        <v>117</v>
      </c>
      <c r="O34" s="35">
        <v>214</v>
      </c>
      <c r="P34" s="37"/>
      <c r="Q34" s="20"/>
      <c r="R34" s="35"/>
      <c r="S34" s="37"/>
      <c r="T34" s="20"/>
      <c r="U34" s="35"/>
      <c r="V34" s="37"/>
      <c r="W34" s="20"/>
      <c r="X34" s="42"/>
      <c r="Y34" s="39"/>
      <c r="Z34" s="30"/>
      <c r="AA34" s="35"/>
      <c r="AB34" s="39"/>
      <c r="AC34" s="30"/>
      <c r="AD34" s="35"/>
      <c r="AE34" s="37"/>
      <c r="AF34" s="20"/>
      <c r="AG34" s="35"/>
      <c r="AH34" s="37"/>
      <c r="AI34" s="20"/>
      <c r="AJ34" s="35"/>
      <c r="AK34" s="37"/>
      <c r="AL34" s="20"/>
      <c r="AM34" s="42"/>
    </row>
    <row r="35" spans="1:39" x14ac:dyDescent="0.2">
      <c r="A35" s="20">
        <v>32</v>
      </c>
      <c r="B35" s="132" t="s">
        <v>195</v>
      </c>
      <c r="C35" s="133">
        <v>116.68</v>
      </c>
      <c r="D35" s="126">
        <v>311</v>
      </c>
      <c r="E35" s="29">
        <v>277</v>
      </c>
      <c r="F35" s="7">
        <v>309</v>
      </c>
      <c r="G35" s="36">
        <v>220</v>
      </c>
      <c r="H35" s="29">
        <v>195</v>
      </c>
      <c r="I35" s="35">
        <v>229</v>
      </c>
      <c r="J35" s="39">
        <v>493</v>
      </c>
      <c r="K35" s="30">
        <v>419</v>
      </c>
      <c r="L35" s="35">
        <v>69</v>
      </c>
      <c r="M35" s="39">
        <v>249</v>
      </c>
      <c r="N35" s="30">
        <v>272</v>
      </c>
      <c r="O35" s="35">
        <v>366</v>
      </c>
      <c r="P35" s="37"/>
      <c r="Q35" s="20"/>
      <c r="R35" s="41"/>
      <c r="S35" s="37"/>
      <c r="T35" s="20"/>
      <c r="U35" s="35"/>
      <c r="V35" s="37"/>
      <c r="W35" s="20"/>
      <c r="X35" s="42"/>
      <c r="Y35" s="39"/>
      <c r="Z35" s="30"/>
      <c r="AA35" s="35"/>
      <c r="AB35" s="39"/>
      <c r="AC35" s="30"/>
      <c r="AD35" s="35"/>
      <c r="AE35" s="37"/>
      <c r="AF35" s="20"/>
      <c r="AG35" s="41"/>
      <c r="AH35" s="37"/>
      <c r="AI35" s="20"/>
      <c r="AJ35" s="35"/>
      <c r="AK35" s="37"/>
      <c r="AL35" s="20"/>
      <c r="AM35" s="42"/>
    </row>
    <row r="36" spans="1:39" x14ac:dyDescent="0.2">
      <c r="A36" s="20">
        <v>33</v>
      </c>
      <c r="B36" s="132" t="s">
        <v>150</v>
      </c>
      <c r="C36" s="133">
        <v>184.46</v>
      </c>
      <c r="D36" s="126"/>
      <c r="E36" s="29">
        <v>6</v>
      </c>
      <c r="F36" s="7">
        <v>62</v>
      </c>
      <c r="G36" s="36">
        <v>10</v>
      </c>
      <c r="H36" s="29">
        <v>26</v>
      </c>
      <c r="I36" s="35">
        <v>41</v>
      </c>
      <c r="J36" s="39">
        <v>10</v>
      </c>
      <c r="K36" s="30">
        <v>16</v>
      </c>
      <c r="L36" s="35">
        <v>28</v>
      </c>
      <c r="M36" s="39">
        <v>100</v>
      </c>
      <c r="N36" s="30">
        <v>74</v>
      </c>
      <c r="O36" s="35">
        <v>77</v>
      </c>
      <c r="P36" s="37"/>
      <c r="Q36" s="20"/>
      <c r="R36" s="41"/>
      <c r="S36" s="37"/>
      <c r="T36" s="20"/>
      <c r="U36" s="35"/>
      <c r="V36" s="37"/>
      <c r="W36" s="20"/>
      <c r="X36" s="35"/>
      <c r="Y36" s="39"/>
      <c r="Z36" s="30"/>
      <c r="AA36" s="35"/>
      <c r="AB36" s="39"/>
      <c r="AC36" s="30"/>
      <c r="AD36" s="35"/>
      <c r="AE36" s="37"/>
      <c r="AF36" s="20"/>
      <c r="AG36" s="41"/>
      <c r="AH36" s="37"/>
      <c r="AI36" s="20"/>
      <c r="AJ36" s="35"/>
      <c r="AK36" s="37"/>
      <c r="AL36" s="20"/>
      <c r="AM36" s="35"/>
    </row>
    <row r="37" spans="1:39" x14ac:dyDescent="0.2">
      <c r="A37" s="20">
        <v>34</v>
      </c>
      <c r="B37" s="132" t="s">
        <v>149</v>
      </c>
      <c r="C37" s="133">
        <v>60.23</v>
      </c>
      <c r="D37" s="126"/>
      <c r="E37" s="29">
        <v>0</v>
      </c>
      <c r="F37" s="7">
        <v>20</v>
      </c>
      <c r="G37" s="36"/>
      <c r="H37" s="29">
        <v>3</v>
      </c>
      <c r="I37" s="35">
        <v>17</v>
      </c>
      <c r="J37" s="39">
        <v>0</v>
      </c>
      <c r="K37" s="30">
        <v>0</v>
      </c>
      <c r="L37" s="35">
        <v>0</v>
      </c>
      <c r="M37" s="39">
        <v>0</v>
      </c>
      <c r="N37" s="30">
        <v>3</v>
      </c>
      <c r="O37" s="35">
        <v>29</v>
      </c>
      <c r="P37" s="37"/>
      <c r="Q37" s="20"/>
      <c r="R37" s="41"/>
      <c r="S37" s="37"/>
      <c r="T37" s="20"/>
      <c r="U37" s="35"/>
      <c r="V37" s="37"/>
      <c r="W37" s="20"/>
      <c r="X37" s="35"/>
      <c r="Y37" s="39"/>
      <c r="Z37" s="30"/>
      <c r="AA37" s="35"/>
      <c r="AB37" s="39"/>
      <c r="AC37" s="30"/>
      <c r="AD37" s="35"/>
      <c r="AE37" s="37"/>
      <c r="AF37" s="20"/>
      <c r="AG37" s="41"/>
      <c r="AH37" s="37"/>
      <c r="AI37" s="20"/>
      <c r="AJ37" s="35"/>
      <c r="AK37" s="37"/>
      <c r="AL37" s="20"/>
      <c r="AM37" s="35"/>
    </row>
    <row r="38" spans="1:39" x14ac:dyDescent="0.2">
      <c r="A38" s="20">
        <v>35</v>
      </c>
      <c r="B38" s="132" t="s">
        <v>196</v>
      </c>
      <c r="C38" s="133">
        <v>39.39</v>
      </c>
      <c r="D38" s="126"/>
      <c r="E38" s="29">
        <v>0</v>
      </c>
      <c r="F38" s="7">
        <v>0</v>
      </c>
      <c r="G38" s="36"/>
      <c r="H38" s="29">
        <v>0</v>
      </c>
      <c r="I38" s="35">
        <v>0</v>
      </c>
      <c r="J38" s="39">
        <v>0</v>
      </c>
      <c r="K38" s="30">
        <v>0</v>
      </c>
      <c r="L38" s="35">
        <v>0</v>
      </c>
      <c r="M38" s="39">
        <v>0</v>
      </c>
      <c r="N38" s="30">
        <v>0</v>
      </c>
      <c r="O38" s="35">
        <v>0</v>
      </c>
      <c r="P38" s="37"/>
      <c r="Q38" s="20"/>
      <c r="R38" s="41"/>
      <c r="S38" s="37"/>
      <c r="T38" s="20"/>
      <c r="U38" s="35"/>
      <c r="V38" s="37"/>
      <c r="W38" s="20"/>
      <c r="X38" s="42"/>
      <c r="Y38" s="39"/>
      <c r="Z38" s="30"/>
      <c r="AA38" s="35"/>
      <c r="AB38" s="39"/>
      <c r="AC38" s="30"/>
      <c r="AD38" s="35"/>
      <c r="AE38" s="37"/>
      <c r="AF38" s="20"/>
      <c r="AG38" s="41"/>
      <c r="AH38" s="37"/>
      <c r="AI38" s="20"/>
      <c r="AJ38" s="35"/>
      <c r="AK38" s="37"/>
      <c r="AL38" s="20"/>
      <c r="AM38" s="42"/>
    </row>
    <row r="39" spans="1:39" x14ac:dyDescent="0.2">
      <c r="A39" s="20">
        <v>36</v>
      </c>
      <c r="B39" s="132" t="s">
        <v>151</v>
      </c>
      <c r="C39" s="133">
        <v>83.06</v>
      </c>
      <c r="D39" s="126"/>
      <c r="E39" s="29">
        <v>0</v>
      </c>
      <c r="F39" s="7">
        <v>0</v>
      </c>
      <c r="G39" s="36">
        <v>30</v>
      </c>
      <c r="H39" s="29">
        <v>49</v>
      </c>
      <c r="I39" s="35">
        <v>0</v>
      </c>
      <c r="J39" s="39">
        <v>0</v>
      </c>
      <c r="K39" s="30">
        <v>0</v>
      </c>
      <c r="L39" s="35">
        <v>0</v>
      </c>
      <c r="M39" s="39">
        <v>50</v>
      </c>
      <c r="N39" s="30">
        <v>40</v>
      </c>
      <c r="O39" s="35">
        <v>50</v>
      </c>
      <c r="P39" s="37"/>
      <c r="Q39" s="20"/>
      <c r="R39" s="41"/>
      <c r="S39" s="37"/>
      <c r="T39" s="20"/>
      <c r="U39" s="35"/>
      <c r="V39" s="37"/>
      <c r="W39" s="20"/>
      <c r="X39" s="42"/>
      <c r="Y39" s="39"/>
      <c r="Z39" s="30"/>
      <c r="AA39" s="35"/>
      <c r="AB39" s="39"/>
      <c r="AC39" s="30"/>
      <c r="AD39" s="35"/>
      <c r="AE39" s="37"/>
      <c r="AF39" s="20"/>
      <c r="AG39" s="41"/>
      <c r="AH39" s="37"/>
      <c r="AI39" s="20"/>
      <c r="AJ39" s="35"/>
      <c r="AK39" s="37"/>
      <c r="AL39" s="20"/>
      <c r="AM39" s="42"/>
    </row>
    <row r="40" spans="1:39" x14ac:dyDescent="0.2">
      <c r="A40" s="20">
        <v>37</v>
      </c>
      <c r="B40" s="132" t="s">
        <v>152</v>
      </c>
      <c r="C40" s="133">
        <v>93.17</v>
      </c>
      <c r="D40" s="126">
        <v>90</v>
      </c>
      <c r="E40" s="29">
        <v>138</v>
      </c>
      <c r="F40" s="7">
        <v>207</v>
      </c>
      <c r="G40" s="36">
        <v>75</v>
      </c>
      <c r="H40" s="29">
        <v>80</v>
      </c>
      <c r="I40" s="35">
        <v>259</v>
      </c>
      <c r="J40" s="39">
        <v>150</v>
      </c>
      <c r="K40" s="30">
        <v>104</v>
      </c>
      <c r="L40" s="35">
        <v>176</v>
      </c>
      <c r="M40" s="39">
        <v>35</v>
      </c>
      <c r="N40" s="30">
        <v>116</v>
      </c>
      <c r="O40" s="35">
        <v>317</v>
      </c>
      <c r="P40" s="37"/>
      <c r="Q40" s="20"/>
      <c r="R40" s="41"/>
      <c r="S40" s="37"/>
      <c r="T40" s="20"/>
      <c r="U40" s="35"/>
      <c r="V40" s="37"/>
      <c r="W40" s="20"/>
      <c r="X40" s="42"/>
      <c r="Y40" s="39"/>
      <c r="Z40" s="30"/>
      <c r="AA40" s="35"/>
      <c r="AB40" s="39"/>
      <c r="AC40" s="30"/>
      <c r="AD40" s="35"/>
      <c r="AE40" s="37"/>
      <c r="AF40" s="20"/>
      <c r="AG40" s="41"/>
      <c r="AH40" s="37"/>
      <c r="AI40" s="20"/>
      <c r="AJ40" s="35"/>
      <c r="AK40" s="37"/>
      <c r="AL40" s="20"/>
      <c r="AM40" s="42"/>
    </row>
    <row r="41" spans="1:39" x14ac:dyDescent="0.2">
      <c r="A41" s="20">
        <v>38</v>
      </c>
      <c r="B41" s="132" t="s">
        <v>153</v>
      </c>
      <c r="C41" s="133">
        <v>139.46</v>
      </c>
      <c r="D41" s="126"/>
      <c r="E41" s="29">
        <v>59</v>
      </c>
      <c r="F41" s="7">
        <v>97</v>
      </c>
      <c r="G41" s="36">
        <v>30</v>
      </c>
      <c r="H41" s="29">
        <v>41</v>
      </c>
      <c r="I41" s="35">
        <v>79</v>
      </c>
      <c r="J41" s="39">
        <v>30</v>
      </c>
      <c r="K41" s="30">
        <v>40</v>
      </c>
      <c r="L41" s="35">
        <v>55</v>
      </c>
      <c r="M41" s="39">
        <v>56</v>
      </c>
      <c r="N41" s="30">
        <v>33</v>
      </c>
      <c r="O41" s="35">
        <v>80</v>
      </c>
      <c r="P41" s="37"/>
      <c r="Q41" s="20"/>
      <c r="R41" s="41"/>
      <c r="S41" s="37"/>
      <c r="T41" s="20"/>
      <c r="U41" s="35"/>
      <c r="V41" s="37"/>
      <c r="W41" s="20"/>
      <c r="X41" s="42"/>
      <c r="Y41" s="39"/>
      <c r="Z41" s="30"/>
      <c r="AA41" s="35"/>
      <c r="AB41" s="39"/>
      <c r="AC41" s="30"/>
      <c r="AD41" s="35"/>
      <c r="AE41" s="37"/>
      <c r="AF41" s="20"/>
      <c r="AG41" s="41"/>
      <c r="AH41" s="37"/>
      <c r="AI41" s="20"/>
      <c r="AJ41" s="35"/>
      <c r="AK41" s="37"/>
      <c r="AL41" s="20"/>
      <c r="AM41" s="42"/>
    </row>
    <row r="42" spans="1:39" x14ac:dyDescent="0.2">
      <c r="A42" s="20">
        <v>39</v>
      </c>
      <c r="B42" s="132" t="s">
        <v>236</v>
      </c>
      <c r="C42" s="133">
        <v>185.07</v>
      </c>
      <c r="D42" s="126"/>
      <c r="E42" s="29">
        <v>0</v>
      </c>
      <c r="F42" s="7">
        <v>0</v>
      </c>
      <c r="G42" s="36"/>
      <c r="H42" s="29">
        <v>0</v>
      </c>
      <c r="I42" s="35">
        <v>0</v>
      </c>
      <c r="J42" s="39">
        <v>0</v>
      </c>
      <c r="K42" s="30">
        <v>0</v>
      </c>
      <c r="L42" s="35">
        <v>0</v>
      </c>
      <c r="M42" s="39">
        <v>0</v>
      </c>
      <c r="N42" s="30">
        <v>0</v>
      </c>
      <c r="O42" s="35">
        <v>15</v>
      </c>
      <c r="P42" s="37"/>
      <c r="Q42" s="20"/>
      <c r="R42" s="41"/>
      <c r="S42" s="37"/>
      <c r="T42" s="20"/>
      <c r="U42" s="35"/>
      <c r="V42" s="37"/>
      <c r="W42" s="20"/>
      <c r="X42" s="43"/>
      <c r="Y42" s="39"/>
      <c r="Z42" s="30"/>
      <c r="AA42" s="35"/>
      <c r="AB42" s="39"/>
      <c r="AC42" s="30"/>
      <c r="AD42" s="35"/>
      <c r="AE42" s="37"/>
      <c r="AF42" s="20"/>
      <c r="AG42" s="41"/>
      <c r="AH42" s="37"/>
      <c r="AI42" s="20"/>
      <c r="AJ42" s="35"/>
      <c r="AK42" s="37"/>
      <c r="AL42" s="20"/>
      <c r="AM42" s="43"/>
    </row>
    <row r="43" spans="1:39" x14ac:dyDescent="0.2">
      <c r="A43" s="20">
        <v>40</v>
      </c>
      <c r="B43" s="132" t="s">
        <v>197</v>
      </c>
      <c r="C43" s="133">
        <v>52.11</v>
      </c>
      <c r="D43" s="126"/>
      <c r="E43" s="29">
        <v>42</v>
      </c>
      <c r="F43" s="7">
        <v>109</v>
      </c>
      <c r="G43" s="36">
        <v>60</v>
      </c>
      <c r="H43" s="29">
        <v>36</v>
      </c>
      <c r="I43" s="35">
        <v>100</v>
      </c>
      <c r="J43" s="39">
        <v>50</v>
      </c>
      <c r="K43" s="30">
        <v>32</v>
      </c>
      <c r="L43" s="35">
        <v>71</v>
      </c>
      <c r="M43" s="39">
        <v>106</v>
      </c>
      <c r="N43" s="30">
        <v>84</v>
      </c>
      <c r="O43" s="35">
        <v>84</v>
      </c>
      <c r="P43" s="37"/>
      <c r="Q43" s="20"/>
      <c r="R43" s="41"/>
      <c r="S43" s="37"/>
      <c r="T43" s="20"/>
      <c r="U43" s="35"/>
      <c r="V43" s="37"/>
      <c r="W43" s="20"/>
      <c r="X43" s="43"/>
      <c r="Y43" s="39"/>
      <c r="Z43" s="30"/>
      <c r="AA43" s="35"/>
      <c r="AB43" s="39"/>
      <c r="AC43" s="30"/>
      <c r="AD43" s="35"/>
      <c r="AE43" s="37"/>
      <c r="AF43" s="20"/>
      <c r="AG43" s="41"/>
      <c r="AH43" s="37"/>
      <c r="AI43" s="20"/>
      <c r="AJ43" s="35"/>
      <c r="AK43" s="37"/>
      <c r="AL43" s="20"/>
      <c r="AM43" s="43"/>
    </row>
    <row r="44" spans="1:39" x14ac:dyDescent="0.2">
      <c r="A44" s="20">
        <v>41</v>
      </c>
      <c r="B44" s="132" t="s">
        <v>198</v>
      </c>
      <c r="C44" s="133">
        <v>52.68</v>
      </c>
      <c r="D44" s="126"/>
      <c r="E44" s="29">
        <v>0</v>
      </c>
      <c r="F44" s="7">
        <v>33</v>
      </c>
      <c r="G44" s="36"/>
      <c r="H44" s="29">
        <v>0</v>
      </c>
      <c r="I44" s="35">
        <v>0</v>
      </c>
      <c r="J44" s="39">
        <v>0</v>
      </c>
      <c r="K44" s="30">
        <v>0</v>
      </c>
      <c r="L44" s="35">
        <v>0</v>
      </c>
      <c r="M44" s="39">
        <v>0</v>
      </c>
      <c r="N44" s="30">
        <v>0</v>
      </c>
      <c r="O44" s="35">
        <v>30</v>
      </c>
      <c r="P44" s="37"/>
      <c r="Q44" s="20"/>
      <c r="R44" s="41"/>
      <c r="S44" s="37"/>
      <c r="T44" s="20"/>
      <c r="U44" s="35"/>
      <c r="V44" s="37"/>
      <c r="W44" s="20"/>
      <c r="X44" s="43"/>
      <c r="Y44" s="39"/>
      <c r="Z44" s="30"/>
      <c r="AA44" s="35"/>
      <c r="AB44" s="39"/>
      <c r="AC44" s="30"/>
      <c r="AD44" s="35"/>
      <c r="AE44" s="37"/>
      <c r="AF44" s="20"/>
      <c r="AG44" s="41"/>
      <c r="AH44" s="37"/>
      <c r="AI44" s="20"/>
      <c r="AJ44" s="35"/>
      <c r="AK44" s="37"/>
      <c r="AL44" s="20"/>
      <c r="AM44" s="43"/>
    </row>
    <row r="45" spans="1:39" x14ac:dyDescent="0.2">
      <c r="A45" s="20">
        <v>42</v>
      </c>
      <c r="B45" s="132" t="s">
        <v>237</v>
      </c>
      <c r="C45" s="133">
        <v>171.36</v>
      </c>
      <c r="D45" s="126"/>
      <c r="E45" s="29">
        <v>0</v>
      </c>
      <c r="F45" s="7">
        <v>0</v>
      </c>
      <c r="G45" s="36">
        <v>60</v>
      </c>
      <c r="H45" s="29">
        <v>56</v>
      </c>
      <c r="I45" s="35">
        <v>19</v>
      </c>
      <c r="J45" s="39">
        <v>60</v>
      </c>
      <c r="K45" s="30">
        <v>38</v>
      </c>
      <c r="L45" s="35">
        <v>41</v>
      </c>
      <c r="M45" s="39">
        <v>60</v>
      </c>
      <c r="N45" s="30">
        <v>42</v>
      </c>
      <c r="O45" s="35">
        <v>68</v>
      </c>
      <c r="P45" s="37"/>
      <c r="Q45" s="20"/>
      <c r="R45" s="41"/>
      <c r="S45" s="37"/>
      <c r="T45" s="20"/>
      <c r="U45" s="35"/>
      <c r="V45" s="37"/>
      <c r="W45" s="20"/>
      <c r="X45" s="43"/>
      <c r="Y45" s="39"/>
      <c r="Z45" s="30"/>
      <c r="AA45" s="35"/>
      <c r="AB45" s="39"/>
      <c r="AC45" s="30"/>
      <c r="AD45" s="35"/>
      <c r="AE45" s="37"/>
      <c r="AF45" s="20"/>
      <c r="AG45" s="41"/>
      <c r="AH45" s="37"/>
      <c r="AI45" s="20"/>
      <c r="AJ45" s="35"/>
      <c r="AK45" s="37"/>
      <c r="AL45" s="20"/>
      <c r="AM45" s="43"/>
    </row>
    <row r="46" spans="1:39" x14ac:dyDescent="0.2">
      <c r="A46" s="20">
        <v>43</v>
      </c>
      <c r="B46" s="132" t="s">
        <v>238</v>
      </c>
      <c r="C46" s="133">
        <v>171.36</v>
      </c>
      <c r="D46" s="126"/>
      <c r="E46" s="29">
        <v>0</v>
      </c>
      <c r="F46" s="7">
        <v>0</v>
      </c>
      <c r="G46" s="36">
        <v>30</v>
      </c>
      <c r="H46" s="29">
        <v>0</v>
      </c>
      <c r="I46" s="35">
        <v>0</v>
      </c>
      <c r="J46" s="39">
        <v>30</v>
      </c>
      <c r="K46" s="30">
        <v>31</v>
      </c>
      <c r="L46" s="35">
        <v>14</v>
      </c>
      <c r="M46" s="39">
        <v>0</v>
      </c>
      <c r="N46" s="30">
        <v>14</v>
      </c>
      <c r="O46" s="35">
        <v>30</v>
      </c>
      <c r="P46" s="37"/>
      <c r="Q46" s="20"/>
      <c r="R46" s="41"/>
      <c r="S46" s="37"/>
      <c r="T46" s="20"/>
      <c r="U46" s="35"/>
      <c r="V46" s="37"/>
      <c r="W46" s="20"/>
      <c r="X46" s="43"/>
      <c r="Y46" s="39"/>
      <c r="Z46" s="30"/>
      <c r="AA46" s="35"/>
      <c r="AB46" s="39"/>
      <c r="AC46" s="30"/>
      <c r="AD46" s="35"/>
      <c r="AE46" s="37"/>
      <c r="AF46" s="20"/>
      <c r="AG46" s="41"/>
      <c r="AH46" s="37"/>
      <c r="AI46" s="20"/>
      <c r="AJ46" s="35"/>
      <c r="AK46" s="37"/>
      <c r="AL46" s="20"/>
      <c r="AM46" s="43"/>
    </row>
    <row r="47" spans="1:39" x14ac:dyDescent="0.2">
      <c r="A47" s="20">
        <v>44</v>
      </c>
      <c r="B47" t="s">
        <v>782</v>
      </c>
      <c r="C47" s="133">
        <v>171.36</v>
      </c>
      <c r="D47" s="126"/>
      <c r="E47" s="29"/>
      <c r="F47" s="7"/>
      <c r="G47" s="36"/>
      <c r="H47" s="29"/>
      <c r="I47" s="35"/>
      <c r="J47" s="39">
        <v>50</v>
      </c>
      <c r="K47" s="30">
        <v>30</v>
      </c>
      <c r="L47" s="35">
        <v>0</v>
      </c>
      <c r="M47" s="39">
        <v>30</v>
      </c>
      <c r="N47" s="30">
        <v>0</v>
      </c>
      <c r="O47" s="35">
        <v>60</v>
      </c>
      <c r="P47" s="37"/>
      <c r="Q47" s="20"/>
      <c r="R47" s="41"/>
      <c r="S47" s="37"/>
      <c r="T47" s="20"/>
      <c r="U47" s="35"/>
      <c r="V47" s="37"/>
      <c r="W47" s="20"/>
      <c r="X47" s="43"/>
      <c r="Y47" s="39"/>
      <c r="Z47" s="30"/>
      <c r="AA47" s="35"/>
      <c r="AB47" s="39"/>
      <c r="AC47" s="30"/>
      <c r="AD47" s="35"/>
      <c r="AE47" s="37"/>
      <c r="AF47" s="20"/>
      <c r="AG47" s="41"/>
      <c r="AH47" s="37"/>
      <c r="AI47" s="20"/>
      <c r="AJ47" s="35"/>
      <c r="AK47" s="37"/>
      <c r="AL47" s="20"/>
      <c r="AM47" s="43"/>
    </row>
    <row r="48" spans="1:39" x14ac:dyDescent="0.2">
      <c r="A48" s="20">
        <v>45</v>
      </c>
      <c r="B48" s="132" t="s">
        <v>155</v>
      </c>
      <c r="C48" s="133">
        <v>115.9</v>
      </c>
      <c r="D48" s="126">
        <v>200</v>
      </c>
      <c r="E48" s="29">
        <v>199</v>
      </c>
      <c r="F48" s="7">
        <v>135</v>
      </c>
      <c r="G48" s="36">
        <v>120</v>
      </c>
      <c r="H48" s="29">
        <v>112</v>
      </c>
      <c r="I48" s="35">
        <v>167</v>
      </c>
      <c r="J48" s="39">
        <v>60</v>
      </c>
      <c r="K48" s="30">
        <v>186</v>
      </c>
      <c r="L48" s="35">
        <v>108</v>
      </c>
      <c r="M48" s="39">
        <v>331</v>
      </c>
      <c r="N48" s="30">
        <v>118</v>
      </c>
      <c r="O48" s="35">
        <v>97</v>
      </c>
      <c r="P48" s="37"/>
      <c r="Q48" s="20"/>
      <c r="R48" s="41"/>
      <c r="S48" s="37"/>
      <c r="T48" s="20"/>
      <c r="U48" s="35"/>
      <c r="V48" s="37"/>
      <c r="W48" s="20"/>
      <c r="X48" s="43"/>
      <c r="Y48" s="39"/>
      <c r="Z48" s="30"/>
      <c r="AA48" s="35"/>
      <c r="AB48" s="39"/>
      <c r="AC48" s="30"/>
      <c r="AD48" s="35"/>
      <c r="AE48" s="37"/>
      <c r="AF48" s="20"/>
      <c r="AG48" s="41"/>
      <c r="AH48" s="37"/>
      <c r="AI48" s="20"/>
      <c r="AJ48" s="35"/>
      <c r="AK48" s="37"/>
      <c r="AL48" s="20"/>
      <c r="AM48" s="43"/>
    </row>
    <row r="49" spans="1:39" x14ac:dyDescent="0.2">
      <c r="A49" s="20">
        <v>46</v>
      </c>
      <c r="B49" s="132" t="s">
        <v>200</v>
      </c>
      <c r="C49" s="133">
        <v>108.2</v>
      </c>
      <c r="D49" s="126">
        <v>42</v>
      </c>
      <c r="E49" s="29">
        <v>35</v>
      </c>
      <c r="F49" s="7">
        <v>65</v>
      </c>
      <c r="G49" s="36">
        <v>15</v>
      </c>
      <c r="H49" s="29">
        <v>9</v>
      </c>
      <c r="I49" s="35">
        <v>70</v>
      </c>
      <c r="J49" s="39">
        <v>0</v>
      </c>
      <c r="K49" s="30">
        <v>13</v>
      </c>
      <c r="L49" s="35">
        <v>79</v>
      </c>
      <c r="M49" s="39">
        <v>-2</v>
      </c>
      <c r="N49" s="30">
        <v>16</v>
      </c>
      <c r="O49" s="35">
        <v>95</v>
      </c>
      <c r="P49" s="37"/>
      <c r="Q49" s="20"/>
      <c r="R49" s="41"/>
      <c r="S49" s="37"/>
      <c r="T49" s="20"/>
      <c r="U49" s="35"/>
      <c r="V49" s="37"/>
      <c r="W49" s="20"/>
      <c r="X49" s="43"/>
      <c r="Y49" s="39"/>
      <c r="Z49" s="30"/>
      <c r="AA49" s="35"/>
      <c r="AB49" s="39"/>
      <c r="AC49" s="30"/>
      <c r="AD49" s="35"/>
      <c r="AE49" s="37"/>
      <c r="AF49" s="20"/>
      <c r="AG49" s="41"/>
      <c r="AH49" s="37"/>
      <c r="AI49" s="20"/>
      <c r="AJ49" s="35"/>
      <c r="AK49" s="37"/>
      <c r="AL49" s="20"/>
      <c r="AM49" s="43"/>
    </row>
    <row r="50" spans="1:39" x14ac:dyDescent="0.2">
      <c r="A50" s="20">
        <v>47</v>
      </c>
      <c r="B50" s="132" t="s">
        <v>201</v>
      </c>
      <c r="C50" s="133">
        <v>108.2</v>
      </c>
      <c r="D50" s="126">
        <v>20</v>
      </c>
      <c r="E50" s="6">
        <v>34</v>
      </c>
      <c r="F50" s="35">
        <v>116</v>
      </c>
      <c r="G50" s="37">
        <v>40</v>
      </c>
      <c r="H50" s="20">
        <v>24</v>
      </c>
      <c r="I50" s="35">
        <v>160</v>
      </c>
      <c r="J50" s="37">
        <v>15</v>
      </c>
      <c r="K50" s="20">
        <v>22</v>
      </c>
      <c r="L50" s="35">
        <v>73</v>
      </c>
      <c r="M50" s="39">
        <v>29</v>
      </c>
      <c r="N50" s="30">
        <v>49</v>
      </c>
      <c r="O50" s="35">
        <v>92</v>
      </c>
      <c r="P50" s="37"/>
      <c r="Q50" s="20"/>
      <c r="R50" s="35"/>
      <c r="S50" s="37"/>
      <c r="T50" s="20"/>
      <c r="U50" s="35"/>
      <c r="V50" s="37"/>
      <c r="W50" s="20"/>
      <c r="X50" s="35"/>
      <c r="Y50" s="37"/>
      <c r="Z50" s="20"/>
      <c r="AA50" s="35"/>
      <c r="AB50" s="39"/>
      <c r="AC50" s="30"/>
      <c r="AD50" s="35"/>
      <c r="AE50" s="37"/>
      <c r="AF50" s="20"/>
      <c r="AG50" s="35"/>
      <c r="AH50" s="37"/>
      <c r="AI50" s="20"/>
      <c r="AJ50" s="35"/>
      <c r="AK50" s="37"/>
      <c r="AL50" s="20"/>
      <c r="AM50" s="35"/>
    </row>
    <row r="51" spans="1:39" x14ac:dyDescent="0.2">
      <c r="A51" s="20">
        <v>48</v>
      </c>
      <c r="B51" s="132" t="s">
        <v>199</v>
      </c>
      <c r="C51" s="133">
        <v>250.07</v>
      </c>
      <c r="D51" s="126"/>
      <c r="E51" s="6">
        <v>2</v>
      </c>
      <c r="F51" s="7">
        <v>76</v>
      </c>
      <c r="G51" s="5"/>
      <c r="H51" s="6">
        <v>3</v>
      </c>
      <c r="I51" s="7">
        <v>41</v>
      </c>
      <c r="J51" s="5">
        <v>0</v>
      </c>
      <c r="K51" s="6">
        <v>6</v>
      </c>
      <c r="L51" s="7">
        <v>35</v>
      </c>
      <c r="M51" s="5">
        <v>0</v>
      </c>
      <c r="N51" s="6">
        <v>0</v>
      </c>
      <c r="O51" s="7">
        <v>111</v>
      </c>
      <c r="P51" s="5"/>
      <c r="Q51" s="6"/>
      <c r="R51" s="7"/>
      <c r="S51" s="5"/>
      <c r="T51" s="6"/>
      <c r="U51" s="7"/>
      <c r="V51" s="5"/>
      <c r="W51" s="6"/>
      <c r="X51" s="7"/>
      <c r="Y51" s="5"/>
      <c r="Z51" s="6"/>
      <c r="AA51" s="7"/>
      <c r="AB51" s="5"/>
      <c r="AC51" s="6"/>
      <c r="AD51" s="7"/>
      <c r="AE51" s="5"/>
      <c r="AF51" s="6"/>
      <c r="AG51" s="7"/>
      <c r="AH51" s="5"/>
      <c r="AI51" s="6"/>
      <c r="AJ51" s="7"/>
      <c r="AK51" s="5"/>
      <c r="AL51" s="6"/>
      <c r="AM51" s="7"/>
    </row>
    <row r="52" spans="1:39" x14ac:dyDescent="0.2">
      <c r="A52" s="20">
        <v>49</v>
      </c>
      <c r="B52" s="132" t="s">
        <v>202</v>
      </c>
      <c r="C52" s="133">
        <v>110.8</v>
      </c>
      <c r="D52" s="126"/>
      <c r="E52" s="6">
        <v>0</v>
      </c>
      <c r="F52" s="7">
        <v>0</v>
      </c>
      <c r="G52" s="5"/>
      <c r="H52" s="6">
        <v>0</v>
      </c>
      <c r="I52" s="7">
        <v>0</v>
      </c>
      <c r="J52" s="5">
        <v>0</v>
      </c>
      <c r="K52" s="6">
        <v>3</v>
      </c>
      <c r="L52" s="7">
        <v>7</v>
      </c>
      <c r="M52" s="5">
        <v>10</v>
      </c>
      <c r="N52" s="6">
        <v>7</v>
      </c>
      <c r="O52" s="7">
        <v>40</v>
      </c>
      <c r="P52" s="5"/>
      <c r="Q52" s="6"/>
      <c r="R52" s="7"/>
      <c r="S52" s="5"/>
      <c r="T52" s="6"/>
      <c r="U52" s="7"/>
      <c r="V52" s="5"/>
      <c r="W52" s="6"/>
      <c r="X52" s="7"/>
      <c r="Y52" s="5"/>
      <c r="Z52" s="6"/>
      <c r="AA52" s="7"/>
      <c r="AB52" s="5"/>
      <c r="AC52" s="6"/>
      <c r="AD52" s="7"/>
      <c r="AE52" s="5"/>
      <c r="AF52" s="6"/>
      <c r="AG52" s="7"/>
      <c r="AH52" s="5"/>
      <c r="AI52" s="6"/>
      <c r="AJ52" s="7"/>
      <c r="AK52" s="5"/>
      <c r="AL52" s="6"/>
      <c r="AM52" s="7"/>
    </row>
    <row r="53" spans="1:39" x14ac:dyDescent="0.2">
      <c r="A53" s="20">
        <v>50</v>
      </c>
      <c r="B53" s="132" t="s">
        <v>159</v>
      </c>
      <c r="C53" s="133">
        <v>98.82</v>
      </c>
      <c r="D53" s="126">
        <v>69</v>
      </c>
      <c r="E53" s="6">
        <v>116</v>
      </c>
      <c r="F53" s="7">
        <v>111</v>
      </c>
      <c r="G53" s="5">
        <v>70</v>
      </c>
      <c r="H53" s="6">
        <v>95</v>
      </c>
      <c r="I53" s="7">
        <v>25</v>
      </c>
      <c r="J53" s="5">
        <v>60</v>
      </c>
      <c r="K53" s="6">
        <v>59</v>
      </c>
      <c r="L53" s="7">
        <v>37</v>
      </c>
      <c r="M53" s="5">
        <v>225</v>
      </c>
      <c r="N53" s="6">
        <v>143</v>
      </c>
      <c r="O53" s="7">
        <v>80</v>
      </c>
      <c r="P53" s="5"/>
      <c r="Q53" s="6"/>
      <c r="R53" s="7"/>
      <c r="S53" s="5"/>
      <c r="T53" s="6"/>
      <c r="U53" s="7"/>
      <c r="V53" s="5"/>
      <c r="W53" s="6"/>
      <c r="X53" s="7"/>
      <c r="Y53" s="5"/>
      <c r="Z53" s="6"/>
      <c r="AA53" s="7"/>
      <c r="AB53" s="5"/>
      <c r="AC53" s="6"/>
      <c r="AD53" s="7"/>
      <c r="AE53" s="5"/>
      <c r="AF53" s="6"/>
      <c r="AG53" s="7"/>
      <c r="AH53" s="5"/>
      <c r="AI53" s="6"/>
      <c r="AJ53" s="7"/>
      <c r="AK53" s="5"/>
      <c r="AL53" s="6"/>
      <c r="AM53" s="7"/>
    </row>
    <row r="54" spans="1:39" x14ac:dyDescent="0.2">
      <c r="A54" s="20">
        <v>51</v>
      </c>
      <c r="B54" s="132" t="s">
        <v>160</v>
      </c>
      <c r="C54" s="133">
        <v>74.349999999999994</v>
      </c>
      <c r="D54" s="127">
        <v>20</v>
      </c>
      <c r="E54" s="12">
        <v>29</v>
      </c>
      <c r="F54" s="13">
        <v>34</v>
      </c>
      <c r="G54" s="38">
        <v>10</v>
      </c>
      <c r="H54" s="6">
        <v>24</v>
      </c>
      <c r="I54" s="13">
        <v>26</v>
      </c>
      <c r="J54" s="38">
        <v>41</v>
      </c>
      <c r="K54" s="12">
        <v>42</v>
      </c>
      <c r="L54" s="13">
        <v>12</v>
      </c>
      <c r="M54" s="38">
        <v>80</v>
      </c>
      <c r="N54" s="12">
        <v>41</v>
      </c>
      <c r="O54" s="13">
        <v>71</v>
      </c>
      <c r="P54" s="38"/>
      <c r="Q54" s="12"/>
      <c r="R54" s="13"/>
      <c r="S54" s="38"/>
      <c r="T54" s="12"/>
      <c r="U54" s="13"/>
      <c r="V54" s="38"/>
      <c r="W54" s="12"/>
      <c r="X54" s="13"/>
      <c r="Y54" s="38"/>
      <c r="Z54" s="12"/>
      <c r="AA54" s="13"/>
      <c r="AB54" s="38"/>
      <c r="AC54" s="12"/>
      <c r="AD54" s="13"/>
      <c r="AE54" s="38"/>
      <c r="AF54" s="12"/>
      <c r="AG54" s="13"/>
      <c r="AH54" s="38"/>
      <c r="AI54" s="12"/>
      <c r="AJ54" s="13"/>
      <c r="AK54" s="38"/>
      <c r="AL54" s="12"/>
      <c r="AM54" s="13"/>
    </row>
    <row r="55" spans="1:39" x14ac:dyDescent="0.2">
      <c r="A55" s="20">
        <v>52</v>
      </c>
      <c r="B55" s="132" t="s">
        <v>161</v>
      </c>
      <c r="C55" s="133">
        <v>81.680000000000007</v>
      </c>
      <c r="D55" s="127">
        <v>170</v>
      </c>
      <c r="E55" s="12">
        <v>171</v>
      </c>
      <c r="F55" s="13">
        <v>243</v>
      </c>
      <c r="G55" s="38">
        <v>220</v>
      </c>
      <c r="H55" s="12">
        <v>259</v>
      </c>
      <c r="I55" s="13">
        <v>206</v>
      </c>
      <c r="J55" s="38">
        <v>246</v>
      </c>
      <c r="K55" s="12">
        <v>239</v>
      </c>
      <c r="L55" s="13">
        <v>108</v>
      </c>
      <c r="M55" s="38">
        <v>154</v>
      </c>
      <c r="N55" s="12">
        <v>216</v>
      </c>
      <c r="O55" s="13">
        <v>232</v>
      </c>
      <c r="P55" s="38"/>
      <c r="Q55" s="12"/>
      <c r="R55" s="13"/>
      <c r="S55" s="38"/>
      <c r="T55" s="12"/>
      <c r="U55" s="13"/>
      <c r="V55" s="38"/>
      <c r="W55" s="12"/>
      <c r="X55" s="13"/>
      <c r="Y55" s="38"/>
      <c r="Z55" s="12"/>
      <c r="AA55" s="13"/>
      <c r="AB55" s="38"/>
      <c r="AC55" s="12"/>
      <c r="AD55" s="13"/>
      <c r="AE55" s="38"/>
      <c r="AF55" s="12"/>
      <c r="AG55" s="13"/>
      <c r="AH55" s="38"/>
      <c r="AI55" s="12"/>
      <c r="AJ55" s="13"/>
      <c r="AK55" s="38"/>
      <c r="AL55" s="12"/>
      <c r="AM55" s="13"/>
    </row>
    <row r="56" spans="1:39" x14ac:dyDescent="0.2">
      <c r="A56" s="20">
        <v>53</v>
      </c>
      <c r="B56" s="132" t="s">
        <v>162</v>
      </c>
      <c r="C56" s="133">
        <v>27.4</v>
      </c>
      <c r="D56" s="127"/>
      <c r="E56" s="12">
        <v>43</v>
      </c>
      <c r="F56" s="13">
        <v>148</v>
      </c>
      <c r="G56" s="38"/>
      <c r="H56" s="12">
        <v>83</v>
      </c>
      <c r="I56" s="13">
        <v>44</v>
      </c>
      <c r="J56" s="38">
        <v>130</v>
      </c>
      <c r="K56" s="12">
        <v>136</v>
      </c>
      <c r="L56" s="13">
        <v>124</v>
      </c>
      <c r="M56" s="38">
        <v>50</v>
      </c>
      <c r="N56" s="12">
        <v>143</v>
      </c>
      <c r="O56" s="13">
        <v>156</v>
      </c>
      <c r="P56" s="38"/>
      <c r="Q56" s="12"/>
      <c r="R56" s="13"/>
      <c r="S56" s="38"/>
      <c r="T56" s="12"/>
      <c r="U56" s="13"/>
      <c r="V56" s="38"/>
      <c r="W56" s="12"/>
      <c r="X56" s="13"/>
      <c r="Y56" s="38"/>
      <c r="Z56" s="12"/>
      <c r="AA56" s="13"/>
      <c r="AB56" s="38"/>
      <c r="AC56" s="12"/>
      <c r="AD56" s="13"/>
      <c r="AE56" s="38"/>
      <c r="AF56" s="12"/>
      <c r="AG56" s="13"/>
      <c r="AH56" s="38"/>
      <c r="AI56" s="12"/>
      <c r="AJ56" s="13"/>
      <c r="AK56" s="38"/>
      <c r="AL56" s="12"/>
      <c r="AM56" s="13"/>
    </row>
    <row r="57" spans="1:39" x14ac:dyDescent="0.2">
      <c r="A57" s="20">
        <v>54</v>
      </c>
      <c r="B57" s="132" t="s">
        <v>163</v>
      </c>
      <c r="C57" s="133">
        <v>13.19</v>
      </c>
      <c r="D57" s="127">
        <v>309</v>
      </c>
      <c r="E57" s="12">
        <v>1247</v>
      </c>
      <c r="F57" s="13">
        <v>186</v>
      </c>
      <c r="G57" s="38">
        <v>255</v>
      </c>
      <c r="H57" s="12">
        <v>935</v>
      </c>
      <c r="I57" s="13">
        <v>167</v>
      </c>
      <c r="J57" s="38">
        <v>1640</v>
      </c>
      <c r="K57" s="12">
        <v>1584</v>
      </c>
      <c r="L57" s="13">
        <v>165</v>
      </c>
      <c r="M57" s="38">
        <v>200</v>
      </c>
      <c r="N57" s="12">
        <v>1190</v>
      </c>
      <c r="O57" s="13">
        <v>339</v>
      </c>
      <c r="P57" s="38"/>
      <c r="Q57" s="12"/>
      <c r="R57" s="13"/>
      <c r="S57" s="38"/>
      <c r="T57" s="12"/>
      <c r="U57" s="13"/>
      <c r="V57" s="38"/>
      <c r="W57" s="12"/>
      <c r="X57" s="13"/>
      <c r="Y57" s="38"/>
      <c r="Z57" s="12"/>
      <c r="AA57" s="13"/>
      <c r="AB57" s="38"/>
      <c r="AC57" s="12"/>
      <c r="AD57" s="13"/>
      <c r="AE57" s="38"/>
      <c r="AF57" s="12"/>
      <c r="AG57" s="13"/>
      <c r="AH57" s="38"/>
      <c r="AI57" s="12"/>
      <c r="AJ57" s="13"/>
      <c r="AK57" s="38"/>
      <c r="AL57" s="12"/>
      <c r="AM57" s="13"/>
    </row>
    <row r="58" spans="1:39" x14ac:dyDescent="0.2">
      <c r="A58" s="20">
        <v>55</v>
      </c>
      <c r="B58" s="132" t="s">
        <v>164</v>
      </c>
      <c r="C58" s="133">
        <v>26.37</v>
      </c>
      <c r="D58" s="127">
        <v>100</v>
      </c>
      <c r="E58" s="12">
        <v>119</v>
      </c>
      <c r="F58" s="13">
        <v>89</v>
      </c>
      <c r="G58" s="38"/>
      <c r="H58" s="12">
        <v>25</v>
      </c>
      <c r="I58" s="13">
        <v>75</v>
      </c>
      <c r="J58" s="38">
        <v>230</v>
      </c>
      <c r="K58" s="12">
        <v>13</v>
      </c>
      <c r="L58" s="13">
        <v>49</v>
      </c>
      <c r="M58" s="38">
        <v>-221</v>
      </c>
      <c r="N58" s="12">
        <v>15</v>
      </c>
      <c r="O58" s="13">
        <v>55</v>
      </c>
      <c r="P58" s="38"/>
      <c r="Q58" s="12"/>
      <c r="R58" s="13"/>
      <c r="S58" s="38"/>
      <c r="T58" s="12"/>
      <c r="U58" s="13"/>
      <c r="V58" s="38"/>
      <c r="W58" s="12"/>
      <c r="X58" s="13"/>
      <c r="Y58" s="38"/>
      <c r="Z58" s="12"/>
      <c r="AA58" s="13"/>
      <c r="AB58" s="38"/>
      <c r="AC58" s="12"/>
      <c r="AD58" s="13"/>
      <c r="AE58" s="38"/>
      <c r="AF58" s="12"/>
      <c r="AG58" s="13"/>
      <c r="AH58" s="38"/>
      <c r="AI58" s="12"/>
      <c r="AJ58" s="13"/>
      <c r="AK58" s="38"/>
      <c r="AL58" s="12"/>
      <c r="AM58" s="13"/>
    </row>
    <row r="59" spans="1:39" s="103" customFormat="1" x14ac:dyDescent="0.2">
      <c r="A59" s="20">
        <v>56</v>
      </c>
      <c r="B59" s="132" t="s">
        <v>239</v>
      </c>
      <c r="C59" s="133">
        <v>73</v>
      </c>
      <c r="D59" s="184">
        <v>370</v>
      </c>
      <c r="E59" s="6">
        <v>493</v>
      </c>
      <c r="F59" s="6">
        <v>126</v>
      </c>
      <c r="G59" s="6">
        <v>510</v>
      </c>
      <c r="H59" s="12">
        <v>408</v>
      </c>
      <c r="I59" s="6">
        <v>46</v>
      </c>
      <c r="J59" s="6">
        <v>113</v>
      </c>
      <c r="K59" s="6">
        <v>415</v>
      </c>
      <c r="L59" s="6">
        <v>135</v>
      </c>
      <c r="M59" s="6">
        <v>370</v>
      </c>
      <c r="N59" s="6">
        <v>185</v>
      </c>
      <c r="O59" s="6">
        <v>534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pans="1:39" x14ac:dyDescent="0.2">
      <c r="A60" s="20">
        <v>57</v>
      </c>
      <c r="B60" s="132" t="s">
        <v>167</v>
      </c>
      <c r="C60" s="133">
        <v>72.349999999999994</v>
      </c>
      <c r="D60" s="128"/>
      <c r="E60" s="102">
        <v>0</v>
      </c>
      <c r="F60" s="102">
        <v>0</v>
      </c>
      <c r="G60" s="102"/>
      <c r="H60" s="102">
        <v>0</v>
      </c>
      <c r="I60" s="102">
        <v>0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</row>
    <row r="61" spans="1:39" x14ac:dyDescent="0.2">
      <c r="A61" s="20">
        <v>58</v>
      </c>
      <c r="B61" s="132" t="s">
        <v>203</v>
      </c>
      <c r="C61" s="133">
        <v>103.84</v>
      </c>
      <c r="D61" s="129">
        <v>170</v>
      </c>
      <c r="E61" s="31">
        <v>147</v>
      </c>
      <c r="F61" s="31">
        <v>221</v>
      </c>
      <c r="G61" s="31">
        <v>70</v>
      </c>
      <c r="H61" s="31">
        <v>96</v>
      </c>
      <c r="I61" s="31">
        <v>120</v>
      </c>
      <c r="J61" s="31">
        <v>630</v>
      </c>
      <c r="K61" s="31">
        <v>77</v>
      </c>
      <c r="L61" s="31">
        <v>92</v>
      </c>
      <c r="M61" s="31">
        <v>-491</v>
      </c>
      <c r="N61" s="31">
        <v>99</v>
      </c>
      <c r="O61" s="31">
        <v>218</v>
      </c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</row>
    <row r="62" spans="1:39" x14ac:dyDescent="0.2">
      <c r="A62" s="20">
        <v>59</v>
      </c>
      <c r="B62" s="132" t="s">
        <v>204</v>
      </c>
      <c r="C62" s="133">
        <v>62.93</v>
      </c>
      <c r="D62" s="129"/>
      <c r="E62" s="31">
        <v>3</v>
      </c>
      <c r="F62" s="31">
        <v>7</v>
      </c>
      <c r="G62" s="31">
        <v>20</v>
      </c>
      <c r="H62" s="31">
        <v>5</v>
      </c>
      <c r="I62" s="31">
        <v>18</v>
      </c>
      <c r="J62" s="31">
        <v>10</v>
      </c>
      <c r="K62" s="31">
        <v>10</v>
      </c>
      <c r="L62" s="31">
        <v>0</v>
      </c>
      <c r="M62" s="31">
        <v>20</v>
      </c>
      <c r="N62" s="31">
        <v>6</v>
      </c>
      <c r="O62" s="31">
        <v>16</v>
      </c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</row>
    <row r="63" spans="1:39" x14ac:dyDescent="0.2">
      <c r="A63" s="20">
        <v>60</v>
      </c>
      <c r="B63" s="132" t="s">
        <v>168</v>
      </c>
      <c r="C63" s="133">
        <v>80.900000000000006</v>
      </c>
      <c r="D63" s="129">
        <v>40</v>
      </c>
      <c r="E63" s="31">
        <v>85</v>
      </c>
      <c r="F63" s="31">
        <v>118</v>
      </c>
      <c r="G63" s="31">
        <v>170</v>
      </c>
      <c r="H63" s="31">
        <v>135</v>
      </c>
      <c r="I63" s="31">
        <v>63</v>
      </c>
      <c r="J63" s="31">
        <v>380</v>
      </c>
      <c r="K63" s="31">
        <v>108</v>
      </c>
      <c r="L63" s="31">
        <v>94</v>
      </c>
      <c r="M63" s="31">
        <v>-200</v>
      </c>
      <c r="N63" s="31">
        <v>104</v>
      </c>
      <c r="O63" s="31">
        <v>76</v>
      </c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</row>
    <row r="64" spans="1:39" x14ac:dyDescent="0.2">
      <c r="A64" s="20">
        <v>61</v>
      </c>
      <c r="B64" t="s">
        <v>783</v>
      </c>
      <c r="C64" s="133">
        <v>126.17</v>
      </c>
      <c r="D64" s="129"/>
      <c r="E64" s="31"/>
      <c r="F64" s="31"/>
      <c r="G64" s="31"/>
      <c r="H64" s="31"/>
      <c r="I64" s="31"/>
      <c r="J64" s="31">
        <v>0</v>
      </c>
      <c r="K64" s="31">
        <v>0</v>
      </c>
      <c r="L64" s="31">
        <v>0</v>
      </c>
      <c r="M64" s="31">
        <v>150</v>
      </c>
      <c r="N64" s="31">
        <v>0</v>
      </c>
      <c r="O64" s="31">
        <v>0</v>
      </c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</row>
    <row r="65" spans="1:39" x14ac:dyDescent="0.2">
      <c r="A65" s="20">
        <v>62</v>
      </c>
      <c r="B65" s="132" t="s">
        <v>169</v>
      </c>
      <c r="C65" s="133">
        <v>126.3</v>
      </c>
      <c r="D65" s="129">
        <v>922</v>
      </c>
      <c r="E65" s="31">
        <v>1048</v>
      </c>
      <c r="F65" s="31">
        <v>546</v>
      </c>
      <c r="G65" s="31">
        <v>548</v>
      </c>
      <c r="H65" s="31">
        <v>850</v>
      </c>
      <c r="I65" s="31">
        <v>500</v>
      </c>
      <c r="J65" s="31">
        <v>698</v>
      </c>
      <c r="K65" s="31">
        <v>926</v>
      </c>
      <c r="L65" s="31">
        <v>252</v>
      </c>
      <c r="M65" s="31">
        <v>1042</v>
      </c>
      <c r="N65" s="31">
        <v>987</v>
      </c>
      <c r="O65" s="31">
        <v>615</v>
      </c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</row>
    <row r="66" spans="1:39" x14ac:dyDescent="0.2">
      <c r="A66" s="20">
        <v>63</v>
      </c>
      <c r="B66" s="132" t="s">
        <v>240</v>
      </c>
      <c r="C66" s="133">
        <v>124.07</v>
      </c>
      <c r="D66" s="129">
        <v>43</v>
      </c>
      <c r="E66" s="31">
        <v>91</v>
      </c>
      <c r="F66" s="31">
        <v>84</v>
      </c>
      <c r="G66" s="31">
        <v>160</v>
      </c>
      <c r="H66" s="31">
        <v>150</v>
      </c>
      <c r="I66" s="31">
        <v>128</v>
      </c>
      <c r="J66" s="31">
        <v>91</v>
      </c>
      <c r="K66" s="31">
        <v>141</v>
      </c>
      <c r="L66" s="31">
        <v>143</v>
      </c>
      <c r="M66" s="31">
        <v>44</v>
      </c>
      <c r="N66" s="31">
        <v>113</v>
      </c>
      <c r="O66" s="31">
        <v>167</v>
      </c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</row>
    <row r="67" spans="1:39" x14ac:dyDescent="0.2">
      <c r="A67" s="20">
        <v>64</v>
      </c>
      <c r="B67" s="132" t="s">
        <v>171</v>
      </c>
      <c r="C67" s="133">
        <v>104.78</v>
      </c>
      <c r="D67" s="129"/>
      <c r="E67" s="31">
        <v>0</v>
      </c>
      <c r="F67" s="31">
        <v>0</v>
      </c>
      <c r="G67" s="31"/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</row>
    <row r="68" spans="1:39" x14ac:dyDescent="0.2">
      <c r="A68" s="20">
        <v>65</v>
      </c>
      <c r="B68" s="132" t="s">
        <v>205</v>
      </c>
      <c r="C68" s="133">
        <v>69.23</v>
      </c>
      <c r="D68" s="129">
        <v>5</v>
      </c>
      <c r="E68" s="31">
        <v>23</v>
      </c>
      <c r="F68" s="31">
        <v>72</v>
      </c>
      <c r="G68" s="31"/>
      <c r="H68" s="31">
        <v>20</v>
      </c>
      <c r="I68" s="31">
        <v>68</v>
      </c>
      <c r="J68" s="31">
        <v>43</v>
      </c>
      <c r="K68" s="31">
        <v>27</v>
      </c>
      <c r="L68" s="31">
        <v>18</v>
      </c>
      <c r="M68" s="31">
        <v>34</v>
      </c>
      <c r="N68" s="31">
        <v>25</v>
      </c>
      <c r="O68" s="31">
        <v>99</v>
      </c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</row>
    <row r="69" spans="1:39" x14ac:dyDescent="0.2">
      <c r="A69" s="20">
        <v>66</v>
      </c>
      <c r="B69" s="132" t="s">
        <v>206</v>
      </c>
      <c r="C69" s="133">
        <v>76.150000000000006</v>
      </c>
      <c r="D69" s="129"/>
      <c r="E69" s="31">
        <v>14</v>
      </c>
      <c r="F69" s="31">
        <v>18</v>
      </c>
      <c r="G69" s="31">
        <v>20</v>
      </c>
      <c r="H69" s="31">
        <v>20</v>
      </c>
      <c r="I69" s="31">
        <v>23</v>
      </c>
      <c r="J69" s="31">
        <v>0</v>
      </c>
      <c r="K69" s="31">
        <v>0</v>
      </c>
      <c r="L69" s="31">
        <v>0</v>
      </c>
      <c r="M69" s="31">
        <v>60</v>
      </c>
      <c r="N69" s="31">
        <v>35</v>
      </c>
      <c r="O69" s="31">
        <v>46</v>
      </c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</row>
    <row r="70" spans="1:39" x14ac:dyDescent="0.2">
      <c r="A70" s="20">
        <v>67</v>
      </c>
      <c r="B70" s="132" t="s">
        <v>207</v>
      </c>
      <c r="C70" s="133">
        <v>304.72000000000003</v>
      </c>
      <c r="D70" s="129"/>
      <c r="E70" s="31">
        <v>0</v>
      </c>
      <c r="F70" s="31">
        <v>0</v>
      </c>
      <c r="G70" s="31"/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>
        <v>20</v>
      </c>
      <c r="N70" s="31">
        <v>0</v>
      </c>
      <c r="O70" s="31">
        <v>20</v>
      </c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</row>
    <row r="71" spans="1:39" x14ac:dyDescent="0.2">
      <c r="A71" s="20">
        <v>68</v>
      </c>
      <c r="B71" s="132" t="s">
        <v>208</v>
      </c>
      <c r="C71" s="133">
        <v>178.72</v>
      </c>
      <c r="D71" s="129"/>
      <c r="E71" s="31">
        <v>2</v>
      </c>
      <c r="F71" s="31">
        <v>19</v>
      </c>
      <c r="G71" s="31"/>
      <c r="H71" s="31">
        <v>3</v>
      </c>
      <c r="I71" s="31">
        <v>16</v>
      </c>
      <c r="J71" s="31">
        <v>0</v>
      </c>
      <c r="K71" s="31">
        <v>0</v>
      </c>
      <c r="L71" s="31">
        <v>0</v>
      </c>
      <c r="M71" s="31">
        <v>50</v>
      </c>
      <c r="N71" s="31">
        <v>13</v>
      </c>
      <c r="O71" s="31">
        <v>33</v>
      </c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</row>
    <row r="72" spans="1:39" x14ac:dyDescent="0.2">
      <c r="A72" s="20">
        <v>69</v>
      </c>
      <c r="B72" s="132" t="s">
        <v>209</v>
      </c>
      <c r="C72" s="133">
        <v>85.99</v>
      </c>
      <c r="D72" s="129"/>
      <c r="E72" s="31">
        <v>0</v>
      </c>
      <c r="F72" s="31">
        <v>0</v>
      </c>
      <c r="G72" s="31"/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</row>
    <row r="73" spans="1:39" x14ac:dyDescent="0.2">
      <c r="A73" s="20">
        <v>70</v>
      </c>
      <c r="B73" s="132" t="s">
        <v>175</v>
      </c>
      <c r="C73" s="133">
        <v>78.17</v>
      </c>
      <c r="D73" s="129"/>
      <c r="E73" s="31">
        <v>4</v>
      </c>
      <c r="F73" s="31">
        <v>34</v>
      </c>
      <c r="G73" s="31"/>
      <c r="H73" s="31">
        <v>0</v>
      </c>
      <c r="I73" s="31">
        <v>0</v>
      </c>
      <c r="J73" s="31">
        <v>10</v>
      </c>
      <c r="K73" s="31">
        <v>18</v>
      </c>
      <c r="L73" s="31">
        <v>0</v>
      </c>
      <c r="M73" s="31">
        <v>-14</v>
      </c>
      <c r="N73" s="31">
        <v>0</v>
      </c>
      <c r="O73" s="31">
        <v>6</v>
      </c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</row>
    <row r="74" spans="1:39" x14ac:dyDescent="0.2">
      <c r="A74" s="20">
        <v>71</v>
      </c>
      <c r="B74" s="132" t="s">
        <v>174</v>
      </c>
      <c r="C74" s="133">
        <v>85.99</v>
      </c>
      <c r="D74" s="129">
        <v>80</v>
      </c>
      <c r="E74" s="31">
        <v>73</v>
      </c>
      <c r="F74" s="31">
        <v>114</v>
      </c>
      <c r="G74" s="31">
        <v>128</v>
      </c>
      <c r="H74" s="31">
        <v>96</v>
      </c>
      <c r="I74" s="31">
        <v>51</v>
      </c>
      <c r="J74" s="31">
        <v>60</v>
      </c>
      <c r="K74" s="31">
        <v>110</v>
      </c>
      <c r="L74" s="31">
        <v>96</v>
      </c>
      <c r="M74" s="31">
        <v>51</v>
      </c>
      <c r="N74" s="31">
        <v>109</v>
      </c>
      <c r="O74" s="31">
        <v>111</v>
      </c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</row>
    <row r="75" spans="1:39" x14ac:dyDescent="0.2">
      <c r="A75" s="20">
        <v>72</v>
      </c>
      <c r="B75" s="132" t="s">
        <v>210</v>
      </c>
      <c r="C75" s="133">
        <v>82.93</v>
      </c>
      <c r="D75" s="129"/>
      <c r="E75" s="31">
        <v>0</v>
      </c>
      <c r="F75" s="31">
        <v>0</v>
      </c>
      <c r="G75" s="31"/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</row>
    <row r="76" spans="1:39" x14ac:dyDescent="0.2">
      <c r="A76" s="20">
        <v>73</v>
      </c>
      <c r="B76" s="132" t="s">
        <v>211</v>
      </c>
      <c r="C76" s="133">
        <v>18.64</v>
      </c>
      <c r="D76" s="129"/>
      <c r="E76" s="31"/>
      <c r="F76" s="31"/>
      <c r="G76" s="31"/>
      <c r="H76" s="31"/>
      <c r="I76" s="31"/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</row>
    <row r="77" spans="1:39" x14ac:dyDescent="0.2">
      <c r="A77" s="20">
        <v>74</v>
      </c>
      <c r="B77" s="132"/>
      <c r="C77" s="133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</row>
    <row r="78" spans="1:39" x14ac:dyDescent="0.2">
      <c r="A78" s="20">
        <v>75</v>
      </c>
      <c r="B78" s="105"/>
      <c r="C78" s="106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</row>
    <row r="79" spans="1:39" x14ac:dyDescent="0.2">
      <c r="A79" s="20">
        <v>76</v>
      </c>
      <c r="B79" s="105"/>
      <c r="C79" s="106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</row>
    <row r="80" spans="1:39" x14ac:dyDescent="0.2">
      <c r="A80" s="20">
        <v>77</v>
      </c>
      <c r="B80" s="105"/>
      <c r="C80" s="106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</row>
    <row r="81" spans="1:39" x14ac:dyDescent="0.2">
      <c r="A81" s="20">
        <v>78</v>
      </c>
      <c r="B81" s="105"/>
      <c r="C81" s="106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</row>
    <row r="106" spans="2:2" x14ac:dyDescent="0.2">
      <c r="B106" t="s">
        <v>780</v>
      </c>
    </row>
    <row r="107" spans="2:2" x14ac:dyDescent="0.2">
      <c r="B107" t="s">
        <v>781</v>
      </c>
    </row>
  </sheetData>
  <protectedRanges>
    <protectedRange password="EC4F" sqref="D4:D48" name="Range1_1"/>
  </protectedRanges>
  <autoFilter ref="A3:AM81" xr:uid="{00000000-0001-0000-0300-000000000000}">
    <sortState xmlns:xlrd2="http://schemas.microsoft.com/office/spreadsheetml/2017/richdata2" ref="A4:AM81">
      <sortCondition ref="B3:B81"/>
    </sortState>
  </autoFilter>
  <mergeCells count="13">
    <mergeCell ref="A2:B2"/>
    <mergeCell ref="AK2:AM2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</mergeCells>
  <dataValidations count="12">
    <dataValidation type="custom" showInputMessage="1" showErrorMessage="1" error="You can't edit this" sqref="B5" xr:uid="{6A97599A-4D1D-B842-B12D-B58E4F825B3A}">
      <formula1>(B5:B53)</formula1>
    </dataValidation>
    <dataValidation type="custom" showInputMessage="1" showErrorMessage="1" error="You can't edit this" sqref="B54" xr:uid="{289A511B-5AD7-2F40-9543-38D9165F86A3}">
      <formula1>(B54:B81)</formula1>
    </dataValidation>
    <dataValidation type="custom" showInputMessage="1" showErrorMessage="1" error="You can't edit this" sqref="B18 B4 B20" xr:uid="{DFD525AC-BF01-F84E-BC49-2ECD8A8908F5}">
      <formula1>(B4:B49)</formula1>
    </dataValidation>
    <dataValidation type="custom" showInputMessage="1" showErrorMessage="1" error="You can't edit this" sqref="B21" xr:uid="{85AB7F77-C206-2843-B7DE-1DD03F7E1D7A}">
      <formula1>(B21:B82)</formula1>
    </dataValidation>
    <dataValidation type="custom" showInputMessage="1" showErrorMessage="1" error="You can't edit this" sqref="B46" xr:uid="{95408E72-6945-0549-A7D7-66BFA887BA96}">
      <formula1>(B46:B81)</formula1>
    </dataValidation>
    <dataValidation type="custom" showInputMessage="1" showErrorMessage="1" error="You can't edit this" sqref="B8:B17" xr:uid="{9AF4A4AD-0361-DE44-83F3-4C298F57B2FE}">
      <formula1>(B8:B54)</formula1>
    </dataValidation>
    <dataValidation type="custom" showInputMessage="1" showErrorMessage="1" error="You can't edit this" sqref="B53" xr:uid="{5036736D-4BD6-0141-936F-2B6503F9280F}">
      <formula1>(B53:B102)</formula1>
    </dataValidation>
    <dataValidation type="custom" showInputMessage="1" showErrorMessage="1" error="You can't edit this" sqref="B48:B52" xr:uid="{3973B3BE-CD0F-1543-A6A8-A3BB938C6E07}">
      <formula1>(B48:B82)</formula1>
    </dataValidation>
    <dataValidation type="custom" showInputMessage="1" showErrorMessage="1" error="You can't edit this" sqref="B40:B45" xr:uid="{667F8F9E-343B-DC4B-851D-AB7AFA354450}">
      <formula1>(B40:B96)</formula1>
    </dataValidation>
    <dataValidation type="custom" showInputMessage="1" showErrorMessage="1" error="You can't edit this" sqref="B32:B39" xr:uid="{6FCB0AD7-3E36-9545-B208-15B6ABFB07B4}">
      <formula1>(B32:B87)</formula1>
    </dataValidation>
    <dataValidation type="custom" showInputMessage="1" showErrorMessage="1" error="You can't edit this" sqref="B26:B29" xr:uid="{5443BF19-F296-0043-B412-F03AA6B159F4}">
      <formula1>(B26:B85)</formula1>
    </dataValidation>
    <dataValidation type="custom" showInputMessage="1" showErrorMessage="1" error="You can't edit this" sqref="B19" xr:uid="{B25ABBF0-DD10-6742-B235-ED42C1B32695}">
      <formula1>(B19:B63)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topLeftCell="B1" workbookViewId="0">
      <selection activeCell="B4" sqref="B4"/>
    </sheetView>
  </sheetViews>
  <sheetFormatPr defaultRowHeight="15" x14ac:dyDescent="0.2"/>
  <cols>
    <col min="2" max="2" width="22.328125" bestFit="1" customWidth="1"/>
    <col min="4" max="4" width="15.6015625" bestFit="1" customWidth="1"/>
    <col min="5" max="5" width="15.6015625" customWidth="1"/>
    <col min="6" max="6" width="17.62109375" bestFit="1" customWidth="1"/>
    <col min="7" max="7" width="20.71484375" bestFit="1" customWidth="1"/>
  </cols>
  <sheetData>
    <row r="1" spans="1:7" x14ac:dyDescent="0.2">
      <c r="A1" s="228" t="s">
        <v>122</v>
      </c>
      <c r="B1" s="228"/>
      <c r="C1" s="228"/>
      <c r="D1" s="228"/>
      <c r="E1" s="228"/>
      <c r="F1" s="229"/>
    </row>
    <row r="2" spans="1:7" x14ac:dyDescent="0.2">
      <c r="A2" s="111" t="s">
        <v>123</v>
      </c>
      <c r="B2" s="111" t="s">
        <v>124</v>
      </c>
      <c r="C2" s="111" t="s">
        <v>80</v>
      </c>
      <c r="D2" s="111" t="s">
        <v>125</v>
      </c>
      <c r="E2" s="111" t="s">
        <v>126</v>
      </c>
      <c r="F2" s="111" t="s">
        <v>127</v>
      </c>
      <c r="G2" s="111" t="s">
        <v>128</v>
      </c>
    </row>
    <row r="3" spans="1:7" x14ac:dyDescent="0.2">
      <c r="A3" s="112">
        <v>1</v>
      </c>
      <c r="B3" s="113" t="s">
        <v>129</v>
      </c>
      <c r="C3" s="31"/>
      <c r="D3" s="31"/>
      <c r="E3" s="31"/>
      <c r="F3" s="31"/>
      <c r="G3" s="31"/>
    </row>
    <row r="4" spans="1:7" x14ac:dyDescent="0.2">
      <c r="A4" s="112">
        <v>2</v>
      </c>
      <c r="B4" s="113" t="s">
        <v>130</v>
      </c>
      <c r="C4" s="31"/>
      <c r="D4" s="31"/>
      <c r="E4" s="31"/>
      <c r="F4" s="31"/>
      <c r="G4" s="31"/>
    </row>
    <row r="5" spans="1:7" x14ac:dyDescent="0.2">
      <c r="A5" s="112">
        <v>3</v>
      </c>
      <c r="B5" s="113" t="s">
        <v>131</v>
      </c>
      <c r="C5" s="31"/>
      <c r="D5" s="31"/>
      <c r="E5" s="31"/>
      <c r="F5" s="31"/>
      <c r="G5" s="31"/>
    </row>
    <row r="6" spans="1:7" x14ac:dyDescent="0.2">
      <c r="A6" s="112">
        <v>4</v>
      </c>
      <c r="B6" s="113" t="s">
        <v>132</v>
      </c>
      <c r="C6" s="31"/>
      <c r="D6" s="31"/>
      <c r="E6" s="31"/>
      <c r="F6" s="31"/>
      <c r="G6" s="31"/>
    </row>
    <row r="7" spans="1:7" x14ac:dyDescent="0.2">
      <c r="A7" s="112">
        <v>5</v>
      </c>
      <c r="B7" s="113" t="s">
        <v>133</v>
      </c>
      <c r="C7" s="31"/>
      <c r="D7" s="31"/>
      <c r="E7" s="31"/>
      <c r="F7" s="31"/>
      <c r="G7" s="31"/>
    </row>
    <row r="8" spans="1:7" x14ac:dyDescent="0.2">
      <c r="A8" s="112">
        <v>6</v>
      </c>
      <c r="B8" s="113" t="s">
        <v>134</v>
      </c>
      <c r="C8" s="31"/>
      <c r="D8" s="31"/>
      <c r="E8" s="31"/>
      <c r="F8" s="31"/>
      <c r="G8" s="31"/>
    </row>
    <row r="9" spans="1:7" x14ac:dyDescent="0.2">
      <c r="A9" s="112">
        <v>7</v>
      </c>
      <c r="B9" s="113" t="s">
        <v>135</v>
      </c>
      <c r="C9" s="31"/>
      <c r="D9" s="31"/>
      <c r="E9" s="31"/>
      <c r="F9" s="31"/>
      <c r="G9" s="31"/>
    </row>
    <row r="10" spans="1:7" x14ac:dyDescent="0.2">
      <c r="A10" s="112">
        <v>8</v>
      </c>
      <c r="B10" s="113" t="s">
        <v>136</v>
      </c>
      <c r="C10" s="31"/>
      <c r="D10" s="31"/>
      <c r="E10" s="31"/>
      <c r="F10" s="31"/>
      <c r="G10" s="31"/>
    </row>
    <row r="11" spans="1:7" x14ac:dyDescent="0.2">
      <c r="A11" s="112">
        <v>9</v>
      </c>
      <c r="B11" s="113" t="s">
        <v>137</v>
      </c>
      <c r="C11" s="31"/>
      <c r="D11" s="31"/>
      <c r="E11" s="31"/>
      <c r="F11" s="31"/>
      <c r="G11" s="31"/>
    </row>
    <row r="12" spans="1:7" x14ac:dyDescent="0.2">
      <c r="A12" s="112">
        <v>10</v>
      </c>
      <c r="B12" s="113" t="s">
        <v>138</v>
      </c>
      <c r="C12" s="31"/>
      <c r="D12" s="31"/>
      <c r="E12" s="31"/>
      <c r="F12" s="31"/>
      <c r="G12" s="31"/>
    </row>
    <row r="13" spans="1:7" x14ac:dyDescent="0.2">
      <c r="A13" s="112">
        <v>11</v>
      </c>
      <c r="B13" s="113" t="s">
        <v>139</v>
      </c>
      <c r="C13" s="31"/>
      <c r="D13" s="31"/>
      <c r="E13" s="31"/>
      <c r="F13" s="31"/>
      <c r="G13" s="31"/>
    </row>
    <row r="14" spans="1:7" x14ac:dyDescent="0.2">
      <c r="A14" s="112">
        <v>12</v>
      </c>
      <c r="B14" s="113" t="s">
        <v>140</v>
      </c>
      <c r="C14" s="31"/>
      <c r="D14" s="31"/>
      <c r="E14" s="31"/>
      <c r="F14" s="31"/>
      <c r="G14" s="31"/>
    </row>
    <row r="15" spans="1:7" x14ac:dyDescent="0.2">
      <c r="A15" s="112">
        <v>13</v>
      </c>
      <c r="B15" s="113" t="s">
        <v>141</v>
      </c>
      <c r="C15" s="31"/>
      <c r="D15" s="31"/>
      <c r="E15" s="31"/>
      <c r="F15" s="31"/>
      <c r="G15" s="31"/>
    </row>
    <row r="16" spans="1:7" x14ac:dyDescent="0.2">
      <c r="A16" s="112">
        <v>14</v>
      </c>
      <c r="B16" s="113" t="s">
        <v>142</v>
      </c>
      <c r="C16" s="31"/>
      <c r="D16" s="31"/>
      <c r="E16" s="31"/>
      <c r="F16" s="31"/>
      <c r="G16" s="31"/>
    </row>
    <row r="17" spans="1:7" x14ac:dyDescent="0.2">
      <c r="A17" s="112">
        <v>15</v>
      </c>
      <c r="B17" s="113" t="s">
        <v>143</v>
      </c>
      <c r="C17" s="31"/>
      <c r="D17" s="31"/>
      <c r="E17" s="31"/>
      <c r="F17" s="31"/>
      <c r="G17" s="31"/>
    </row>
    <row r="18" spans="1:7" x14ac:dyDescent="0.2">
      <c r="A18" s="112">
        <v>16</v>
      </c>
      <c r="B18" s="113" t="s">
        <v>144</v>
      </c>
      <c r="C18" s="31"/>
      <c r="D18" s="31"/>
      <c r="E18" s="31"/>
      <c r="F18" s="31"/>
      <c r="G18" s="31"/>
    </row>
    <row r="19" spans="1:7" x14ac:dyDescent="0.2">
      <c r="A19" s="112">
        <v>17</v>
      </c>
      <c r="B19" s="113" t="s">
        <v>145</v>
      </c>
      <c r="C19" s="31"/>
      <c r="D19" s="31"/>
      <c r="E19" s="31"/>
      <c r="F19" s="31"/>
      <c r="G19" s="31"/>
    </row>
    <row r="20" spans="1:7" x14ac:dyDescent="0.2">
      <c r="A20" s="112">
        <v>18</v>
      </c>
      <c r="B20" s="113" t="s">
        <v>146</v>
      </c>
      <c r="C20" s="31"/>
      <c r="D20" s="31"/>
      <c r="E20" s="31"/>
      <c r="F20" s="31"/>
      <c r="G20" s="31"/>
    </row>
    <row r="21" spans="1:7" x14ac:dyDescent="0.2">
      <c r="A21" s="112">
        <v>19</v>
      </c>
      <c r="B21" s="113" t="s">
        <v>147</v>
      </c>
      <c r="C21" s="31"/>
      <c r="D21" s="31"/>
      <c r="E21" s="31"/>
      <c r="F21" s="31"/>
      <c r="G21" s="31"/>
    </row>
    <row r="22" spans="1:7" x14ac:dyDescent="0.2">
      <c r="A22" s="112">
        <v>20</v>
      </c>
      <c r="B22" s="113" t="s">
        <v>148</v>
      </c>
      <c r="C22" s="31"/>
      <c r="D22" s="31"/>
      <c r="E22" s="31"/>
      <c r="F22" s="31"/>
      <c r="G22" s="31"/>
    </row>
    <row r="23" spans="1:7" x14ac:dyDescent="0.2">
      <c r="A23" s="112">
        <v>21</v>
      </c>
      <c r="B23" s="113" t="s">
        <v>149</v>
      </c>
      <c r="C23" s="31"/>
      <c r="D23" s="31"/>
      <c r="E23" s="31"/>
      <c r="F23" s="31"/>
      <c r="G23" s="31"/>
    </row>
    <row r="24" spans="1:7" x14ac:dyDescent="0.2">
      <c r="A24" s="112">
        <v>22</v>
      </c>
      <c r="B24" s="113" t="s">
        <v>150</v>
      </c>
      <c r="C24" s="31"/>
      <c r="D24" s="31"/>
      <c r="E24" s="31"/>
      <c r="F24" s="31"/>
      <c r="G24" s="31"/>
    </row>
    <row r="25" spans="1:7" x14ac:dyDescent="0.2">
      <c r="A25" s="112">
        <v>23</v>
      </c>
      <c r="B25" s="113" t="s">
        <v>151</v>
      </c>
      <c r="C25" s="31"/>
      <c r="D25" s="31"/>
      <c r="E25" s="31"/>
      <c r="F25" s="31"/>
      <c r="G25" s="31"/>
    </row>
    <row r="26" spans="1:7" x14ac:dyDescent="0.2">
      <c r="A26" s="112">
        <v>24</v>
      </c>
      <c r="B26" s="113" t="s">
        <v>152</v>
      </c>
      <c r="C26" s="31"/>
      <c r="D26" s="31"/>
      <c r="E26" s="31"/>
      <c r="F26" s="31"/>
      <c r="G26" s="31"/>
    </row>
    <row r="27" spans="1:7" x14ac:dyDescent="0.2">
      <c r="A27" s="112">
        <v>25</v>
      </c>
      <c r="B27" s="113" t="s">
        <v>153</v>
      </c>
      <c r="C27" s="31"/>
      <c r="D27" s="31"/>
      <c r="E27" s="31"/>
      <c r="F27" s="31"/>
      <c r="G27" s="31"/>
    </row>
    <row r="28" spans="1:7" x14ac:dyDescent="0.2">
      <c r="A28" s="112">
        <v>26</v>
      </c>
      <c r="B28" s="113" t="s">
        <v>154</v>
      </c>
      <c r="C28" s="31"/>
      <c r="D28" s="31"/>
      <c r="E28" s="31"/>
      <c r="F28" s="31"/>
      <c r="G28" s="31"/>
    </row>
    <row r="29" spans="1:7" x14ac:dyDescent="0.2">
      <c r="A29" s="112">
        <v>27</v>
      </c>
      <c r="B29" s="113" t="s">
        <v>155</v>
      </c>
      <c r="C29" s="31"/>
      <c r="D29" s="31"/>
      <c r="E29" s="31"/>
      <c r="F29" s="31"/>
      <c r="G29" s="31"/>
    </row>
    <row r="30" spans="1:7" x14ac:dyDescent="0.2">
      <c r="A30" s="112">
        <v>28</v>
      </c>
      <c r="B30" s="113" t="s">
        <v>156</v>
      </c>
      <c r="C30" s="31"/>
      <c r="D30" s="31"/>
      <c r="E30" s="31"/>
      <c r="F30" s="31"/>
      <c r="G30" s="31"/>
    </row>
    <row r="31" spans="1:7" x14ac:dyDescent="0.2">
      <c r="A31" s="112">
        <v>29</v>
      </c>
      <c r="B31" s="113" t="s">
        <v>157</v>
      </c>
      <c r="C31" s="31"/>
      <c r="D31" s="31"/>
      <c r="E31" s="31"/>
      <c r="F31" s="31"/>
      <c r="G31" s="31"/>
    </row>
    <row r="32" spans="1:7" x14ac:dyDescent="0.2">
      <c r="A32" s="112">
        <v>30</v>
      </c>
      <c r="B32" s="113" t="s">
        <v>158</v>
      </c>
      <c r="C32" s="31"/>
      <c r="D32" s="31"/>
      <c r="E32" s="31"/>
      <c r="F32" s="31"/>
      <c r="G32" s="31"/>
    </row>
    <row r="33" spans="1:7" x14ac:dyDescent="0.2">
      <c r="A33" s="112">
        <v>31</v>
      </c>
      <c r="B33" s="113" t="s">
        <v>159</v>
      </c>
      <c r="C33" s="31"/>
      <c r="D33" s="31"/>
      <c r="E33" s="31"/>
      <c r="F33" s="31"/>
      <c r="G33" s="31"/>
    </row>
    <row r="34" spans="1:7" x14ac:dyDescent="0.2">
      <c r="A34" s="112">
        <v>32</v>
      </c>
      <c r="B34" s="113" t="s">
        <v>160</v>
      </c>
      <c r="C34" s="31"/>
      <c r="D34" s="31"/>
      <c r="E34" s="31"/>
      <c r="F34" s="31"/>
      <c r="G34" s="31"/>
    </row>
    <row r="35" spans="1:7" x14ac:dyDescent="0.2">
      <c r="A35" s="112">
        <v>33</v>
      </c>
      <c r="B35" s="113" t="s">
        <v>161</v>
      </c>
      <c r="C35" s="31"/>
      <c r="D35" s="31"/>
      <c r="E35" s="31"/>
      <c r="F35" s="31"/>
      <c r="G35" s="31"/>
    </row>
    <row r="36" spans="1:7" x14ac:dyDescent="0.2">
      <c r="A36" s="112">
        <v>34</v>
      </c>
      <c r="B36" s="113" t="s">
        <v>162</v>
      </c>
      <c r="C36" s="31"/>
      <c r="D36" s="31"/>
      <c r="E36" s="31"/>
      <c r="F36" s="31"/>
      <c r="G36" s="31"/>
    </row>
    <row r="37" spans="1:7" x14ac:dyDescent="0.2">
      <c r="A37" s="112">
        <v>35</v>
      </c>
      <c r="B37" s="113" t="s">
        <v>163</v>
      </c>
      <c r="C37" s="31"/>
      <c r="D37" s="31"/>
      <c r="E37" s="31"/>
      <c r="F37" s="31"/>
      <c r="G37" s="31"/>
    </row>
    <row r="38" spans="1:7" x14ac:dyDescent="0.2">
      <c r="A38" s="112">
        <v>36</v>
      </c>
      <c r="B38" s="113" t="s">
        <v>164</v>
      </c>
      <c r="C38" s="31"/>
      <c r="D38" s="31"/>
      <c r="E38" s="31"/>
      <c r="F38" s="31"/>
      <c r="G38" s="31"/>
    </row>
    <row r="39" spans="1:7" x14ac:dyDescent="0.2">
      <c r="A39" s="112">
        <v>37</v>
      </c>
      <c r="B39" s="113" t="s">
        <v>165</v>
      </c>
      <c r="C39" s="31"/>
      <c r="D39" s="31"/>
      <c r="E39" s="31"/>
      <c r="F39" s="31"/>
      <c r="G39" s="31"/>
    </row>
    <row r="40" spans="1:7" x14ac:dyDescent="0.2">
      <c r="A40" s="112">
        <v>38</v>
      </c>
      <c r="B40" s="113" t="s">
        <v>166</v>
      </c>
      <c r="C40" s="31"/>
      <c r="D40" s="31"/>
      <c r="E40" s="31"/>
      <c r="F40" s="31"/>
      <c r="G40" s="31"/>
    </row>
    <row r="41" spans="1:7" x14ac:dyDescent="0.2">
      <c r="A41" s="112">
        <v>39</v>
      </c>
      <c r="B41" s="113" t="s">
        <v>167</v>
      </c>
      <c r="C41" s="31"/>
      <c r="D41" s="31"/>
      <c r="E41" s="31"/>
      <c r="F41" s="31"/>
      <c r="G41" s="31"/>
    </row>
    <row r="42" spans="1:7" x14ac:dyDescent="0.2">
      <c r="A42" s="112">
        <v>40</v>
      </c>
      <c r="B42" s="113" t="s">
        <v>168</v>
      </c>
      <c r="C42" s="31"/>
      <c r="D42" s="31"/>
      <c r="E42" s="31"/>
      <c r="F42" s="31"/>
      <c r="G42" s="31"/>
    </row>
    <row r="43" spans="1:7" x14ac:dyDescent="0.2">
      <c r="A43" s="112">
        <v>41</v>
      </c>
      <c r="B43" s="113" t="s">
        <v>169</v>
      </c>
      <c r="C43" s="31"/>
      <c r="D43" s="31"/>
      <c r="E43" s="31"/>
      <c r="F43" s="31"/>
      <c r="G43" s="31"/>
    </row>
    <row r="44" spans="1:7" x14ac:dyDescent="0.2">
      <c r="A44" s="112">
        <v>42</v>
      </c>
      <c r="B44" s="113" t="s">
        <v>170</v>
      </c>
      <c r="C44" s="31"/>
      <c r="D44" s="31"/>
      <c r="E44" s="31"/>
      <c r="F44" s="31"/>
      <c r="G44" s="31"/>
    </row>
    <row r="45" spans="1:7" x14ac:dyDescent="0.2">
      <c r="A45" s="112">
        <v>43</v>
      </c>
      <c r="B45" s="113" t="s">
        <v>171</v>
      </c>
      <c r="C45" s="31"/>
      <c r="D45" s="31"/>
      <c r="E45" s="31"/>
      <c r="F45" s="31"/>
      <c r="G45" s="31"/>
    </row>
    <row r="46" spans="1:7" x14ac:dyDescent="0.2">
      <c r="A46" s="112">
        <v>44</v>
      </c>
      <c r="B46" s="113" t="s">
        <v>172</v>
      </c>
      <c r="C46" s="31"/>
      <c r="D46" s="31"/>
      <c r="E46" s="31"/>
      <c r="F46" s="31"/>
      <c r="G46" s="31"/>
    </row>
    <row r="47" spans="1:7" x14ac:dyDescent="0.2">
      <c r="A47" s="112">
        <v>45</v>
      </c>
      <c r="B47" s="113" t="s">
        <v>173</v>
      </c>
      <c r="C47" s="31"/>
      <c r="D47" s="31"/>
      <c r="E47" s="31"/>
      <c r="F47" s="31"/>
      <c r="G47" s="31"/>
    </row>
    <row r="48" spans="1:7" x14ac:dyDescent="0.2">
      <c r="A48" s="112">
        <v>46</v>
      </c>
      <c r="B48" s="113" t="s">
        <v>174</v>
      </c>
      <c r="C48" s="31"/>
      <c r="D48" s="31"/>
      <c r="E48" s="31"/>
      <c r="F48" s="31"/>
      <c r="G48" s="31"/>
    </row>
    <row r="49" spans="1:7" x14ac:dyDescent="0.2">
      <c r="A49" s="112">
        <v>47</v>
      </c>
      <c r="B49" s="113" t="s">
        <v>175</v>
      </c>
      <c r="C49" s="31"/>
      <c r="D49" s="31"/>
      <c r="E49" s="31"/>
      <c r="F49" s="31"/>
      <c r="G49" s="31"/>
    </row>
    <row r="50" spans="1:7" x14ac:dyDescent="0.2">
      <c r="A50" s="112">
        <v>48</v>
      </c>
      <c r="B50" s="113" t="s">
        <v>176</v>
      </c>
      <c r="C50" s="31"/>
      <c r="D50" s="31"/>
      <c r="E50" s="31"/>
      <c r="F50" s="31"/>
      <c r="G50" s="3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topLeftCell="C1" workbookViewId="0">
      <selection activeCell="A9" sqref="A9:F24"/>
    </sheetView>
  </sheetViews>
  <sheetFormatPr defaultRowHeight="15" x14ac:dyDescent="0.2"/>
  <cols>
    <col min="2" max="2" width="8.875" bestFit="1" customWidth="1"/>
    <col min="3" max="3" width="21.38671875" bestFit="1" customWidth="1"/>
    <col min="4" max="4" width="20.984375" bestFit="1" customWidth="1"/>
    <col min="5" max="5" width="18.0234375" bestFit="1" customWidth="1"/>
    <col min="6" max="6" width="17.3515625" bestFit="1" customWidth="1"/>
    <col min="7" max="7" width="20.71484375" bestFit="1" customWidth="1"/>
    <col min="8" max="8" width="11.8359375" bestFit="1" customWidth="1"/>
    <col min="9" max="9" width="11.1640625" bestFit="1" customWidth="1"/>
    <col min="10" max="10" width="10.4921875" bestFit="1" customWidth="1"/>
    <col min="11" max="11" width="11.1640625" bestFit="1" customWidth="1"/>
    <col min="12" max="12" width="10.4921875" bestFit="1" customWidth="1"/>
    <col min="13" max="13" width="11.1640625" bestFit="1" customWidth="1"/>
  </cols>
  <sheetData>
    <row r="1" spans="1:13" ht="15.75" thickBot="1" x14ac:dyDescent="0.25">
      <c r="A1" s="232" t="s">
        <v>66</v>
      </c>
      <c r="B1" s="233"/>
      <c r="C1" s="233"/>
      <c r="D1" s="233"/>
      <c r="E1" s="233"/>
      <c r="F1" s="233"/>
      <c r="G1" s="233"/>
      <c r="H1" s="234"/>
      <c r="I1" s="14"/>
      <c r="J1" s="14"/>
      <c r="K1" s="14"/>
      <c r="L1" s="14"/>
      <c r="M1" s="14"/>
    </row>
    <row r="2" spans="1:13" ht="15.75" thickBot="1" x14ac:dyDescent="0.25">
      <c r="A2" s="49" t="s">
        <v>2</v>
      </c>
      <c r="B2" s="50" t="s">
        <v>67</v>
      </c>
      <c r="C2" s="50" t="s">
        <v>68</v>
      </c>
      <c r="D2" s="50" t="s">
        <v>69</v>
      </c>
      <c r="E2" s="50" t="s">
        <v>70</v>
      </c>
      <c r="F2" s="50" t="s">
        <v>71</v>
      </c>
      <c r="G2" s="50" t="s">
        <v>72</v>
      </c>
      <c r="H2" s="51" t="s">
        <v>73</v>
      </c>
      <c r="I2" s="14"/>
      <c r="J2" s="14"/>
      <c r="K2" s="14"/>
      <c r="L2" s="14"/>
      <c r="M2" s="14"/>
    </row>
    <row r="3" spans="1:13" x14ac:dyDescent="0.2">
      <c r="A3" s="52">
        <v>1</v>
      </c>
      <c r="B3" s="53" t="s">
        <v>589</v>
      </c>
      <c r="C3" s="53">
        <v>4.83</v>
      </c>
      <c r="D3" s="53">
        <v>4.84</v>
      </c>
      <c r="E3" s="53">
        <v>4.8499999999999996</v>
      </c>
      <c r="F3" s="53">
        <v>7.01</v>
      </c>
      <c r="G3" s="53">
        <v>4.83</v>
      </c>
      <c r="H3" s="54">
        <v>5.5</v>
      </c>
      <c r="I3" s="14"/>
      <c r="J3" s="14"/>
      <c r="K3" s="14"/>
      <c r="L3" s="14"/>
      <c r="M3" s="14"/>
    </row>
    <row r="4" spans="1:13" x14ac:dyDescent="0.2">
      <c r="A4" s="58"/>
      <c r="B4" s="58"/>
      <c r="C4" s="58"/>
      <c r="D4" s="58"/>
      <c r="E4" s="58"/>
      <c r="F4" s="58"/>
      <c r="G4" s="58"/>
      <c r="H4" s="58"/>
      <c r="I4" s="14"/>
      <c r="J4" s="14"/>
      <c r="K4" s="14"/>
      <c r="L4" s="14"/>
      <c r="M4" s="14"/>
    </row>
    <row r="5" spans="1:13" ht="15.75" thickBot="1" x14ac:dyDescent="0.25">
      <c r="A5" s="58"/>
      <c r="B5" s="58"/>
      <c r="C5" s="58"/>
      <c r="D5" s="58"/>
      <c r="E5" s="58"/>
      <c r="F5" s="58"/>
      <c r="G5" s="14"/>
      <c r="H5" s="14"/>
      <c r="I5" s="14"/>
      <c r="J5" s="14"/>
      <c r="K5" s="14"/>
      <c r="L5" s="14"/>
      <c r="M5" s="14"/>
    </row>
    <row r="6" spans="1:13" ht="15.75" thickBot="1" x14ac:dyDescent="0.25">
      <c r="A6" s="232" t="s">
        <v>74</v>
      </c>
      <c r="B6" s="233"/>
      <c r="C6" s="233"/>
      <c r="D6" s="233"/>
      <c r="E6" s="233"/>
      <c r="F6" s="234"/>
      <c r="G6" s="58"/>
      <c r="H6" s="230" t="s">
        <v>40</v>
      </c>
      <c r="I6" s="231"/>
      <c r="J6" s="230" t="s">
        <v>5</v>
      </c>
      <c r="K6" s="231"/>
      <c r="L6" s="230" t="s">
        <v>41</v>
      </c>
      <c r="M6" s="231"/>
    </row>
    <row r="7" spans="1:13" ht="15.75" thickBot="1" x14ac:dyDescent="0.25">
      <c r="A7" s="49" t="s">
        <v>2</v>
      </c>
      <c r="B7" s="50" t="s">
        <v>75</v>
      </c>
      <c r="C7" s="50" t="s">
        <v>47</v>
      </c>
      <c r="D7" s="50" t="s">
        <v>76</v>
      </c>
      <c r="E7" s="50" t="s">
        <v>77</v>
      </c>
      <c r="F7" s="51" t="s">
        <v>78</v>
      </c>
      <c r="G7" s="14"/>
      <c r="H7" s="1" t="s">
        <v>73</v>
      </c>
      <c r="I7" s="2" t="s">
        <v>79</v>
      </c>
      <c r="J7" s="2" t="s">
        <v>73</v>
      </c>
      <c r="K7" s="2" t="s">
        <v>79</v>
      </c>
      <c r="L7" s="2" t="s">
        <v>73</v>
      </c>
      <c r="M7" s="2" t="s">
        <v>79</v>
      </c>
    </row>
    <row r="8" spans="1:13" ht="15.75" thickBot="1" x14ac:dyDescent="0.25">
      <c r="A8" s="55">
        <v>1</v>
      </c>
      <c r="B8" s="56" t="s">
        <v>589</v>
      </c>
      <c r="C8" s="56" t="s">
        <v>548</v>
      </c>
      <c r="D8" s="56" t="s">
        <v>529</v>
      </c>
      <c r="E8" s="56">
        <v>30000</v>
      </c>
      <c r="F8" s="57">
        <v>15000</v>
      </c>
      <c r="G8" s="14"/>
      <c r="H8" s="11">
        <v>4.34</v>
      </c>
      <c r="I8" s="22">
        <v>4.34</v>
      </c>
      <c r="J8" s="22">
        <v>4.55</v>
      </c>
      <c r="K8" s="22">
        <v>4.74</v>
      </c>
      <c r="L8" s="22">
        <v>4.8899999999999997</v>
      </c>
      <c r="M8" s="22">
        <v>5.07</v>
      </c>
    </row>
    <row r="9" spans="1:13" ht="15.75" thickBot="1" x14ac:dyDescent="0.25">
      <c r="A9" s="55"/>
      <c r="B9" s="56"/>
      <c r="C9" s="56"/>
      <c r="D9" s="56"/>
      <c r="E9" s="56"/>
      <c r="F9" s="57"/>
      <c r="G9" s="14"/>
      <c r="H9" s="14"/>
      <c r="I9" s="14"/>
      <c r="J9" s="14"/>
      <c r="K9" s="14"/>
      <c r="L9" s="14"/>
      <c r="M9" s="14"/>
    </row>
    <row r="10" spans="1:13" ht="15.75" thickBot="1" x14ac:dyDescent="0.25">
      <c r="A10" s="55">
        <v>3</v>
      </c>
      <c r="B10" s="56" t="s">
        <v>589</v>
      </c>
      <c r="C10" s="56" t="s">
        <v>317</v>
      </c>
      <c r="D10" s="56" t="s">
        <v>529</v>
      </c>
      <c r="E10" s="56">
        <v>10000</v>
      </c>
      <c r="F10" s="57">
        <v>10000</v>
      </c>
      <c r="G10" s="14"/>
      <c r="H10" s="230" t="s">
        <v>42</v>
      </c>
      <c r="I10" s="231"/>
      <c r="J10" s="230" t="s">
        <v>52</v>
      </c>
      <c r="K10" s="231"/>
      <c r="L10" s="230" t="s">
        <v>53</v>
      </c>
      <c r="M10" s="231"/>
    </row>
    <row r="11" spans="1:13" x14ac:dyDescent="0.2">
      <c r="A11" s="55">
        <v>4</v>
      </c>
      <c r="B11" s="56" t="s">
        <v>589</v>
      </c>
      <c r="C11" s="56" t="s">
        <v>411</v>
      </c>
      <c r="D11" s="56" t="s">
        <v>594</v>
      </c>
      <c r="E11" s="56" t="s">
        <v>595</v>
      </c>
      <c r="F11" s="57">
        <v>50000</v>
      </c>
      <c r="G11" s="14"/>
      <c r="H11" s="1" t="s">
        <v>73</v>
      </c>
      <c r="I11" s="2" t="s">
        <v>79</v>
      </c>
      <c r="J11" s="2" t="s">
        <v>73</v>
      </c>
      <c r="K11" s="2" t="s">
        <v>79</v>
      </c>
      <c r="L11" s="2" t="s">
        <v>73</v>
      </c>
      <c r="M11" s="4" t="s">
        <v>79</v>
      </c>
    </row>
    <row r="12" spans="1:13" ht="15.75" thickBot="1" x14ac:dyDescent="0.25">
      <c r="A12" s="55"/>
      <c r="B12" s="56"/>
      <c r="C12" s="56"/>
      <c r="D12" s="56"/>
      <c r="E12" s="56"/>
      <c r="F12" s="57"/>
      <c r="G12" s="14"/>
      <c r="H12" s="11"/>
      <c r="I12" s="22"/>
      <c r="J12" s="22"/>
      <c r="K12" s="22"/>
      <c r="L12" s="22"/>
      <c r="M12" s="24"/>
    </row>
    <row r="13" spans="1:13" ht="15.75" thickBot="1" x14ac:dyDescent="0.25">
      <c r="A13" s="55">
        <v>6</v>
      </c>
      <c r="B13" s="56" t="s">
        <v>589</v>
      </c>
      <c r="C13" s="56" t="s">
        <v>541</v>
      </c>
      <c r="D13" s="56" t="s">
        <v>529</v>
      </c>
      <c r="E13" s="56">
        <v>30000</v>
      </c>
      <c r="F13" s="57">
        <v>15000</v>
      </c>
      <c r="G13" s="14"/>
      <c r="H13" s="14"/>
      <c r="I13" s="14"/>
      <c r="J13" s="14"/>
      <c r="K13" s="14"/>
      <c r="L13" s="14"/>
      <c r="M13" s="14"/>
    </row>
    <row r="14" spans="1:13" ht="15.75" thickBot="1" x14ac:dyDescent="0.25">
      <c r="A14" s="55">
        <v>7</v>
      </c>
      <c r="B14" s="56" t="s">
        <v>589</v>
      </c>
      <c r="C14" s="56" t="s">
        <v>554</v>
      </c>
      <c r="D14" s="56" t="s">
        <v>529</v>
      </c>
      <c r="E14" s="56">
        <v>30000</v>
      </c>
      <c r="F14" s="57">
        <v>150000</v>
      </c>
      <c r="G14" s="14"/>
      <c r="H14" s="230" t="s">
        <v>54</v>
      </c>
      <c r="I14" s="231"/>
      <c r="J14" s="230" t="s">
        <v>55</v>
      </c>
      <c r="K14" s="231"/>
      <c r="L14" s="230" t="s">
        <v>56</v>
      </c>
      <c r="M14" s="231"/>
    </row>
    <row r="15" spans="1:13" x14ac:dyDescent="0.2">
      <c r="A15" s="55">
        <v>8</v>
      </c>
      <c r="B15" s="56" t="s">
        <v>589</v>
      </c>
      <c r="C15" s="56" t="s">
        <v>326</v>
      </c>
      <c r="D15" s="56" t="s">
        <v>529</v>
      </c>
      <c r="E15" s="56" t="s">
        <v>571</v>
      </c>
      <c r="F15" s="57">
        <v>20000</v>
      </c>
      <c r="G15" s="14"/>
      <c r="H15" s="1" t="s">
        <v>73</v>
      </c>
      <c r="I15" s="4" t="s">
        <v>79</v>
      </c>
      <c r="J15" s="2" t="s">
        <v>73</v>
      </c>
      <c r="K15" s="4" t="s">
        <v>79</v>
      </c>
      <c r="L15" s="2" t="s">
        <v>73</v>
      </c>
      <c r="M15" s="4" t="s">
        <v>79</v>
      </c>
    </row>
    <row r="16" spans="1:13" ht="15.75" thickBot="1" x14ac:dyDescent="0.25">
      <c r="A16" s="55"/>
      <c r="B16" s="56"/>
      <c r="C16" s="56"/>
      <c r="D16" s="56"/>
      <c r="E16" s="56"/>
      <c r="F16" s="57"/>
      <c r="G16" s="14"/>
      <c r="H16" s="11"/>
      <c r="I16" s="24"/>
      <c r="J16" s="22"/>
      <c r="K16" s="24"/>
      <c r="L16" s="22"/>
      <c r="M16" s="24"/>
    </row>
    <row r="17" spans="1:13" ht="15.75" thickBot="1" x14ac:dyDescent="0.25">
      <c r="A17" s="55">
        <v>10</v>
      </c>
      <c r="B17" s="56" t="s">
        <v>589</v>
      </c>
      <c r="C17" s="56" t="s">
        <v>252</v>
      </c>
      <c r="D17" s="56" t="s">
        <v>596</v>
      </c>
      <c r="E17" s="56" t="s">
        <v>597</v>
      </c>
      <c r="F17" s="57">
        <v>30000</v>
      </c>
      <c r="G17" s="14"/>
      <c r="H17" s="14"/>
      <c r="I17" s="14"/>
      <c r="J17" s="14"/>
      <c r="K17" s="14"/>
      <c r="L17" s="14"/>
      <c r="M17" s="14"/>
    </row>
    <row r="18" spans="1:13" ht="15.75" thickBot="1" x14ac:dyDescent="0.25">
      <c r="A18" s="55">
        <v>11</v>
      </c>
      <c r="B18" s="56" t="s">
        <v>589</v>
      </c>
      <c r="C18" s="56" t="s">
        <v>324</v>
      </c>
      <c r="D18" s="56" t="s">
        <v>529</v>
      </c>
      <c r="E18" s="56">
        <v>30000</v>
      </c>
      <c r="F18" s="57">
        <v>15000</v>
      </c>
      <c r="G18" s="14"/>
      <c r="H18" s="59" t="s">
        <v>57</v>
      </c>
      <c r="I18" s="60"/>
      <c r="J18" s="59" t="s">
        <v>58</v>
      </c>
      <c r="K18" s="60"/>
      <c r="L18" s="230" t="s">
        <v>43</v>
      </c>
      <c r="M18" s="231"/>
    </row>
    <row r="19" spans="1:13" x14ac:dyDescent="0.2">
      <c r="A19" s="55">
        <v>12</v>
      </c>
      <c r="B19" s="56" t="s">
        <v>589</v>
      </c>
      <c r="C19" s="56" t="s">
        <v>396</v>
      </c>
      <c r="D19" s="56" t="s">
        <v>594</v>
      </c>
      <c r="E19" s="56">
        <v>20000</v>
      </c>
      <c r="F19" s="57"/>
      <c r="G19" s="14"/>
      <c r="H19" s="1" t="s">
        <v>73</v>
      </c>
      <c r="I19" s="4" t="s">
        <v>79</v>
      </c>
      <c r="J19" s="2" t="s">
        <v>73</v>
      </c>
      <c r="K19" s="4" t="s">
        <v>79</v>
      </c>
      <c r="L19" s="2" t="s">
        <v>73</v>
      </c>
      <c r="M19" s="4" t="s">
        <v>79</v>
      </c>
    </row>
    <row r="20" spans="1:13" ht="15.75" thickBot="1" x14ac:dyDescent="0.25">
      <c r="A20" s="55">
        <v>13</v>
      </c>
      <c r="B20" s="56" t="s">
        <v>589</v>
      </c>
      <c r="C20" s="56" t="s">
        <v>286</v>
      </c>
      <c r="D20" s="56" t="s">
        <v>529</v>
      </c>
      <c r="E20" s="56">
        <v>30000</v>
      </c>
      <c r="F20" s="57">
        <v>15000</v>
      </c>
      <c r="G20" s="14"/>
      <c r="H20" s="11"/>
      <c r="I20" s="24"/>
      <c r="J20" s="22"/>
      <c r="K20" s="24"/>
      <c r="L20" s="22"/>
      <c r="M20" s="24"/>
    </row>
    <row r="21" spans="1:13" x14ac:dyDescent="0.2">
      <c r="A21" s="55"/>
      <c r="B21" s="56"/>
      <c r="C21" s="56"/>
      <c r="D21" s="56"/>
      <c r="E21" s="56"/>
      <c r="F21" s="57"/>
      <c r="G21" s="14"/>
      <c r="H21" s="14"/>
      <c r="I21" s="14"/>
      <c r="J21" s="14"/>
      <c r="K21" s="14"/>
      <c r="L21" s="14"/>
      <c r="M21" s="14"/>
    </row>
    <row r="22" spans="1:13" x14ac:dyDescent="0.2">
      <c r="A22" s="55">
        <v>15</v>
      </c>
      <c r="B22" s="56" t="s">
        <v>589</v>
      </c>
      <c r="C22" s="56" t="s">
        <v>403</v>
      </c>
      <c r="D22" s="56" t="s">
        <v>529</v>
      </c>
      <c r="E22" s="56">
        <v>10000</v>
      </c>
      <c r="F22" s="57">
        <v>10000</v>
      </c>
      <c r="G22" s="14"/>
      <c r="H22" s="14"/>
      <c r="I22" s="14"/>
      <c r="J22" s="14"/>
      <c r="K22" s="14"/>
      <c r="L22" s="14"/>
      <c r="M22" s="14"/>
    </row>
    <row r="23" spans="1:13" x14ac:dyDescent="0.2">
      <c r="A23" s="55">
        <v>16</v>
      </c>
      <c r="B23" s="56" t="s">
        <v>589</v>
      </c>
      <c r="C23" s="56" t="s">
        <v>336</v>
      </c>
      <c r="D23" s="56" t="s">
        <v>598</v>
      </c>
      <c r="E23" s="56">
        <v>85000</v>
      </c>
      <c r="F23" s="57"/>
      <c r="G23" s="14"/>
      <c r="H23" s="14"/>
      <c r="I23" s="14"/>
      <c r="J23" s="14"/>
      <c r="K23" s="14"/>
      <c r="L23" s="14"/>
      <c r="M23" s="14"/>
    </row>
    <row r="24" spans="1:13" x14ac:dyDescent="0.2">
      <c r="A24" s="55">
        <v>17</v>
      </c>
      <c r="B24" s="56" t="s">
        <v>589</v>
      </c>
      <c r="C24" s="56" t="s">
        <v>415</v>
      </c>
      <c r="D24" s="56" t="s">
        <v>529</v>
      </c>
      <c r="E24" s="56">
        <v>20000</v>
      </c>
      <c r="F24" s="57">
        <v>10000</v>
      </c>
      <c r="G24" s="14"/>
      <c r="H24" s="14"/>
      <c r="I24" s="14"/>
      <c r="J24" s="14"/>
      <c r="K24" s="14"/>
      <c r="L24" s="14"/>
      <c r="M24" s="14"/>
    </row>
    <row r="25" spans="1:13" x14ac:dyDescent="0.2">
      <c r="A25" s="55"/>
      <c r="B25" s="56"/>
      <c r="C25" s="56"/>
      <c r="D25" s="56"/>
      <c r="E25" s="56"/>
      <c r="F25" s="57"/>
      <c r="G25" s="14"/>
      <c r="H25" s="14"/>
      <c r="I25" s="14"/>
      <c r="J25" s="14"/>
      <c r="K25" s="14"/>
      <c r="L25" s="14"/>
      <c r="M25" s="14"/>
    </row>
    <row r="26" spans="1:13" ht="15.75" thickBot="1" x14ac:dyDescent="0.25">
      <c r="A26" s="61"/>
      <c r="B26" s="56"/>
      <c r="C26" s="62"/>
      <c r="D26" s="62"/>
      <c r="E26" s="62"/>
      <c r="F26" s="63"/>
      <c r="G26" s="14"/>
      <c r="H26" s="14"/>
      <c r="I26" s="14"/>
      <c r="J26" s="14"/>
      <c r="K26" s="14"/>
      <c r="L26" s="14"/>
      <c r="M26" s="14"/>
    </row>
    <row r="27" spans="1:13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</sheetData>
  <mergeCells count="12">
    <mergeCell ref="H14:I14"/>
    <mergeCell ref="J14:K14"/>
    <mergeCell ref="L14:M14"/>
    <mergeCell ref="L18:M18"/>
    <mergeCell ref="A1:H1"/>
    <mergeCell ref="A6:F6"/>
    <mergeCell ref="H6:I6"/>
    <mergeCell ref="J6:K6"/>
    <mergeCell ref="L6:M6"/>
    <mergeCell ref="H10:I10"/>
    <mergeCell ref="J10:K10"/>
    <mergeCell ref="L10: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8"/>
  <sheetViews>
    <sheetView topLeftCell="D1" workbookViewId="0">
      <selection activeCell="F16" sqref="F16"/>
    </sheetView>
  </sheetViews>
  <sheetFormatPr defaultRowHeight="15" x14ac:dyDescent="0.2"/>
  <cols>
    <col min="1" max="1" width="16.94921875" bestFit="1" customWidth="1"/>
    <col min="2" max="2" width="18.0234375" customWidth="1"/>
    <col min="3" max="3" width="19.234375" bestFit="1" customWidth="1"/>
    <col min="4" max="4" width="26.09765625" bestFit="1" customWidth="1"/>
    <col min="5" max="5" width="21.65625" bestFit="1" customWidth="1"/>
    <col min="6" max="6" width="30.53515625" bestFit="1" customWidth="1"/>
    <col min="7" max="7" width="29.86328125" bestFit="1" customWidth="1"/>
    <col min="8" max="8" width="14.52734375" customWidth="1"/>
    <col min="9" max="9" width="10.35546875" customWidth="1"/>
    <col min="10" max="10" width="8.0703125" customWidth="1"/>
    <col min="11" max="11" width="14.52734375" customWidth="1"/>
    <col min="12" max="12" width="10.35546875" customWidth="1"/>
    <col min="13" max="13" width="8.0703125" customWidth="1"/>
    <col min="14" max="14" width="14.52734375" customWidth="1"/>
    <col min="15" max="15" width="10.35546875" customWidth="1"/>
    <col min="16" max="16" width="8.0703125" customWidth="1"/>
    <col min="17" max="17" width="14.52734375" customWidth="1"/>
    <col min="18" max="18" width="10.35546875" customWidth="1"/>
    <col min="19" max="19" width="8.0703125" customWidth="1"/>
  </cols>
  <sheetData>
    <row r="1" spans="1:19" ht="15.75" thickBot="1" x14ac:dyDescent="0.25">
      <c r="A1" s="194" t="s">
        <v>97</v>
      </c>
      <c r="B1" s="195"/>
      <c r="C1" s="195"/>
      <c r="D1" s="195"/>
      <c r="E1" s="195"/>
      <c r="F1" s="196"/>
      <c r="G1" s="197"/>
      <c r="H1" s="198" t="s">
        <v>233</v>
      </c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200"/>
    </row>
    <row r="2" spans="1:19" x14ac:dyDescent="0.2">
      <c r="A2" s="93" t="s">
        <v>81</v>
      </c>
      <c r="B2" s="94" t="s">
        <v>98</v>
      </c>
      <c r="C2" s="94" t="s">
        <v>99</v>
      </c>
      <c r="D2" s="94" t="s">
        <v>83</v>
      </c>
      <c r="E2" s="94" t="s">
        <v>100</v>
      </c>
      <c r="F2" s="95" t="s">
        <v>101</v>
      </c>
      <c r="G2" s="95" t="s">
        <v>102</v>
      </c>
      <c r="H2" s="79" t="s">
        <v>87</v>
      </c>
      <c r="I2" s="79" t="s">
        <v>5</v>
      </c>
      <c r="J2" s="79" t="s">
        <v>41</v>
      </c>
      <c r="K2" s="79" t="s">
        <v>42</v>
      </c>
      <c r="L2" s="79" t="s">
        <v>8</v>
      </c>
      <c r="M2" s="79" t="s">
        <v>9</v>
      </c>
      <c r="N2" s="79" t="s">
        <v>10</v>
      </c>
      <c r="O2" s="79" t="s">
        <v>11</v>
      </c>
      <c r="P2" s="79" t="s">
        <v>12</v>
      </c>
      <c r="Q2" s="79" t="s">
        <v>13</v>
      </c>
      <c r="R2" s="79" t="s">
        <v>14</v>
      </c>
      <c r="S2" s="79" t="s">
        <v>15</v>
      </c>
    </row>
    <row r="3" spans="1:19" x14ac:dyDescent="0.2">
      <c r="A3" s="88">
        <v>1</v>
      </c>
      <c r="B3" s="87" t="s">
        <v>103</v>
      </c>
      <c r="C3" s="87" t="s">
        <v>357</v>
      </c>
      <c r="D3" s="87" t="s">
        <v>766</v>
      </c>
      <c r="E3" s="87" t="s">
        <v>104</v>
      </c>
      <c r="F3" s="177" t="s">
        <v>321</v>
      </c>
      <c r="G3" s="96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</row>
    <row r="4" spans="1:19" x14ac:dyDescent="0.2">
      <c r="A4" s="88">
        <v>2</v>
      </c>
      <c r="B4" s="87" t="s">
        <v>103</v>
      </c>
      <c r="C4" s="87" t="s">
        <v>361</v>
      </c>
      <c r="D4" s="87" t="s">
        <v>767</v>
      </c>
      <c r="E4" s="87" t="s">
        <v>104</v>
      </c>
      <c r="F4" s="177">
        <v>46213</v>
      </c>
      <c r="G4" s="96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x14ac:dyDescent="0.2">
      <c r="A5" s="88">
        <v>3</v>
      </c>
      <c r="B5" s="87" t="s">
        <v>103</v>
      </c>
      <c r="C5" s="87" t="s">
        <v>364</v>
      </c>
      <c r="D5" s="87" t="s">
        <v>768</v>
      </c>
      <c r="E5" s="87" t="s">
        <v>104</v>
      </c>
      <c r="F5" s="177">
        <v>46220</v>
      </c>
      <c r="G5" s="96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x14ac:dyDescent="0.2">
      <c r="A6" s="88"/>
      <c r="B6" s="87"/>
      <c r="C6" s="87"/>
      <c r="D6" s="87"/>
      <c r="E6" s="87"/>
      <c r="F6" s="89"/>
      <c r="G6" s="96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x14ac:dyDescent="0.2">
      <c r="A7" s="88"/>
      <c r="B7" s="87"/>
      <c r="C7" s="87"/>
      <c r="D7" s="87"/>
      <c r="E7" s="87"/>
      <c r="F7" s="89" t="s">
        <v>839</v>
      </c>
      <c r="G7" s="96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 ht="15.75" thickBot="1" x14ac:dyDescent="0.25">
      <c r="A8" s="90"/>
      <c r="B8" s="91"/>
      <c r="C8" s="91"/>
      <c r="D8" s="91"/>
      <c r="E8" s="91"/>
      <c r="F8" s="92"/>
      <c r="G8" s="97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 ht="15.75" thickBot="1" x14ac:dyDescent="0.25">
      <c r="A9" s="93">
        <v>1</v>
      </c>
      <c r="B9" s="94" t="s">
        <v>105</v>
      </c>
      <c r="C9" s="94" t="s">
        <v>253</v>
      </c>
      <c r="D9" s="94" t="s">
        <v>765</v>
      </c>
      <c r="E9" s="94" t="s">
        <v>106</v>
      </c>
      <c r="F9" s="176">
        <v>46225</v>
      </c>
      <c r="G9" s="98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</row>
    <row r="10" spans="1:19" ht="15.75" thickBot="1" x14ac:dyDescent="0.25">
      <c r="A10" s="88">
        <v>2</v>
      </c>
      <c r="B10" s="87" t="s">
        <v>105</v>
      </c>
      <c r="C10" s="87" t="s">
        <v>254</v>
      </c>
      <c r="D10" s="87" t="s">
        <v>765</v>
      </c>
      <c r="E10" s="87" t="s">
        <v>106</v>
      </c>
      <c r="F10" s="176">
        <v>46225</v>
      </c>
      <c r="G10" s="96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</row>
    <row r="11" spans="1:19" ht="15.75" thickBot="1" x14ac:dyDescent="0.25">
      <c r="A11" s="88">
        <v>3</v>
      </c>
      <c r="B11" s="87" t="s">
        <v>105</v>
      </c>
      <c r="C11" s="87" t="s">
        <v>255</v>
      </c>
      <c r="D11" s="87" t="s">
        <v>765</v>
      </c>
      <c r="E11" s="87" t="s">
        <v>106</v>
      </c>
      <c r="F11" s="176">
        <v>46225</v>
      </c>
      <c r="G11" s="96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</row>
    <row r="12" spans="1:19" ht="15.75" thickBot="1" x14ac:dyDescent="0.25">
      <c r="A12" s="88">
        <v>4</v>
      </c>
      <c r="B12" s="87" t="s">
        <v>105</v>
      </c>
      <c r="C12" s="87" t="s">
        <v>599</v>
      </c>
      <c r="D12" s="87" t="s">
        <v>765</v>
      </c>
      <c r="E12" s="87" t="s">
        <v>106</v>
      </c>
      <c r="F12" s="176">
        <v>46225</v>
      </c>
      <c r="G12" s="96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</row>
    <row r="13" spans="1:19" ht="15.75" thickBot="1" x14ac:dyDescent="0.25">
      <c r="A13" s="88">
        <v>5</v>
      </c>
      <c r="B13" s="87" t="s">
        <v>105</v>
      </c>
      <c r="C13" s="87" t="s">
        <v>372</v>
      </c>
      <c r="D13" s="87" t="s">
        <v>769</v>
      </c>
      <c r="E13" s="87" t="s">
        <v>106</v>
      </c>
      <c r="F13" s="176"/>
      <c r="G13" s="96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</row>
    <row r="14" spans="1:19" ht="15.75" thickBot="1" x14ac:dyDescent="0.25">
      <c r="A14" s="88">
        <v>6</v>
      </c>
      <c r="B14" s="87" t="s">
        <v>105</v>
      </c>
      <c r="C14" s="87" t="s">
        <v>830</v>
      </c>
      <c r="D14" s="87" t="s">
        <v>765</v>
      </c>
      <c r="E14" s="87" t="s">
        <v>106</v>
      </c>
      <c r="F14" s="176">
        <v>46225</v>
      </c>
      <c r="G14" s="96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</row>
    <row r="15" spans="1:19" x14ac:dyDescent="0.2">
      <c r="A15" s="88">
        <v>7</v>
      </c>
      <c r="B15" s="87" t="s">
        <v>105</v>
      </c>
      <c r="C15" s="87" t="s">
        <v>375</v>
      </c>
      <c r="D15" s="87" t="s">
        <v>765</v>
      </c>
      <c r="E15" s="87" t="s">
        <v>106</v>
      </c>
      <c r="F15" s="176">
        <v>46226</v>
      </c>
      <c r="G15" s="96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</row>
    <row r="16" spans="1:19" x14ac:dyDescent="0.2">
      <c r="A16" s="88"/>
      <c r="B16" s="87"/>
      <c r="C16" s="87"/>
      <c r="D16" s="87"/>
      <c r="E16" s="87"/>
      <c r="F16" s="89"/>
      <c r="G16" s="96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</row>
    <row r="17" spans="1:19" x14ac:dyDescent="0.2">
      <c r="A17" s="88"/>
      <c r="B17" s="87"/>
      <c r="C17" s="87"/>
      <c r="D17" s="87"/>
      <c r="E17" s="87"/>
      <c r="F17" s="89"/>
      <c r="G17" s="96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</row>
    <row r="18" spans="1:19" ht="15.75" thickBot="1" x14ac:dyDescent="0.25">
      <c r="A18" s="90"/>
      <c r="B18" s="91"/>
      <c r="C18" s="91"/>
      <c r="D18" s="91"/>
      <c r="E18" s="91"/>
      <c r="F18" s="92"/>
      <c r="G18" s="97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</row>
  </sheetData>
  <mergeCells count="2">
    <mergeCell ref="A1:G1"/>
    <mergeCell ref="H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5"/>
  <sheetViews>
    <sheetView topLeftCell="E1" workbookViewId="0">
      <selection activeCell="F5" sqref="F5"/>
    </sheetView>
  </sheetViews>
  <sheetFormatPr defaultRowHeight="15" x14ac:dyDescent="0.2"/>
  <cols>
    <col min="1" max="1" width="5.91796875" bestFit="1" customWidth="1"/>
    <col min="2" max="2" width="20.58203125" bestFit="1" customWidth="1"/>
    <col min="4" max="4" width="19.63671875" customWidth="1"/>
    <col min="5" max="5" width="19.1015625" bestFit="1" customWidth="1"/>
    <col min="6" max="6" width="29.7265625" bestFit="1" customWidth="1"/>
    <col min="7" max="7" width="28.3828125" bestFit="1" customWidth="1"/>
  </cols>
  <sheetData>
    <row r="2" spans="1:19" x14ac:dyDescent="0.2">
      <c r="A2" s="239" t="s">
        <v>38</v>
      </c>
      <c r="B2" s="240"/>
      <c r="C2" s="82" t="s">
        <v>105</v>
      </c>
      <c r="D2" s="236" t="s">
        <v>219</v>
      </c>
      <c r="E2" s="237"/>
      <c r="F2" s="237"/>
      <c r="G2" s="238"/>
      <c r="H2" s="235" t="s">
        <v>233</v>
      </c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200"/>
    </row>
    <row r="3" spans="1:19" x14ac:dyDescent="0.2">
      <c r="A3" s="81" t="s">
        <v>81</v>
      </c>
      <c r="B3" s="81" t="s">
        <v>82</v>
      </c>
      <c r="C3" s="81" t="s">
        <v>80</v>
      </c>
      <c r="D3" s="81" t="s">
        <v>218</v>
      </c>
      <c r="E3" s="81" t="s">
        <v>51</v>
      </c>
      <c r="F3" s="81" t="s">
        <v>94</v>
      </c>
      <c r="G3" s="81" t="s">
        <v>85</v>
      </c>
      <c r="H3" s="79" t="s">
        <v>87</v>
      </c>
      <c r="I3" s="79" t="s">
        <v>5</v>
      </c>
      <c r="J3" s="79" t="s">
        <v>41</v>
      </c>
      <c r="K3" s="79" t="s">
        <v>42</v>
      </c>
      <c r="L3" s="79" t="s">
        <v>8</v>
      </c>
      <c r="M3" s="79" t="s">
        <v>9</v>
      </c>
      <c r="N3" s="79" t="s">
        <v>10</v>
      </c>
      <c r="O3" s="79" t="s">
        <v>11</v>
      </c>
      <c r="P3" s="79" t="s">
        <v>12</v>
      </c>
      <c r="Q3" s="79" t="s">
        <v>13</v>
      </c>
      <c r="R3" s="79" t="s">
        <v>14</v>
      </c>
      <c r="S3" s="79" t="s">
        <v>15</v>
      </c>
    </row>
    <row r="4" spans="1:19" x14ac:dyDescent="0.2">
      <c r="A4" s="83">
        <v>1</v>
      </c>
      <c r="B4" s="83" t="s">
        <v>831</v>
      </c>
      <c r="C4" s="83" t="s">
        <v>258</v>
      </c>
      <c r="D4" s="83" t="s">
        <v>601</v>
      </c>
      <c r="E4" s="183">
        <v>46186</v>
      </c>
      <c r="F4" s="83" t="s">
        <v>709</v>
      </c>
      <c r="G4" s="83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spans="1:19" ht="18" x14ac:dyDescent="0.25">
      <c r="A5" s="83">
        <v>2</v>
      </c>
      <c r="B5" s="134" t="s">
        <v>260</v>
      </c>
      <c r="C5" s="83" t="s">
        <v>258</v>
      </c>
      <c r="D5" s="83" t="s">
        <v>261</v>
      </c>
      <c r="E5" s="183">
        <v>46186</v>
      </c>
      <c r="F5" s="83" t="s">
        <v>709</v>
      </c>
      <c r="G5" s="83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</sheetData>
  <mergeCells count="3">
    <mergeCell ref="H2:S2"/>
    <mergeCell ref="D2:G2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topLeftCell="C1" workbookViewId="0">
      <selection activeCell="E13" sqref="E13"/>
    </sheetView>
  </sheetViews>
  <sheetFormatPr defaultRowHeight="15" x14ac:dyDescent="0.2"/>
  <cols>
    <col min="1" max="1" width="16.94921875" bestFit="1" customWidth="1"/>
    <col min="2" max="2" width="21.5234375" bestFit="1" customWidth="1"/>
    <col min="3" max="3" width="9.01171875" customWidth="1"/>
    <col min="4" max="4" width="11.56640625" bestFit="1" customWidth="1"/>
    <col min="5" max="5" width="19.50390625" bestFit="1" customWidth="1"/>
    <col min="6" max="6" width="30.9375" bestFit="1" customWidth="1"/>
    <col min="7" max="7" width="29.32421875" bestFit="1" customWidth="1"/>
  </cols>
  <sheetData>
    <row r="1" spans="1:7" x14ac:dyDescent="0.2">
      <c r="A1" s="78" t="s">
        <v>80</v>
      </c>
      <c r="B1" s="241" t="s">
        <v>217</v>
      </c>
      <c r="C1" s="241"/>
      <c r="D1" s="241"/>
      <c r="E1" s="241"/>
      <c r="F1" s="241"/>
      <c r="G1" s="241"/>
    </row>
    <row r="2" spans="1:7" x14ac:dyDescent="0.2">
      <c r="A2" s="81" t="s">
        <v>38</v>
      </c>
      <c r="B2" s="82" t="s">
        <v>113</v>
      </c>
      <c r="C2" s="82"/>
      <c r="D2" s="81"/>
      <c r="E2" s="81"/>
      <c r="F2" s="81"/>
      <c r="G2" s="81"/>
    </row>
    <row r="3" spans="1:7" x14ac:dyDescent="0.2">
      <c r="A3" s="81" t="s">
        <v>81</v>
      </c>
      <c r="B3" s="81" t="s">
        <v>82</v>
      </c>
      <c r="C3" s="81" t="s">
        <v>80</v>
      </c>
      <c r="D3" s="81" t="s">
        <v>83</v>
      </c>
      <c r="E3" s="81" t="s">
        <v>84</v>
      </c>
      <c r="F3" s="81" t="s">
        <v>94</v>
      </c>
      <c r="G3" s="81" t="s">
        <v>85</v>
      </c>
    </row>
    <row r="4" spans="1:7" x14ac:dyDescent="0.2">
      <c r="A4" s="83">
        <v>1</v>
      </c>
      <c r="B4" s="83" t="s">
        <v>266</v>
      </c>
      <c r="C4" s="83" t="s">
        <v>258</v>
      </c>
      <c r="D4" s="83" t="s">
        <v>269</v>
      </c>
      <c r="E4" s="83" t="s">
        <v>832</v>
      </c>
      <c r="F4" s="83"/>
      <c r="G4" s="83"/>
    </row>
    <row r="5" spans="1:7" x14ac:dyDescent="0.2">
      <c r="A5" s="83">
        <v>2</v>
      </c>
      <c r="B5" s="83" t="s">
        <v>267</v>
      </c>
      <c r="C5" s="83" t="s">
        <v>258</v>
      </c>
      <c r="D5" s="83" t="s">
        <v>269</v>
      </c>
      <c r="E5" s="83" t="s">
        <v>832</v>
      </c>
      <c r="F5" s="83"/>
      <c r="G5" s="83"/>
    </row>
    <row r="6" spans="1:7" x14ac:dyDescent="0.2">
      <c r="A6" s="83">
        <v>3</v>
      </c>
      <c r="B6" s="83" t="s">
        <v>268</v>
      </c>
      <c r="C6" s="83" t="s">
        <v>258</v>
      </c>
      <c r="D6" s="83" t="s">
        <v>269</v>
      </c>
      <c r="E6" s="83"/>
      <c r="F6" s="83"/>
      <c r="G6" s="83"/>
    </row>
    <row r="8" spans="1:7" x14ac:dyDescent="0.2">
      <c r="A8" s="81" t="s">
        <v>38</v>
      </c>
      <c r="B8" s="82" t="s">
        <v>103</v>
      </c>
      <c r="C8" s="82"/>
      <c r="D8" s="81"/>
      <c r="E8" s="81"/>
      <c r="F8" s="81"/>
      <c r="G8" s="81"/>
    </row>
    <row r="9" spans="1:7" x14ac:dyDescent="0.2">
      <c r="A9" s="81" t="s">
        <v>81</v>
      </c>
      <c r="B9" s="81" t="s">
        <v>82</v>
      </c>
      <c r="C9" s="81" t="s">
        <v>80</v>
      </c>
      <c r="D9" s="81" t="s">
        <v>83</v>
      </c>
      <c r="E9" s="81" t="s">
        <v>84</v>
      </c>
      <c r="F9" s="81" t="s">
        <v>94</v>
      </c>
      <c r="G9" s="81" t="s">
        <v>85</v>
      </c>
    </row>
    <row r="10" spans="1:7" x14ac:dyDescent="0.2">
      <c r="A10" s="83">
        <v>1</v>
      </c>
      <c r="B10" s="83" t="s">
        <v>262</v>
      </c>
      <c r="C10" s="83" t="s">
        <v>258</v>
      </c>
      <c r="D10" s="83" t="s">
        <v>259</v>
      </c>
      <c r="E10" s="183" t="s">
        <v>833</v>
      </c>
      <c r="F10" s="83"/>
      <c r="G10" s="83"/>
    </row>
    <row r="11" spans="1:7" x14ac:dyDescent="0.2">
      <c r="A11" s="83">
        <v>2</v>
      </c>
      <c r="B11" s="83" t="s">
        <v>263</v>
      </c>
      <c r="C11" s="83" t="s">
        <v>258</v>
      </c>
      <c r="D11" s="83" t="s">
        <v>265</v>
      </c>
      <c r="E11" s="183" t="s">
        <v>833</v>
      </c>
      <c r="F11" s="83"/>
      <c r="G11" s="83"/>
    </row>
    <row r="12" spans="1:7" x14ac:dyDescent="0.2">
      <c r="A12" s="83">
        <v>3</v>
      </c>
      <c r="B12" s="83" t="s">
        <v>264</v>
      </c>
      <c r="C12" s="83" t="s">
        <v>258</v>
      </c>
      <c r="D12" s="83" t="s">
        <v>265</v>
      </c>
      <c r="E12" s="183" t="s">
        <v>833</v>
      </c>
      <c r="F12" s="83"/>
      <c r="G12" s="83"/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6"/>
  <sheetViews>
    <sheetView topLeftCell="B1" workbookViewId="0">
      <selection activeCell="B13" sqref="B13"/>
    </sheetView>
  </sheetViews>
  <sheetFormatPr defaultRowHeight="15" x14ac:dyDescent="0.2"/>
  <cols>
    <col min="1" max="1" width="16.94921875" bestFit="1" customWidth="1"/>
    <col min="2" max="2" width="21.5234375" bestFit="1" customWidth="1"/>
    <col min="3" max="3" width="9.01171875" customWidth="1"/>
    <col min="4" max="4" width="11.56640625" bestFit="1" customWidth="1"/>
    <col min="5" max="5" width="26.36328125" bestFit="1" customWidth="1"/>
    <col min="6" max="6" width="30.9375" bestFit="1" customWidth="1"/>
    <col min="7" max="7" width="29.86328125" bestFit="1" customWidth="1"/>
    <col min="8" max="20" width="11.02734375" customWidth="1"/>
  </cols>
  <sheetData>
    <row r="1" spans="1:19" x14ac:dyDescent="0.2">
      <c r="A1" s="78" t="s">
        <v>80</v>
      </c>
      <c r="B1" s="241" t="s">
        <v>230</v>
      </c>
      <c r="C1" s="241"/>
      <c r="D1" s="241"/>
      <c r="E1" s="241"/>
      <c r="F1" s="241"/>
      <c r="G1" s="241"/>
    </row>
    <row r="2" spans="1:19" x14ac:dyDescent="0.2">
      <c r="A2" s="81" t="s">
        <v>38</v>
      </c>
      <c r="B2" s="82" t="s">
        <v>113</v>
      </c>
      <c r="C2" s="82"/>
      <c r="D2" s="81"/>
      <c r="E2" s="81"/>
      <c r="F2" s="81"/>
      <c r="G2" s="81"/>
      <c r="H2" s="235" t="s">
        <v>231</v>
      </c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200"/>
    </row>
    <row r="3" spans="1:19" x14ac:dyDescent="0.2">
      <c r="A3" s="81" t="s">
        <v>81</v>
      </c>
      <c r="B3" s="239" t="s">
        <v>82</v>
      </c>
      <c r="C3" s="240"/>
      <c r="D3" s="81" t="s">
        <v>80</v>
      </c>
      <c r="E3" s="81" t="s">
        <v>83</v>
      </c>
      <c r="F3" s="81" t="s">
        <v>224</v>
      </c>
      <c r="G3" s="81" t="s">
        <v>232</v>
      </c>
      <c r="H3" s="79" t="s">
        <v>87</v>
      </c>
      <c r="I3" s="79" t="s">
        <v>5</v>
      </c>
      <c r="J3" s="79" t="s">
        <v>41</v>
      </c>
      <c r="K3" s="79" t="s">
        <v>42</v>
      </c>
      <c r="L3" s="79" t="s">
        <v>8</v>
      </c>
      <c r="M3" s="79" t="s">
        <v>9</v>
      </c>
      <c r="N3" s="79" t="s">
        <v>10</v>
      </c>
      <c r="O3" s="79" t="s">
        <v>11</v>
      </c>
      <c r="P3" s="79" t="s">
        <v>12</v>
      </c>
      <c r="Q3" s="79" t="s">
        <v>13</v>
      </c>
      <c r="R3" s="79" t="s">
        <v>14</v>
      </c>
      <c r="S3" s="79" t="s">
        <v>15</v>
      </c>
    </row>
    <row r="4" spans="1:19" x14ac:dyDescent="0.2">
      <c r="A4" s="83">
        <v>1</v>
      </c>
      <c r="B4" s="246" t="s">
        <v>824</v>
      </c>
      <c r="C4" s="247"/>
      <c r="D4" s="83" t="s">
        <v>258</v>
      </c>
      <c r="E4" s="83" t="s">
        <v>269</v>
      </c>
      <c r="F4" s="83"/>
      <c r="G4" s="83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6" spans="1:19" ht="15.75" thickBot="1" x14ac:dyDescent="0.25"/>
    <row r="7" spans="1:19" ht="21.75" thickBot="1" x14ac:dyDescent="0.35">
      <c r="A7" s="118" t="s">
        <v>225</v>
      </c>
      <c r="B7" s="119" t="s">
        <v>226</v>
      </c>
      <c r="C7" s="248" t="s">
        <v>227</v>
      </c>
      <c r="D7" s="248"/>
      <c r="E7" s="119" t="s">
        <v>228</v>
      </c>
      <c r="F7" s="248" t="s">
        <v>229</v>
      </c>
      <c r="G7" s="249"/>
    </row>
    <row r="8" spans="1:19" x14ac:dyDescent="0.2">
      <c r="A8" s="117">
        <v>1</v>
      </c>
      <c r="B8" s="117" t="s">
        <v>825</v>
      </c>
      <c r="C8" s="244"/>
      <c r="D8" s="245"/>
      <c r="E8" s="117"/>
      <c r="F8" s="244"/>
      <c r="G8" s="245"/>
    </row>
    <row r="9" spans="1:19" x14ac:dyDescent="0.2">
      <c r="A9" s="31">
        <v>2</v>
      </c>
      <c r="B9" s="31" t="s">
        <v>826</v>
      </c>
      <c r="C9" s="242"/>
      <c r="D9" s="243"/>
      <c r="E9" s="31"/>
      <c r="F9" s="242"/>
      <c r="G9" s="243"/>
    </row>
    <row r="10" spans="1:19" x14ac:dyDescent="0.2">
      <c r="A10" s="31">
        <v>3</v>
      </c>
      <c r="B10" s="31" t="s">
        <v>827</v>
      </c>
      <c r="C10" s="242"/>
      <c r="D10" s="243"/>
      <c r="E10" s="31"/>
      <c r="F10" s="242" t="s">
        <v>114</v>
      </c>
      <c r="G10" s="243"/>
    </row>
    <row r="11" spans="1:19" x14ac:dyDescent="0.2">
      <c r="A11" s="31">
        <v>4</v>
      </c>
      <c r="B11" s="31" t="s">
        <v>828</v>
      </c>
      <c r="C11" s="242"/>
      <c r="D11" s="243"/>
      <c r="E11" s="31"/>
      <c r="F11" s="242"/>
      <c r="G11" s="243"/>
    </row>
    <row r="12" spans="1:19" x14ac:dyDescent="0.2">
      <c r="A12" s="31">
        <v>5</v>
      </c>
      <c r="B12" s="31" t="s">
        <v>829</v>
      </c>
      <c r="C12" s="242"/>
      <c r="D12" s="243"/>
      <c r="E12" s="31"/>
      <c r="F12" s="242"/>
      <c r="G12" s="243"/>
    </row>
    <row r="13" spans="1:19" x14ac:dyDescent="0.2">
      <c r="A13" s="31">
        <v>6</v>
      </c>
      <c r="B13" s="31"/>
      <c r="C13" s="242"/>
      <c r="D13" s="243"/>
      <c r="E13" s="31"/>
      <c r="F13" s="242"/>
      <c r="G13" s="243"/>
    </row>
    <row r="14" spans="1:19" x14ac:dyDescent="0.2">
      <c r="A14" s="31">
        <v>7</v>
      </c>
      <c r="B14" s="31"/>
      <c r="C14" s="242"/>
      <c r="D14" s="243"/>
      <c r="E14" s="31"/>
      <c r="F14" s="242"/>
      <c r="G14" s="243"/>
    </row>
    <row r="15" spans="1:19" x14ac:dyDescent="0.2">
      <c r="A15" s="31">
        <v>8</v>
      </c>
      <c r="B15" s="31"/>
      <c r="C15" s="242"/>
      <c r="D15" s="243"/>
      <c r="E15" s="31"/>
      <c r="F15" s="242"/>
      <c r="G15" s="243"/>
    </row>
    <row r="16" spans="1:19" x14ac:dyDescent="0.2">
      <c r="A16" s="31">
        <v>9</v>
      </c>
      <c r="B16" s="31"/>
      <c r="C16" s="242"/>
      <c r="D16" s="243"/>
      <c r="E16" s="31"/>
      <c r="F16" s="242"/>
      <c r="G16" s="243"/>
    </row>
    <row r="17" spans="1:7" x14ac:dyDescent="0.2">
      <c r="A17" s="31">
        <v>10</v>
      </c>
      <c r="B17" s="31"/>
      <c r="C17" s="242"/>
      <c r="D17" s="243"/>
      <c r="E17" s="31"/>
      <c r="F17" s="242"/>
      <c r="G17" s="243"/>
    </row>
    <row r="18" spans="1:7" x14ac:dyDescent="0.2">
      <c r="A18" s="31">
        <v>11</v>
      </c>
      <c r="B18" s="31"/>
      <c r="C18" s="242"/>
      <c r="D18" s="243"/>
      <c r="E18" s="31"/>
      <c r="F18" s="242"/>
      <c r="G18" s="243"/>
    </row>
    <row r="19" spans="1:7" x14ac:dyDescent="0.2">
      <c r="A19" s="31">
        <v>12</v>
      </c>
      <c r="B19" s="31"/>
      <c r="C19" s="242"/>
      <c r="D19" s="243"/>
      <c r="E19" s="31"/>
      <c r="F19" s="242"/>
      <c r="G19" s="243"/>
    </row>
    <row r="20" spans="1:7" x14ac:dyDescent="0.2">
      <c r="A20" s="31">
        <v>13</v>
      </c>
      <c r="B20" s="31"/>
      <c r="C20" s="242"/>
      <c r="D20" s="243"/>
      <c r="E20" s="31"/>
      <c r="F20" s="242"/>
      <c r="G20" s="243"/>
    </row>
    <row r="21" spans="1:7" x14ac:dyDescent="0.2">
      <c r="A21" s="31">
        <v>14</v>
      </c>
      <c r="B21" s="31"/>
      <c r="C21" s="242"/>
      <c r="D21" s="243"/>
      <c r="E21" s="31"/>
      <c r="F21" s="242"/>
      <c r="G21" s="243"/>
    </row>
    <row r="22" spans="1:7" x14ac:dyDescent="0.2">
      <c r="A22" s="31">
        <v>15</v>
      </c>
      <c r="B22" s="31"/>
      <c r="C22" s="242"/>
      <c r="D22" s="243"/>
      <c r="E22" s="31"/>
      <c r="F22" s="242"/>
      <c r="G22" s="243"/>
    </row>
    <row r="26" spans="1:7" x14ac:dyDescent="0.2">
      <c r="E26" t="s">
        <v>114</v>
      </c>
    </row>
  </sheetData>
  <mergeCells count="36">
    <mergeCell ref="C9:D9"/>
    <mergeCell ref="B3:C3"/>
    <mergeCell ref="B4:C4"/>
    <mergeCell ref="B1:G1"/>
    <mergeCell ref="H2:S2"/>
    <mergeCell ref="C7:D7"/>
    <mergeCell ref="F7:G7"/>
    <mergeCell ref="C8:D8"/>
    <mergeCell ref="C21:D21"/>
    <mergeCell ref="C10:D10"/>
    <mergeCell ref="C11:D11"/>
    <mergeCell ref="C12:D12"/>
    <mergeCell ref="C13:D13"/>
    <mergeCell ref="C14:D14"/>
    <mergeCell ref="C15:D15"/>
    <mergeCell ref="F22:G22"/>
    <mergeCell ref="C22:D22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C16:D16"/>
    <mergeCell ref="C17:D17"/>
    <mergeCell ref="C18:D18"/>
    <mergeCell ref="C19:D19"/>
    <mergeCell ref="C20:D20"/>
    <mergeCell ref="F17:G17"/>
    <mergeCell ref="F18:G18"/>
    <mergeCell ref="F19:G19"/>
    <mergeCell ref="F20:G20"/>
    <mergeCell ref="F21:G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7"/>
  <sheetViews>
    <sheetView topLeftCell="A3" workbookViewId="0">
      <selection activeCell="G16" sqref="G16"/>
    </sheetView>
  </sheetViews>
  <sheetFormatPr defaultRowHeight="15" x14ac:dyDescent="0.2"/>
  <cols>
    <col min="1" max="1" width="16.6796875" bestFit="1" customWidth="1"/>
    <col min="2" max="2" width="27.57421875" bestFit="1" customWidth="1"/>
    <col min="3" max="3" width="37.6640625" bestFit="1" customWidth="1"/>
    <col min="4" max="22" width="11.02734375" customWidth="1"/>
    <col min="23" max="23" width="10.0859375" bestFit="1" customWidth="1"/>
  </cols>
  <sheetData>
    <row r="1" spans="1:23" x14ac:dyDescent="0.2">
      <c r="A1" s="78" t="s">
        <v>80</v>
      </c>
      <c r="B1" s="107"/>
      <c r="C1" s="109"/>
    </row>
    <row r="2" spans="1:23" ht="22.5" x14ac:dyDescent="0.25">
      <c r="A2" s="84"/>
      <c r="B2" s="85"/>
      <c r="C2" s="110"/>
      <c r="D2" s="250" t="s">
        <v>115</v>
      </c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</row>
    <row r="3" spans="1:23" ht="36" x14ac:dyDescent="0.2">
      <c r="A3" s="84" t="s">
        <v>81</v>
      </c>
      <c r="B3" s="84" t="s">
        <v>38</v>
      </c>
      <c r="C3" s="116" t="s">
        <v>222</v>
      </c>
      <c r="D3" s="79" t="s">
        <v>87</v>
      </c>
      <c r="E3" s="79" t="s">
        <v>5</v>
      </c>
      <c r="F3" s="79" t="s">
        <v>41</v>
      </c>
      <c r="G3" s="79" t="s">
        <v>220</v>
      </c>
      <c r="H3" s="115" t="s">
        <v>223</v>
      </c>
      <c r="I3" s="79" t="s">
        <v>42</v>
      </c>
      <c r="J3" s="79" t="s">
        <v>8</v>
      </c>
      <c r="K3" s="79" t="s">
        <v>9</v>
      </c>
      <c r="L3" s="79" t="s">
        <v>220</v>
      </c>
      <c r="M3" s="115" t="s">
        <v>221</v>
      </c>
      <c r="N3" s="79" t="s">
        <v>10</v>
      </c>
      <c r="O3" s="79" t="s">
        <v>11</v>
      </c>
      <c r="P3" s="79" t="s">
        <v>12</v>
      </c>
      <c r="Q3" s="79" t="s">
        <v>220</v>
      </c>
      <c r="R3" s="115" t="s">
        <v>221</v>
      </c>
      <c r="S3" s="79" t="s">
        <v>13</v>
      </c>
      <c r="T3" s="79" t="s">
        <v>14</v>
      </c>
      <c r="U3" s="79" t="s">
        <v>15</v>
      </c>
      <c r="V3" s="79" t="s">
        <v>220</v>
      </c>
      <c r="W3" s="115" t="s">
        <v>221</v>
      </c>
    </row>
    <row r="4" spans="1:23" x14ac:dyDescent="0.2">
      <c r="A4" s="80">
        <v>1</v>
      </c>
      <c r="B4" s="108" t="s">
        <v>103</v>
      </c>
      <c r="C4" s="108">
        <v>3246</v>
      </c>
      <c r="D4" s="80">
        <v>1650</v>
      </c>
      <c r="E4" s="80">
        <v>1498</v>
      </c>
      <c r="F4" s="80">
        <v>2195</v>
      </c>
      <c r="G4" s="80">
        <f>D4+E4+F4</f>
        <v>5343</v>
      </c>
      <c r="H4" s="80">
        <f>(G4-C4)/C4*100</f>
        <v>64.602587800369676</v>
      </c>
      <c r="I4" s="80"/>
      <c r="J4" s="80"/>
      <c r="K4" s="80"/>
      <c r="L4" s="80">
        <f t="shared" ref="L4:L8" si="0">I4+J4+K4</f>
        <v>0</v>
      </c>
      <c r="M4" s="80">
        <f t="shared" ref="M4:M8" si="1">(L4-H4)/H4*100</f>
        <v>-100</v>
      </c>
      <c r="N4" s="80"/>
      <c r="O4" s="80"/>
      <c r="P4" s="80"/>
      <c r="Q4" s="80">
        <f t="shared" ref="Q4:Q8" si="2">N4+O4+P4</f>
        <v>0</v>
      </c>
      <c r="R4" s="80">
        <f t="shared" ref="R4:R8" si="3">(Q4-M4)/M4*100</f>
        <v>-100</v>
      </c>
      <c r="S4" s="80"/>
      <c r="T4" s="80"/>
      <c r="U4" s="80"/>
      <c r="V4" s="80">
        <f t="shared" ref="V4:V8" si="4">S4+T4+U4</f>
        <v>0</v>
      </c>
      <c r="W4" s="80">
        <f t="shared" ref="W4:W8" si="5">(V4-R4)/R4*100</f>
        <v>-100</v>
      </c>
    </row>
    <row r="5" spans="1:23" x14ac:dyDescent="0.2">
      <c r="A5" s="80">
        <v>2</v>
      </c>
      <c r="B5" s="108" t="s">
        <v>116</v>
      </c>
      <c r="C5" s="108"/>
      <c r="D5" s="80">
        <v>0</v>
      </c>
      <c r="E5" s="80"/>
      <c r="F5" s="80"/>
      <c r="G5" s="80">
        <f t="shared" ref="G5:G8" si="6">D5+E5+F5</f>
        <v>0</v>
      </c>
      <c r="H5" s="80" t="e">
        <f t="shared" ref="H5:H8" si="7">(G5-C5)/C5*100</f>
        <v>#DIV/0!</v>
      </c>
      <c r="I5" s="80"/>
      <c r="J5" s="80"/>
      <c r="K5" s="80"/>
      <c r="L5" s="80">
        <f t="shared" si="0"/>
        <v>0</v>
      </c>
      <c r="M5" s="80" t="e">
        <f t="shared" si="1"/>
        <v>#DIV/0!</v>
      </c>
      <c r="N5" s="80"/>
      <c r="O5" s="80"/>
      <c r="P5" s="80"/>
      <c r="Q5" s="80">
        <f t="shared" si="2"/>
        <v>0</v>
      </c>
      <c r="R5" s="80" t="e">
        <f t="shared" si="3"/>
        <v>#DIV/0!</v>
      </c>
      <c r="S5" s="80"/>
      <c r="T5" s="80"/>
      <c r="U5" s="80"/>
      <c r="V5" s="80">
        <f t="shared" si="4"/>
        <v>0</v>
      </c>
      <c r="W5" s="80" t="e">
        <f t="shared" si="5"/>
        <v>#DIV/0!</v>
      </c>
    </row>
    <row r="6" spans="1:23" x14ac:dyDescent="0.2">
      <c r="A6" s="80">
        <v>3</v>
      </c>
      <c r="B6" s="108" t="s">
        <v>113</v>
      </c>
      <c r="C6" s="108">
        <v>214</v>
      </c>
      <c r="D6" s="80">
        <v>62</v>
      </c>
      <c r="E6" s="80">
        <v>84</v>
      </c>
      <c r="F6" s="80">
        <v>96</v>
      </c>
      <c r="G6" s="80">
        <f t="shared" si="6"/>
        <v>242</v>
      </c>
      <c r="H6" s="80">
        <f t="shared" si="7"/>
        <v>13.084112149532709</v>
      </c>
      <c r="I6" s="80"/>
      <c r="J6" s="80"/>
      <c r="K6" s="80"/>
      <c r="L6" s="80">
        <f t="shared" si="0"/>
        <v>0</v>
      </c>
      <c r="M6" s="80">
        <f t="shared" si="1"/>
        <v>-100</v>
      </c>
      <c r="N6" s="80"/>
      <c r="O6" s="80"/>
      <c r="P6" s="80"/>
      <c r="Q6" s="80">
        <f t="shared" si="2"/>
        <v>0</v>
      </c>
      <c r="R6" s="80">
        <f t="shared" si="3"/>
        <v>-100</v>
      </c>
      <c r="S6" s="80"/>
      <c r="T6" s="80"/>
      <c r="U6" s="80"/>
      <c r="V6" s="80">
        <f t="shared" si="4"/>
        <v>0</v>
      </c>
      <c r="W6" s="80">
        <f t="shared" si="5"/>
        <v>-100</v>
      </c>
    </row>
    <row r="7" spans="1:23" x14ac:dyDescent="0.2">
      <c r="A7" s="80">
        <v>4</v>
      </c>
      <c r="B7" s="108" t="s">
        <v>105</v>
      </c>
      <c r="C7" s="108">
        <v>817</v>
      </c>
      <c r="D7" s="80">
        <v>352</v>
      </c>
      <c r="E7" s="80">
        <v>430</v>
      </c>
      <c r="F7" s="80">
        <v>445</v>
      </c>
      <c r="G7" s="80">
        <f t="shared" si="6"/>
        <v>1227</v>
      </c>
      <c r="H7" s="80">
        <f t="shared" si="7"/>
        <v>50.18359853121175</v>
      </c>
      <c r="I7" s="80"/>
      <c r="J7" s="80"/>
      <c r="K7" s="80"/>
      <c r="L7" s="80">
        <f t="shared" si="0"/>
        <v>0</v>
      </c>
      <c r="M7" s="80">
        <f t="shared" si="1"/>
        <v>-100</v>
      </c>
      <c r="N7" s="80"/>
      <c r="O7" s="80"/>
      <c r="P7" s="80"/>
      <c r="Q7" s="80">
        <f t="shared" si="2"/>
        <v>0</v>
      </c>
      <c r="R7" s="80">
        <f t="shared" si="3"/>
        <v>-100</v>
      </c>
      <c r="S7" s="80"/>
      <c r="T7" s="80"/>
      <c r="U7" s="80"/>
      <c r="V7" s="80">
        <f t="shared" si="4"/>
        <v>0</v>
      </c>
      <c r="W7" s="80">
        <f t="shared" si="5"/>
        <v>-100</v>
      </c>
    </row>
    <row r="8" spans="1:23" x14ac:dyDescent="0.2">
      <c r="A8" s="80">
        <v>5</v>
      </c>
      <c r="B8" s="108" t="s">
        <v>600</v>
      </c>
      <c r="C8" s="108"/>
      <c r="D8" s="80"/>
      <c r="E8" s="80">
        <v>65</v>
      </c>
      <c r="F8" s="80"/>
      <c r="G8" s="80">
        <f t="shared" si="6"/>
        <v>65</v>
      </c>
      <c r="H8" s="80" t="e">
        <f t="shared" si="7"/>
        <v>#DIV/0!</v>
      </c>
      <c r="I8" s="80"/>
      <c r="J8" s="80"/>
      <c r="K8" s="80"/>
      <c r="L8" s="80">
        <f t="shared" si="0"/>
        <v>0</v>
      </c>
      <c r="M8" s="80" t="e">
        <f t="shared" si="1"/>
        <v>#DIV/0!</v>
      </c>
      <c r="N8" s="80"/>
      <c r="O8" s="80"/>
      <c r="P8" s="80"/>
      <c r="Q8" s="80">
        <f t="shared" si="2"/>
        <v>0</v>
      </c>
      <c r="R8" s="80" t="e">
        <f t="shared" si="3"/>
        <v>#DIV/0!</v>
      </c>
      <c r="S8" s="80"/>
      <c r="T8" s="80"/>
      <c r="U8" s="80"/>
      <c r="V8" s="80">
        <f t="shared" si="4"/>
        <v>0</v>
      </c>
      <c r="W8" s="80" t="e">
        <f t="shared" si="5"/>
        <v>#DIV/0!</v>
      </c>
    </row>
    <row r="11" spans="1:23" ht="22.5" x14ac:dyDescent="0.25">
      <c r="A11" s="84"/>
      <c r="B11" s="85"/>
      <c r="C11" s="110"/>
      <c r="D11" s="252" t="s">
        <v>86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</row>
    <row r="12" spans="1:23" ht="36" x14ac:dyDescent="0.2">
      <c r="A12" s="84" t="s">
        <v>81</v>
      </c>
      <c r="B12" s="84" t="s">
        <v>38</v>
      </c>
      <c r="C12" s="116" t="s">
        <v>222</v>
      </c>
      <c r="D12" s="79" t="s">
        <v>87</v>
      </c>
      <c r="E12" s="79" t="s">
        <v>5</v>
      </c>
      <c r="F12" s="79" t="s">
        <v>41</v>
      </c>
      <c r="G12" s="79" t="s">
        <v>220</v>
      </c>
      <c r="H12" s="115" t="s">
        <v>223</v>
      </c>
      <c r="I12" s="79" t="s">
        <v>42</v>
      </c>
      <c r="J12" s="79" t="s">
        <v>8</v>
      </c>
      <c r="K12" s="79" t="s">
        <v>9</v>
      </c>
      <c r="L12" s="79" t="s">
        <v>220</v>
      </c>
      <c r="M12" s="115" t="s">
        <v>221</v>
      </c>
      <c r="N12" s="79" t="s">
        <v>10</v>
      </c>
      <c r="O12" s="79" t="s">
        <v>11</v>
      </c>
      <c r="P12" s="79" t="s">
        <v>12</v>
      </c>
      <c r="Q12" s="79" t="s">
        <v>220</v>
      </c>
      <c r="R12" s="115" t="s">
        <v>221</v>
      </c>
      <c r="S12" s="79" t="s">
        <v>13</v>
      </c>
      <c r="T12" s="79" t="s">
        <v>14</v>
      </c>
      <c r="U12" s="79" t="s">
        <v>15</v>
      </c>
      <c r="V12" s="79" t="s">
        <v>220</v>
      </c>
      <c r="W12" s="115" t="s">
        <v>221</v>
      </c>
    </row>
    <row r="13" spans="1:23" x14ac:dyDescent="0.2">
      <c r="A13" s="80">
        <v>1</v>
      </c>
      <c r="B13" s="108" t="s">
        <v>103</v>
      </c>
      <c r="C13" s="108">
        <f>1605+1643+1571</f>
        <v>4819</v>
      </c>
      <c r="D13" s="80">
        <v>2023</v>
      </c>
      <c r="E13" s="80">
        <v>1709</v>
      </c>
      <c r="F13" s="80">
        <v>1717</v>
      </c>
      <c r="G13" s="80">
        <f>D13+E13+F13</f>
        <v>5449</v>
      </c>
      <c r="H13" s="80">
        <f>(G13-C13)/C13*100</f>
        <v>13.073251711973437</v>
      </c>
      <c r="I13" s="80"/>
      <c r="J13" s="80"/>
      <c r="K13" s="80"/>
      <c r="L13" s="80">
        <f t="shared" ref="L13:L17" si="8">I13+J13+K13</f>
        <v>0</v>
      </c>
      <c r="M13" s="80">
        <f t="shared" ref="M13:M17" si="9">(L13-H13)/H13*100</f>
        <v>-100</v>
      </c>
      <c r="N13" s="80"/>
      <c r="O13" s="80"/>
      <c r="P13" s="80"/>
      <c r="Q13" s="80">
        <f t="shared" ref="Q13:Q17" si="10">N13+O13+P13</f>
        <v>0</v>
      </c>
      <c r="R13" s="80">
        <f t="shared" ref="R13:R17" si="11">(Q13-M13)/M13*100</f>
        <v>-100</v>
      </c>
      <c r="S13" s="80"/>
      <c r="T13" s="80"/>
      <c r="U13" s="80"/>
      <c r="V13" s="80">
        <f t="shared" ref="V13:V17" si="12">S13+T13+U13</f>
        <v>0</v>
      </c>
      <c r="W13" s="80">
        <f t="shared" ref="W13:W17" si="13">(V13-R13)/R13*100</f>
        <v>-100</v>
      </c>
    </row>
    <row r="14" spans="1:23" x14ac:dyDescent="0.2">
      <c r="A14" s="80">
        <v>2</v>
      </c>
      <c r="B14" s="108" t="s">
        <v>116</v>
      </c>
      <c r="C14" s="108">
        <f>4+1+16</f>
        <v>21</v>
      </c>
      <c r="D14" s="80">
        <v>2</v>
      </c>
      <c r="E14" s="80"/>
      <c r="F14" s="80"/>
      <c r="G14" s="80">
        <f t="shared" ref="G14:G17" si="14">D14+E14+F14</f>
        <v>2</v>
      </c>
      <c r="H14" s="80">
        <f t="shared" ref="H14:H17" si="15">(G14-C14)/C14*100</f>
        <v>-90.476190476190482</v>
      </c>
      <c r="I14" s="80"/>
      <c r="J14" s="80"/>
      <c r="K14" s="80"/>
      <c r="L14" s="80">
        <f t="shared" si="8"/>
        <v>0</v>
      </c>
      <c r="M14" s="80">
        <f t="shared" si="9"/>
        <v>-100</v>
      </c>
      <c r="N14" s="80"/>
      <c r="O14" s="80"/>
      <c r="P14" s="80"/>
      <c r="Q14" s="80">
        <f t="shared" si="10"/>
        <v>0</v>
      </c>
      <c r="R14" s="80">
        <f t="shared" si="11"/>
        <v>-100</v>
      </c>
      <c r="S14" s="80"/>
      <c r="T14" s="80"/>
      <c r="U14" s="80"/>
      <c r="V14" s="80">
        <f t="shared" si="12"/>
        <v>0</v>
      </c>
      <c r="W14" s="80">
        <f t="shared" si="13"/>
        <v>-100</v>
      </c>
    </row>
    <row r="15" spans="1:23" x14ac:dyDescent="0.2">
      <c r="A15" s="80">
        <v>3</v>
      </c>
      <c r="B15" s="108" t="s">
        <v>113</v>
      </c>
      <c r="C15" s="108">
        <f>107+22+126+132+3</f>
        <v>390</v>
      </c>
      <c r="D15" s="80">
        <v>153</v>
      </c>
      <c r="E15" s="80">
        <v>130</v>
      </c>
      <c r="F15" s="80">
        <v>186</v>
      </c>
      <c r="G15" s="80">
        <f t="shared" si="14"/>
        <v>469</v>
      </c>
      <c r="H15" s="80">
        <f t="shared" si="15"/>
        <v>20.256410256410255</v>
      </c>
      <c r="I15" s="80"/>
      <c r="J15" s="80"/>
      <c r="K15" s="80"/>
      <c r="L15" s="80">
        <f t="shared" si="8"/>
        <v>0</v>
      </c>
      <c r="M15" s="80">
        <f t="shared" si="9"/>
        <v>-100</v>
      </c>
      <c r="N15" s="80"/>
      <c r="O15" s="80"/>
      <c r="P15" s="80"/>
      <c r="Q15" s="80">
        <f t="shared" si="10"/>
        <v>0</v>
      </c>
      <c r="R15" s="80">
        <f t="shared" si="11"/>
        <v>-100</v>
      </c>
      <c r="S15" s="80"/>
      <c r="T15" s="80"/>
      <c r="U15" s="80"/>
      <c r="V15" s="80">
        <f t="shared" si="12"/>
        <v>0</v>
      </c>
      <c r="W15" s="80">
        <f t="shared" si="13"/>
        <v>-100</v>
      </c>
    </row>
    <row r="16" spans="1:23" x14ac:dyDescent="0.2">
      <c r="A16" s="80">
        <v>4</v>
      </c>
      <c r="B16" s="108" t="s">
        <v>105</v>
      </c>
      <c r="C16" s="108">
        <f>401+60+350+423</f>
        <v>1234</v>
      </c>
      <c r="D16" s="80">
        <v>509</v>
      </c>
      <c r="E16" s="80">
        <v>361</v>
      </c>
      <c r="F16" s="80">
        <v>502</v>
      </c>
      <c r="G16" s="80">
        <f t="shared" si="14"/>
        <v>1372</v>
      </c>
      <c r="H16" s="80">
        <f t="shared" si="15"/>
        <v>11.183144246353322</v>
      </c>
      <c r="I16" s="80"/>
      <c r="J16" s="80"/>
      <c r="K16" s="80"/>
      <c r="L16" s="80">
        <f t="shared" si="8"/>
        <v>0</v>
      </c>
      <c r="M16" s="80">
        <f t="shared" si="9"/>
        <v>-100</v>
      </c>
      <c r="N16" s="80"/>
      <c r="O16" s="80"/>
      <c r="P16" s="80"/>
      <c r="Q16" s="80">
        <f t="shared" si="10"/>
        <v>0</v>
      </c>
      <c r="R16" s="80">
        <f t="shared" si="11"/>
        <v>-100</v>
      </c>
      <c r="S16" s="80"/>
      <c r="T16" s="80"/>
      <c r="U16" s="80"/>
      <c r="V16" s="80">
        <f t="shared" si="12"/>
        <v>0</v>
      </c>
      <c r="W16" s="80">
        <f t="shared" si="13"/>
        <v>-100</v>
      </c>
    </row>
    <row r="17" spans="1:23" x14ac:dyDescent="0.2">
      <c r="A17" s="80">
        <v>5</v>
      </c>
      <c r="B17" s="108" t="s">
        <v>600</v>
      </c>
      <c r="C17" s="108">
        <f>56+2+13</f>
        <v>71</v>
      </c>
      <c r="D17" s="80">
        <v>8</v>
      </c>
      <c r="E17" s="80">
        <v>39</v>
      </c>
      <c r="F17" s="80">
        <v>15</v>
      </c>
      <c r="G17" s="80">
        <f t="shared" si="14"/>
        <v>62</v>
      </c>
      <c r="H17" s="80">
        <f t="shared" si="15"/>
        <v>-12.676056338028168</v>
      </c>
      <c r="I17" s="80"/>
      <c r="J17" s="80"/>
      <c r="K17" s="80"/>
      <c r="L17" s="80">
        <f t="shared" si="8"/>
        <v>0</v>
      </c>
      <c r="M17" s="80">
        <f t="shared" si="9"/>
        <v>-100</v>
      </c>
      <c r="N17" s="80"/>
      <c r="O17" s="80"/>
      <c r="P17" s="80"/>
      <c r="Q17" s="80">
        <f t="shared" si="10"/>
        <v>0</v>
      </c>
      <c r="R17" s="80">
        <f t="shared" si="11"/>
        <v>-100</v>
      </c>
      <c r="S17" s="80"/>
      <c r="T17" s="80"/>
      <c r="U17" s="80"/>
      <c r="V17" s="80">
        <f t="shared" si="12"/>
        <v>0</v>
      </c>
      <c r="W17" s="80">
        <f t="shared" si="13"/>
        <v>-100</v>
      </c>
    </row>
  </sheetData>
  <mergeCells count="2">
    <mergeCell ref="D2:W2"/>
    <mergeCell ref="D11:W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8"/>
  <sheetViews>
    <sheetView workbookViewId="0">
      <selection activeCell="B32" sqref="B32"/>
    </sheetView>
  </sheetViews>
  <sheetFormatPr defaultRowHeight="15" x14ac:dyDescent="0.2"/>
  <cols>
    <col min="1" max="1" width="16.27734375" bestFit="1" customWidth="1"/>
    <col min="2" max="2" width="22.59765625" customWidth="1"/>
    <col min="3" max="3" width="16.0078125" bestFit="1" customWidth="1"/>
    <col min="4" max="4" width="12.64453125" bestFit="1" customWidth="1"/>
    <col min="5" max="5" width="20.84765625" customWidth="1"/>
    <col min="6" max="6" width="25.9609375" bestFit="1" customWidth="1"/>
    <col min="7" max="7" width="33.08984375" bestFit="1" customWidth="1"/>
    <col min="8" max="19" width="11.02734375" customWidth="1"/>
  </cols>
  <sheetData>
    <row r="1" spans="1:19" x14ac:dyDescent="0.2">
      <c r="A1" s="78" t="s">
        <v>80</v>
      </c>
      <c r="B1" s="254"/>
      <c r="C1" s="254"/>
      <c r="D1" s="254"/>
      <c r="E1" s="254"/>
      <c r="F1" s="254"/>
      <c r="G1" s="254"/>
    </row>
    <row r="2" spans="1:19" x14ac:dyDescent="0.2">
      <c r="A2" s="255" t="s">
        <v>81</v>
      </c>
      <c r="B2" s="255" t="s">
        <v>82</v>
      </c>
      <c r="C2" s="255" t="s">
        <v>38</v>
      </c>
      <c r="D2" s="255" t="s">
        <v>83</v>
      </c>
      <c r="E2" s="255" t="s">
        <v>84</v>
      </c>
      <c r="F2" s="86"/>
      <c r="G2" s="86"/>
      <c r="H2" s="235" t="s">
        <v>86</v>
      </c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200"/>
    </row>
    <row r="3" spans="1:19" x14ac:dyDescent="0.2">
      <c r="A3" s="256"/>
      <c r="B3" s="256"/>
      <c r="C3" s="256"/>
      <c r="D3" s="256"/>
      <c r="E3" s="256"/>
      <c r="F3" s="86" t="s">
        <v>96</v>
      </c>
      <c r="G3" s="86" t="s">
        <v>95</v>
      </c>
      <c r="H3" s="79" t="s">
        <v>87</v>
      </c>
      <c r="I3" s="79" t="s">
        <v>5</v>
      </c>
      <c r="J3" s="79" t="s">
        <v>41</v>
      </c>
      <c r="K3" s="79" t="s">
        <v>42</v>
      </c>
      <c r="L3" s="79" t="s">
        <v>8</v>
      </c>
      <c r="M3" s="79" t="s">
        <v>9</v>
      </c>
      <c r="N3" s="79" t="s">
        <v>10</v>
      </c>
      <c r="O3" s="79" t="s">
        <v>11</v>
      </c>
      <c r="P3" s="79" t="s">
        <v>12</v>
      </c>
      <c r="Q3" s="79" t="s">
        <v>13</v>
      </c>
      <c r="R3" s="79" t="s">
        <v>14</v>
      </c>
      <c r="S3" s="79" t="s">
        <v>15</v>
      </c>
    </row>
    <row r="4" spans="1:19" x14ac:dyDescent="0.2">
      <c r="A4" s="80">
        <v>1</v>
      </c>
      <c r="B4" s="80" t="s">
        <v>241</v>
      </c>
      <c r="C4" s="80" t="s">
        <v>117</v>
      </c>
      <c r="D4" s="80" t="s">
        <v>120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spans="1:19" x14ac:dyDescent="0.2">
      <c r="A5" s="80">
        <v>2</v>
      </c>
      <c r="B5" s="80" t="s">
        <v>242</v>
      </c>
      <c r="C5" s="80" t="s">
        <v>117</v>
      </c>
      <c r="D5" s="80" t="s">
        <v>120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spans="1:19" x14ac:dyDescent="0.2">
      <c r="A6" s="80">
        <v>3</v>
      </c>
      <c r="B6" s="80" t="s">
        <v>243</v>
      </c>
      <c r="C6" s="80" t="s">
        <v>117</v>
      </c>
      <c r="D6" s="80" t="s">
        <v>120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spans="1:19" x14ac:dyDescent="0.2">
      <c r="A7" s="80">
        <v>4</v>
      </c>
      <c r="B7" s="80" t="s">
        <v>244</v>
      </c>
      <c r="C7" s="80" t="s">
        <v>117</v>
      </c>
      <c r="D7" s="80" t="s">
        <v>120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spans="1:19" x14ac:dyDescent="0.2">
      <c r="A8" s="80">
        <v>5</v>
      </c>
      <c r="B8" s="80" t="s">
        <v>245</v>
      </c>
      <c r="C8" s="80" t="s">
        <v>117</v>
      </c>
      <c r="D8" s="80" t="s">
        <v>120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spans="1:19" x14ac:dyDescent="0.2">
      <c r="A9" s="80">
        <v>6</v>
      </c>
      <c r="B9" s="80" t="s">
        <v>270</v>
      </c>
      <c r="C9" s="80" t="s">
        <v>118</v>
      </c>
      <c r="D9" s="80" t="s">
        <v>120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spans="1:19" x14ac:dyDescent="0.2">
      <c r="A10" s="80">
        <v>7</v>
      </c>
      <c r="B10" s="80" t="s">
        <v>246</v>
      </c>
      <c r="C10" s="80" t="s">
        <v>118</v>
      </c>
      <c r="D10" s="80" t="s">
        <v>120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spans="1:19" x14ac:dyDescent="0.2">
      <c r="A11" s="80">
        <v>8</v>
      </c>
      <c r="B11" s="80" t="s">
        <v>247</v>
      </c>
      <c r="C11" s="80" t="s">
        <v>118</v>
      </c>
      <c r="D11" s="80" t="s">
        <v>120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</row>
    <row r="12" spans="1:19" x14ac:dyDescent="0.2">
      <c r="A12" s="80">
        <v>9</v>
      </c>
      <c r="B12" s="80" t="s">
        <v>248</v>
      </c>
      <c r="C12" s="80" t="s">
        <v>118</v>
      </c>
      <c r="D12" s="80" t="s">
        <v>120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</row>
    <row r="13" spans="1:19" x14ac:dyDescent="0.2">
      <c r="A13" s="80">
        <v>10</v>
      </c>
      <c r="B13" s="80" t="s">
        <v>249</v>
      </c>
      <c r="C13" s="80" t="s">
        <v>118</v>
      </c>
      <c r="D13" s="80" t="s">
        <v>120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</row>
    <row r="14" spans="1:19" x14ac:dyDescent="0.2">
      <c r="A14" s="80">
        <v>6</v>
      </c>
      <c r="B14" s="80" t="s">
        <v>250</v>
      </c>
      <c r="C14" s="80" t="s">
        <v>119</v>
      </c>
      <c r="D14" s="80" t="s">
        <v>121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</row>
    <row r="15" spans="1:19" x14ac:dyDescent="0.2">
      <c r="A15" s="80">
        <v>7</v>
      </c>
      <c r="B15" s="80" t="s">
        <v>251</v>
      </c>
      <c r="C15" s="80" t="s">
        <v>119</v>
      </c>
      <c r="D15" s="80" t="s">
        <v>121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</row>
    <row r="16" spans="1:19" x14ac:dyDescent="0.2">
      <c r="A16" s="80">
        <v>8</v>
      </c>
      <c r="B16" s="80" t="s">
        <v>271</v>
      </c>
      <c r="C16" s="80" t="s">
        <v>119</v>
      </c>
      <c r="D16" s="80" t="s">
        <v>121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</row>
    <row r="17" spans="1:19" x14ac:dyDescent="0.2">
      <c r="A17" s="80">
        <v>9</v>
      </c>
      <c r="B17" s="80" t="s">
        <v>272</v>
      </c>
      <c r="C17" s="80" t="s">
        <v>119</v>
      </c>
      <c r="D17" s="80" t="s">
        <v>121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</row>
    <row r="18" spans="1:19" x14ac:dyDescent="0.2">
      <c r="A18" s="80">
        <v>10</v>
      </c>
      <c r="B18" s="80" t="s">
        <v>252</v>
      </c>
      <c r="C18" s="80" t="s">
        <v>119</v>
      </c>
      <c r="D18" s="80" t="s">
        <v>121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</row>
  </sheetData>
  <mergeCells count="7">
    <mergeCell ref="B1:G1"/>
    <mergeCell ref="H2:S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01"/>
  <sheetViews>
    <sheetView tabSelected="1" workbookViewId="0">
      <pane xSplit="2" ySplit="1" topLeftCell="X2" activePane="bottomRight" state="frozen"/>
      <selection activeCell="B38" sqref="B38"/>
      <selection pane="bottomLeft" activeCell="A2" sqref="A2"/>
      <selection pane="topRight" activeCell="C1" sqref="C1"/>
      <selection pane="bottomRight" activeCell="AB38" sqref="AB38"/>
    </sheetView>
  </sheetViews>
  <sheetFormatPr defaultColWidth="9.28125" defaultRowHeight="10.5" x14ac:dyDescent="0.1"/>
  <cols>
    <col min="1" max="1" width="3.8984375" style="14" bestFit="1" customWidth="1"/>
    <col min="2" max="2" width="26.23046875" style="14" bestFit="1" customWidth="1"/>
    <col min="3" max="3" width="19.234375" style="14" customWidth="1"/>
    <col min="4" max="4" width="16.8125" style="14" bestFit="1" customWidth="1"/>
    <col min="5" max="5" width="14.390625" style="14" customWidth="1"/>
    <col min="6" max="6" width="15.6015625" style="14" bestFit="1" customWidth="1"/>
    <col min="7" max="7" width="15.46875" style="14" bestFit="1" customWidth="1"/>
    <col min="8" max="8" width="4.9765625" style="14" hidden="1" customWidth="1"/>
    <col min="9" max="9" width="3.49609375" style="14" hidden="1" customWidth="1"/>
    <col min="10" max="10" width="4.9765625" style="14" hidden="1" customWidth="1"/>
    <col min="11" max="11" width="3.49609375" style="14" hidden="1" customWidth="1"/>
    <col min="12" max="12" width="4.9765625" style="14" hidden="1" customWidth="1"/>
    <col min="13" max="13" width="3.49609375" style="14" hidden="1" customWidth="1"/>
    <col min="14" max="14" width="7.93359375" style="14" bestFit="1" customWidth="1"/>
    <col min="15" max="15" width="10.625" style="14" bestFit="1" customWidth="1"/>
    <col min="16" max="16" width="5.37890625" style="14" bestFit="1" customWidth="1"/>
    <col min="17" max="17" width="9.55078125" style="14" bestFit="1" customWidth="1"/>
    <col min="18" max="18" width="5.37890625" style="14" bestFit="1" customWidth="1"/>
    <col min="19" max="19" width="9.55078125" style="14" bestFit="1" customWidth="1"/>
    <col min="20" max="20" width="5.37890625" style="14" bestFit="1" customWidth="1"/>
    <col min="21" max="21" width="9.55078125" style="14" bestFit="1" customWidth="1"/>
    <col min="22" max="22" width="5.37890625" style="14" bestFit="1" customWidth="1"/>
    <col min="23" max="23" width="12.10546875" style="14" customWidth="1"/>
    <col min="24" max="24" width="5.37890625" style="14" bestFit="1" customWidth="1"/>
    <col min="25" max="25" width="9.953125" style="14" customWidth="1"/>
    <col min="26" max="26" width="10.22265625" style="14" customWidth="1"/>
    <col min="27" max="27" width="4.9765625" style="14" bestFit="1" customWidth="1"/>
    <col min="28" max="28" width="6.859375" style="14" customWidth="1"/>
    <col min="29" max="29" width="8.0703125" style="14" customWidth="1"/>
    <col min="30" max="30" width="9.68359375" style="14" customWidth="1"/>
    <col min="31" max="31" width="7.26171875" style="14" customWidth="1"/>
    <col min="32" max="32" width="7.53125" style="14" customWidth="1"/>
    <col min="33" max="16384" width="9.28125" style="14"/>
  </cols>
  <sheetData>
    <row r="1" spans="1:46" ht="18" customHeight="1" thickBot="1" x14ac:dyDescent="0.15">
      <c r="A1" s="263" t="s">
        <v>107</v>
      </c>
      <c r="B1" s="264"/>
      <c r="C1" s="264"/>
      <c r="D1" s="264"/>
      <c r="E1" s="264"/>
      <c r="F1" s="264"/>
      <c r="G1" s="264"/>
      <c r="H1" s="264"/>
      <c r="I1" s="264"/>
      <c r="J1" s="264"/>
      <c r="K1" s="26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5"/>
      <c r="AF1" s="46"/>
      <c r="AS1" s="173"/>
      <c r="AT1" s="174"/>
    </row>
    <row r="2" spans="1:46" x14ac:dyDescent="0.1">
      <c r="A2" s="259" t="s">
        <v>2</v>
      </c>
      <c r="B2" s="261" t="s">
        <v>47</v>
      </c>
      <c r="C2" s="261" t="s">
        <v>108</v>
      </c>
      <c r="D2" s="261" t="s">
        <v>48</v>
      </c>
      <c r="E2" s="261" t="s">
        <v>49</v>
      </c>
      <c r="F2" s="261" t="s">
        <v>50</v>
      </c>
      <c r="G2" s="261" t="s">
        <v>51</v>
      </c>
      <c r="H2" s="266" t="s">
        <v>109</v>
      </c>
      <c r="I2" s="258"/>
      <c r="J2" s="266" t="s">
        <v>110</v>
      </c>
      <c r="K2" s="258"/>
      <c r="L2" s="266" t="s">
        <v>43</v>
      </c>
      <c r="M2" s="258"/>
      <c r="N2" s="261" t="s">
        <v>111</v>
      </c>
      <c r="O2" s="257">
        <v>46023</v>
      </c>
      <c r="P2" s="258"/>
      <c r="Q2" s="257">
        <v>46054</v>
      </c>
      <c r="R2" s="258"/>
      <c r="S2" s="257">
        <v>46082</v>
      </c>
      <c r="T2" s="258"/>
      <c r="U2" s="257">
        <v>46113</v>
      </c>
      <c r="V2" s="258"/>
      <c r="W2" s="257">
        <v>46143</v>
      </c>
      <c r="X2" s="258"/>
      <c r="Y2" s="257">
        <v>46174</v>
      </c>
      <c r="Z2" s="258"/>
      <c r="AA2" s="257">
        <v>46204</v>
      </c>
      <c r="AB2" s="258"/>
      <c r="AC2" s="257">
        <v>46235</v>
      </c>
      <c r="AD2" s="258"/>
      <c r="AE2" s="257">
        <v>46266</v>
      </c>
      <c r="AF2" s="258"/>
      <c r="AG2" s="257">
        <v>46296</v>
      </c>
      <c r="AH2" s="258"/>
      <c r="AI2" s="257">
        <v>46327</v>
      </c>
      <c r="AJ2" s="258"/>
      <c r="AK2" s="257">
        <v>46357</v>
      </c>
      <c r="AL2" s="258"/>
      <c r="AM2" s="257">
        <v>46388</v>
      </c>
      <c r="AN2" s="258"/>
      <c r="AO2" s="257">
        <v>46419</v>
      </c>
      <c r="AP2" s="258"/>
      <c r="AQ2" s="257">
        <v>46447</v>
      </c>
      <c r="AR2" s="258"/>
      <c r="AS2" s="173"/>
      <c r="AT2" s="173"/>
    </row>
    <row r="3" spans="1:46" ht="12.75" customHeight="1" thickBot="1" x14ac:dyDescent="0.15">
      <c r="A3" s="260"/>
      <c r="B3" s="262"/>
      <c r="C3" s="262"/>
      <c r="D3" s="262"/>
      <c r="E3" s="262"/>
      <c r="F3" s="262"/>
      <c r="G3" s="262"/>
      <c r="H3" s="104" t="s">
        <v>59</v>
      </c>
      <c r="I3" s="104" t="s">
        <v>60</v>
      </c>
      <c r="J3" s="104" t="s">
        <v>59</v>
      </c>
      <c r="K3" s="104" t="s">
        <v>60</v>
      </c>
      <c r="L3" s="104" t="s">
        <v>59</v>
      </c>
      <c r="M3" s="104" t="s">
        <v>60</v>
      </c>
      <c r="N3" s="262"/>
      <c r="O3" s="104" t="s">
        <v>112</v>
      </c>
      <c r="P3" s="104" t="s">
        <v>60</v>
      </c>
      <c r="Q3" s="104" t="s">
        <v>112</v>
      </c>
      <c r="R3" s="104" t="s">
        <v>60</v>
      </c>
      <c r="S3" s="104" t="s">
        <v>112</v>
      </c>
      <c r="T3" s="104" t="s">
        <v>60</v>
      </c>
      <c r="U3" s="104" t="s">
        <v>112</v>
      </c>
      <c r="V3" s="104" t="s">
        <v>60</v>
      </c>
      <c r="W3" s="104" t="s">
        <v>112</v>
      </c>
      <c r="X3" s="104" t="s">
        <v>60</v>
      </c>
      <c r="Y3" s="104" t="s">
        <v>112</v>
      </c>
      <c r="Z3" s="104" t="s">
        <v>60</v>
      </c>
      <c r="AA3" s="104" t="s">
        <v>112</v>
      </c>
      <c r="AB3" s="104" t="s">
        <v>60</v>
      </c>
      <c r="AC3" s="104" t="s">
        <v>112</v>
      </c>
      <c r="AD3" s="104" t="s">
        <v>60</v>
      </c>
      <c r="AE3" s="104" t="s">
        <v>112</v>
      </c>
      <c r="AF3" s="104" t="s">
        <v>60</v>
      </c>
      <c r="AG3" s="104" t="s">
        <v>112</v>
      </c>
      <c r="AH3" s="104" t="s">
        <v>60</v>
      </c>
      <c r="AI3" s="104" t="s">
        <v>112</v>
      </c>
      <c r="AJ3" s="104" t="s">
        <v>60</v>
      </c>
      <c r="AK3" s="104" t="s">
        <v>112</v>
      </c>
      <c r="AL3" s="104" t="s">
        <v>60</v>
      </c>
      <c r="AM3" s="104" t="s">
        <v>112</v>
      </c>
      <c r="AN3" s="104" t="s">
        <v>60</v>
      </c>
      <c r="AO3" s="104" t="s">
        <v>112</v>
      </c>
      <c r="AP3" s="104" t="s">
        <v>60</v>
      </c>
      <c r="AQ3" s="104" t="s">
        <v>112</v>
      </c>
      <c r="AR3" s="104" t="s">
        <v>60</v>
      </c>
      <c r="AS3" s="173" t="s">
        <v>111</v>
      </c>
      <c r="AT3" s="173" t="s">
        <v>580</v>
      </c>
    </row>
    <row r="4" spans="1:46" ht="15.75" thickBot="1" x14ac:dyDescent="0.25">
      <c r="A4" s="27">
        <v>1</v>
      </c>
      <c r="B4" s="168" t="s">
        <v>540</v>
      </c>
      <c r="C4" s="168" t="s">
        <v>521</v>
      </c>
      <c r="D4" s="168">
        <v>7014694989</v>
      </c>
      <c r="E4" s="168" t="s">
        <v>522</v>
      </c>
      <c r="F4" s="172" t="s">
        <v>565</v>
      </c>
      <c r="G4" s="168" t="s">
        <v>566</v>
      </c>
      <c r="H4" s="162" t="s">
        <v>523</v>
      </c>
      <c r="I4" s="26"/>
      <c r="J4" s="26"/>
      <c r="K4" s="26"/>
      <c r="L4" s="26"/>
      <c r="M4" s="26"/>
      <c r="N4" s="26"/>
      <c r="O4" s="26" t="s">
        <v>642</v>
      </c>
      <c r="P4" s="26">
        <v>10000</v>
      </c>
      <c r="Q4" s="26" t="s">
        <v>661</v>
      </c>
      <c r="R4" s="26">
        <v>10000</v>
      </c>
      <c r="S4" s="26" t="s">
        <v>702</v>
      </c>
      <c r="T4" s="26">
        <v>10000</v>
      </c>
      <c r="U4" s="26" t="s">
        <v>693</v>
      </c>
      <c r="V4" s="26">
        <v>35000</v>
      </c>
      <c r="W4" s="26" t="s">
        <v>712</v>
      </c>
      <c r="X4" s="26">
        <v>20000</v>
      </c>
      <c r="Y4" s="185" t="str">
        <f>+MSL!I3</f>
        <v>1,2,12,16,18,</v>
      </c>
      <c r="Z4" s="26">
        <v>10000</v>
      </c>
      <c r="AA4" s="26"/>
      <c r="AB4" s="26">
        <v>10000</v>
      </c>
      <c r="AC4" s="26"/>
      <c r="AD4" s="26"/>
      <c r="AE4" s="26"/>
      <c r="AF4" s="47"/>
      <c r="AG4" s="26"/>
      <c r="AH4" s="26"/>
      <c r="AI4" s="26"/>
      <c r="AJ4" s="26"/>
      <c r="AK4" s="26"/>
      <c r="AL4" s="47"/>
      <c r="AM4" s="26"/>
      <c r="AN4" s="26"/>
      <c r="AO4" s="26"/>
      <c r="AP4" s="26"/>
      <c r="AQ4" s="26"/>
      <c r="AR4" s="26"/>
      <c r="AS4" s="169" t="s">
        <v>581</v>
      </c>
      <c r="AT4" s="169">
        <v>180000</v>
      </c>
    </row>
    <row r="5" spans="1:46" ht="15.75" thickBot="1" x14ac:dyDescent="0.25">
      <c r="A5" s="5">
        <v>24</v>
      </c>
      <c r="B5" s="168" t="s">
        <v>241</v>
      </c>
      <c r="C5" s="169" t="s">
        <v>521</v>
      </c>
      <c r="D5" s="169">
        <v>9352517070</v>
      </c>
      <c r="E5" s="169" t="s">
        <v>529</v>
      </c>
      <c r="F5" s="169" t="s">
        <v>574</v>
      </c>
      <c r="G5" s="169" t="s">
        <v>575</v>
      </c>
      <c r="H5" s="163"/>
      <c r="I5" s="6"/>
      <c r="J5" s="6"/>
      <c r="K5" s="6"/>
      <c r="L5" s="6"/>
      <c r="M5" s="6"/>
      <c r="N5" s="6"/>
      <c r="O5" s="6" t="s">
        <v>654</v>
      </c>
      <c r="P5" s="6">
        <v>0</v>
      </c>
      <c r="Q5" s="6" t="s">
        <v>673</v>
      </c>
      <c r="R5" s="6">
        <v>3000</v>
      </c>
      <c r="S5" s="6" t="s">
        <v>687</v>
      </c>
      <c r="T5" s="6">
        <v>0</v>
      </c>
      <c r="U5" s="6" t="s">
        <v>603</v>
      </c>
      <c r="V5" s="6">
        <v>5000</v>
      </c>
      <c r="W5" s="6" t="s">
        <v>713</v>
      </c>
      <c r="X5" s="6">
        <v>3000</v>
      </c>
      <c r="Y5" s="185" t="str">
        <f>+MSL!I4</f>
        <v>13,19,29</v>
      </c>
      <c r="Z5" s="6">
        <v>5000</v>
      </c>
      <c r="AA5" s="6"/>
      <c r="AB5" s="6">
        <v>3000</v>
      </c>
      <c r="AC5" s="6"/>
      <c r="AD5" s="6"/>
      <c r="AE5" s="6"/>
      <c r="AF5" s="7"/>
      <c r="AG5" s="6"/>
      <c r="AH5" s="6"/>
      <c r="AI5" s="6"/>
      <c r="AJ5" s="6"/>
      <c r="AK5" s="6"/>
      <c r="AL5" s="7"/>
      <c r="AM5" s="6"/>
      <c r="AN5" s="6"/>
      <c r="AO5" s="6"/>
      <c r="AP5" s="6"/>
      <c r="AQ5" s="6"/>
      <c r="AR5" s="6"/>
      <c r="AS5" s="169" t="s">
        <v>581</v>
      </c>
      <c r="AT5" s="169">
        <v>7900</v>
      </c>
    </row>
    <row r="6" spans="1:46" ht="15" x14ac:dyDescent="0.2">
      <c r="A6" s="5">
        <v>9</v>
      </c>
      <c r="B6" s="168" t="s">
        <v>541</v>
      </c>
      <c r="C6" s="169" t="s">
        <v>521</v>
      </c>
      <c r="D6" s="169">
        <v>9829279719</v>
      </c>
      <c r="E6" s="169" t="s">
        <v>529</v>
      </c>
      <c r="F6" s="169">
        <v>30000</v>
      </c>
      <c r="G6" s="169" t="s">
        <v>552</v>
      </c>
      <c r="H6" s="162" t="s">
        <v>533</v>
      </c>
      <c r="I6" s="6"/>
      <c r="J6" s="6"/>
      <c r="K6" s="6"/>
      <c r="L6" s="6"/>
      <c r="M6" s="6"/>
      <c r="N6" s="6"/>
      <c r="O6" s="6" t="s">
        <v>647</v>
      </c>
      <c r="P6" s="6">
        <v>1300</v>
      </c>
      <c r="Q6" s="6" t="s">
        <v>697</v>
      </c>
      <c r="R6" s="6">
        <v>5000</v>
      </c>
      <c r="S6" s="6" t="s">
        <v>703</v>
      </c>
      <c r="T6" s="6">
        <v>6000</v>
      </c>
      <c r="U6" s="6" t="s">
        <v>694</v>
      </c>
      <c r="V6" s="6">
        <v>8000</v>
      </c>
      <c r="W6" s="6" t="s">
        <v>715</v>
      </c>
      <c r="X6" s="6">
        <v>8000</v>
      </c>
      <c r="Y6" s="185" t="str">
        <f>+MSL!I6</f>
        <v>3,18,24</v>
      </c>
      <c r="Z6" s="6">
        <v>5000</v>
      </c>
      <c r="AA6" s="6"/>
      <c r="AB6" s="6">
        <v>5000</v>
      </c>
      <c r="AC6" s="6"/>
      <c r="AD6" s="6"/>
      <c r="AE6" s="6"/>
      <c r="AF6" s="7"/>
      <c r="AG6" s="6"/>
      <c r="AH6" s="6"/>
      <c r="AI6" s="6"/>
      <c r="AJ6" s="6"/>
      <c r="AK6" s="6"/>
      <c r="AL6" s="7"/>
      <c r="AM6" s="6"/>
      <c r="AN6" s="6"/>
      <c r="AO6" s="6"/>
      <c r="AP6" s="6"/>
      <c r="AQ6" s="6"/>
      <c r="AR6" s="6"/>
      <c r="AS6" s="169" t="s">
        <v>581</v>
      </c>
      <c r="AT6" s="169">
        <v>86900</v>
      </c>
    </row>
    <row r="7" spans="1:46" x14ac:dyDescent="0.1">
      <c r="A7" s="5">
        <v>32</v>
      </c>
      <c r="B7" s="169" t="s">
        <v>242</v>
      </c>
      <c r="C7" s="169" t="s">
        <v>521</v>
      </c>
      <c r="D7" s="169">
        <v>9879188503</v>
      </c>
      <c r="E7" s="169" t="s">
        <v>563</v>
      </c>
      <c r="F7" s="169">
        <v>3200</v>
      </c>
      <c r="G7" s="169" t="s">
        <v>552</v>
      </c>
      <c r="H7" s="190">
        <v>46023</v>
      </c>
      <c r="I7" s="6"/>
      <c r="J7" s="6"/>
      <c r="K7" s="6"/>
      <c r="L7" s="6"/>
      <c r="M7" s="6"/>
      <c r="N7" s="6"/>
      <c r="O7" s="6" t="s">
        <v>657</v>
      </c>
      <c r="P7" s="6"/>
      <c r="Q7" s="6" t="s">
        <v>675</v>
      </c>
      <c r="R7" s="6"/>
      <c r="S7" s="6" t="s">
        <v>690</v>
      </c>
      <c r="T7" s="6">
        <v>3000</v>
      </c>
      <c r="U7" s="6" t="s">
        <v>606</v>
      </c>
      <c r="V7" s="6">
        <v>4500</v>
      </c>
      <c r="W7" s="6" t="s">
        <v>716</v>
      </c>
      <c r="X7" s="6">
        <v>4000</v>
      </c>
      <c r="Y7" s="6" t="str">
        <f>+MSL!I7</f>
        <v>1,3,16</v>
      </c>
      <c r="Z7" s="6">
        <v>3000</v>
      </c>
      <c r="AA7" s="6"/>
      <c r="AB7" s="6">
        <v>1000</v>
      </c>
      <c r="AC7" s="6"/>
      <c r="AD7" s="6"/>
      <c r="AE7" s="6"/>
      <c r="AF7" s="7"/>
      <c r="AG7" s="6"/>
      <c r="AH7" s="6"/>
      <c r="AI7" s="6"/>
      <c r="AJ7" s="6"/>
      <c r="AK7" s="6"/>
      <c r="AL7" s="7"/>
      <c r="AM7" s="6"/>
      <c r="AN7" s="6"/>
      <c r="AO7" s="6"/>
      <c r="AP7" s="6"/>
      <c r="AQ7" s="6"/>
      <c r="AR7" s="6"/>
      <c r="AS7" s="169" t="s">
        <v>582</v>
      </c>
      <c r="AT7" s="169">
        <v>6600</v>
      </c>
    </row>
    <row r="8" spans="1:46" ht="15" x14ac:dyDescent="0.2">
      <c r="A8" s="5">
        <v>4</v>
      </c>
      <c r="B8" s="169" t="s">
        <v>331</v>
      </c>
      <c r="C8" s="169" t="s">
        <v>521</v>
      </c>
      <c r="D8" s="169">
        <v>9414109022</v>
      </c>
      <c r="E8" s="168" t="s">
        <v>529</v>
      </c>
      <c r="F8" s="169">
        <v>30000</v>
      </c>
      <c r="G8" s="169" t="s">
        <v>549</v>
      </c>
      <c r="H8" s="162"/>
      <c r="I8" s="6"/>
      <c r="J8" s="6"/>
      <c r="K8" s="6"/>
      <c r="L8" s="6"/>
      <c r="M8" s="6"/>
      <c r="N8" s="6"/>
      <c r="O8" s="6" t="s">
        <v>644</v>
      </c>
      <c r="P8" s="6">
        <v>3000</v>
      </c>
      <c r="Q8" s="6"/>
      <c r="R8" s="6">
        <v>3000</v>
      </c>
      <c r="S8" s="6" t="s">
        <v>644</v>
      </c>
      <c r="T8" s="6">
        <v>3000</v>
      </c>
      <c r="U8" s="6"/>
      <c r="V8" s="6">
        <v>7000</v>
      </c>
      <c r="W8" s="6"/>
      <c r="X8" s="6">
        <v>2000</v>
      </c>
      <c r="Y8" s="99" t="str">
        <f>+MSL!I10</f>
        <v>11,na</v>
      </c>
      <c r="Z8" s="6">
        <v>10000</v>
      </c>
      <c r="AA8" s="6"/>
      <c r="AB8" s="6">
        <v>5000</v>
      </c>
      <c r="AC8" s="6"/>
      <c r="AD8" s="6"/>
      <c r="AE8" s="6"/>
      <c r="AF8" s="7"/>
      <c r="AG8" s="6"/>
      <c r="AH8" s="6"/>
      <c r="AI8" s="6"/>
      <c r="AJ8" s="6"/>
      <c r="AK8" s="6"/>
      <c r="AL8" s="7"/>
      <c r="AM8" s="6"/>
      <c r="AN8" s="6"/>
      <c r="AO8" s="6"/>
      <c r="AP8" s="6"/>
      <c r="AQ8" s="6"/>
      <c r="AR8" s="6"/>
      <c r="AS8" s="169" t="s">
        <v>582</v>
      </c>
      <c r="AT8" s="169">
        <v>105900</v>
      </c>
    </row>
    <row r="9" spans="1:46" ht="15" x14ac:dyDescent="0.2">
      <c r="A9" s="5">
        <v>28</v>
      </c>
      <c r="B9" s="168" t="s">
        <v>336</v>
      </c>
      <c r="C9" s="169" t="s">
        <v>521</v>
      </c>
      <c r="D9" s="169">
        <v>9549609251</v>
      </c>
      <c r="E9" s="169" t="s">
        <v>561</v>
      </c>
      <c r="F9" s="169">
        <v>75000</v>
      </c>
      <c r="G9" s="169" t="s">
        <v>557</v>
      </c>
      <c r="H9" s="162">
        <v>45627</v>
      </c>
      <c r="I9" s="6"/>
      <c r="J9" s="6"/>
      <c r="K9" s="6"/>
      <c r="L9" s="6"/>
      <c r="M9" s="6"/>
      <c r="N9" s="6"/>
      <c r="O9" s="6" t="s">
        <v>655</v>
      </c>
      <c r="P9" s="6">
        <v>17000</v>
      </c>
      <c r="Q9" s="6" t="s">
        <v>674</v>
      </c>
      <c r="R9" s="6">
        <v>21000</v>
      </c>
      <c r="S9" s="6" t="s">
        <v>689</v>
      </c>
      <c r="T9" s="6">
        <v>23000</v>
      </c>
      <c r="U9" s="6" t="s">
        <v>610</v>
      </c>
      <c r="V9" s="6">
        <v>22000</v>
      </c>
      <c r="W9" s="6" t="s">
        <v>761</v>
      </c>
      <c r="X9" s="6">
        <v>25000</v>
      </c>
      <c r="Y9" s="6" t="str">
        <f>+MSL!I16</f>
        <v>12,22,25,29</v>
      </c>
      <c r="Z9" s="6">
        <v>30000</v>
      </c>
      <c r="AA9" s="6"/>
      <c r="AB9" s="6">
        <v>22000</v>
      </c>
      <c r="AC9" s="6"/>
      <c r="AD9" s="6"/>
      <c r="AE9" s="6"/>
      <c r="AF9" s="7"/>
      <c r="AG9" s="6"/>
      <c r="AH9" s="6"/>
      <c r="AI9" s="6"/>
      <c r="AJ9" s="6"/>
      <c r="AK9" s="6"/>
      <c r="AL9" s="7"/>
      <c r="AM9" s="6"/>
      <c r="AN9" s="6"/>
      <c r="AO9" s="6"/>
      <c r="AP9" s="6"/>
      <c r="AQ9" s="6"/>
      <c r="AR9" s="6"/>
      <c r="AS9" s="169" t="s">
        <v>581</v>
      </c>
      <c r="AT9" s="169">
        <v>251500</v>
      </c>
    </row>
    <row r="10" spans="1:46" ht="15" x14ac:dyDescent="0.2">
      <c r="A10" s="5">
        <v>29</v>
      </c>
      <c r="B10" s="168" t="s">
        <v>413</v>
      </c>
      <c r="C10" s="169" t="s">
        <v>521</v>
      </c>
      <c r="D10" s="169">
        <v>9414741190</v>
      </c>
      <c r="E10" s="169" t="s">
        <v>535</v>
      </c>
      <c r="F10" s="169">
        <v>10000</v>
      </c>
      <c r="G10" s="169" t="s">
        <v>562</v>
      </c>
      <c r="H10" s="162">
        <v>45778</v>
      </c>
      <c r="I10" s="6"/>
      <c r="J10" s="6"/>
      <c r="K10" s="6"/>
      <c r="L10" s="6"/>
      <c r="M10" s="6"/>
      <c r="N10" s="6"/>
      <c r="O10" s="6" t="s">
        <v>656</v>
      </c>
      <c r="P10" s="6">
        <v>0</v>
      </c>
      <c r="Q10" s="6">
        <v>6</v>
      </c>
      <c r="R10" s="6">
        <v>0</v>
      </c>
      <c r="S10" s="6">
        <v>23</v>
      </c>
      <c r="T10" s="6">
        <v>0</v>
      </c>
      <c r="U10" s="6" t="s">
        <v>609</v>
      </c>
      <c r="V10" s="6">
        <v>0</v>
      </c>
      <c r="W10" s="6" t="s">
        <v>643</v>
      </c>
      <c r="X10" s="6">
        <v>0</v>
      </c>
      <c r="Y10" s="6" t="str">
        <f>+MSL!I17</f>
        <v>4,23</v>
      </c>
      <c r="Z10" s="6">
        <v>0</v>
      </c>
      <c r="AA10" s="6"/>
      <c r="AB10" s="6">
        <v>0</v>
      </c>
      <c r="AC10" s="6"/>
      <c r="AD10" s="6"/>
      <c r="AE10" s="6"/>
      <c r="AF10" s="7"/>
      <c r="AG10" s="6"/>
      <c r="AH10" s="6"/>
      <c r="AI10" s="6"/>
      <c r="AJ10" s="6"/>
      <c r="AK10" s="6"/>
      <c r="AL10" s="7"/>
      <c r="AM10" s="6"/>
      <c r="AN10" s="6"/>
      <c r="AO10" s="6"/>
      <c r="AP10" s="6"/>
      <c r="AQ10" s="6"/>
      <c r="AR10" s="6"/>
      <c r="AS10" s="169" t="s">
        <v>581</v>
      </c>
      <c r="AT10" s="169">
        <v>20600</v>
      </c>
    </row>
    <row r="11" spans="1:46" ht="15" x14ac:dyDescent="0.2">
      <c r="A11" s="5">
        <v>17</v>
      </c>
      <c r="B11" s="168" t="s">
        <v>252</v>
      </c>
      <c r="C11" s="169" t="s">
        <v>521</v>
      </c>
      <c r="D11" s="169">
        <v>9352500310</v>
      </c>
      <c r="E11" s="169" t="s">
        <v>529</v>
      </c>
      <c r="F11" s="169">
        <v>30000</v>
      </c>
      <c r="G11" s="169" t="s">
        <v>552</v>
      </c>
      <c r="H11" s="163" t="s">
        <v>539</v>
      </c>
      <c r="I11" s="6"/>
      <c r="J11" s="6"/>
      <c r="K11" s="6"/>
      <c r="L11" s="6"/>
      <c r="M11" s="6"/>
      <c r="N11" s="6"/>
      <c r="O11" s="6">
        <v>9</v>
      </c>
      <c r="P11" s="6">
        <v>5000</v>
      </c>
      <c r="Q11" s="6" t="s">
        <v>668</v>
      </c>
      <c r="R11" s="6">
        <v>6000</v>
      </c>
      <c r="S11" s="6" t="s">
        <v>683</v>
      </c>
      <c r="T11" s="6">
        <v>5000</v>
      </c>
      <c r="U11" s="6" t="s">
        <v>295</v>
      </c>
      <c r="V11" s="6">
        <v>6000</v>
      </c>
      <c r="W11" s="6" t="s">
        <v>720</v>
      </c>
      <c r="X11" s="6">
        <v>9000</v>
      </c>
      <c r="Y11" s="99" t="str">
        <f>+MSL!I20</f>
        <v>1,18</v>
      </c>
      <c r="Z11" s="6">
        <v>6000</v>
      </c>
      <c r="AA11" s="6"/>
      <c r="AB11" s="6">
        <v>3000</v>
      </c>
      <c r="AC11" s="6"/>
      <c r="AD11" s="6"/>
      <c r="AE11" s="6"/>
      <c r="AF11" s="7"/>
      <c r="AG11" s="6"/>
      <c r="AH11" s="6"/>
      <c r="AI11" s="6"/>
      <c r="AJ11" s="6"/>
      <c r="AK11" s="6"/>
      <c r="AL11" s="7"/>
      <c r="AM11" s="6"/>
      <c r="AN11" s="6"/>
      <c r="AO11" s="6"/>
      <c r="AP11" s="6"/>
      <c r="AQ11" s="6"/>
      <c r="AR11" s="6"/>
      <c r="AS11" s="169" t="s">
        <v>581</v>
      </c>
      <c r="AT11" s="169">
        <v>94000</v>
      </c>
    </row>
    <row r="12" spans="1:46" ht="15" x14ac:dyDescent="0.2">
      <c r="A12" s="5">
        <v>6</v>
      </c>
      <c r="B12" s="168" t="s">
        <v>550</v>
      </c>
      <c r="C12" s="169" t="s">
        <v>521</v>
      </c>
      <c r="D12" s="169">
        <v>9099075657</v>
      </c>
      <c r="E12" s="169" t="s">
        <v>529</v>
      </c>
      <c r="F12" s="169">
        <v>30000</v>
      </c>
      <c r="G12" s="169" t="s">
        <v>551</v>
      </c>
      <c r="H12" s="162" t="s">
        <v>530</v>
      </c>
      <c r="I12" s="6"/>
      <c r="J12" s="6"/>
      <c r="K12" s="6"/>
      <c r="L12" s="6"/>
      <c r="M12" s="6"/>
      <c r="N12" s="6"/>
      <c r="O12" s="6" t="s">
        <v>646</v>
      </c>
      <c r="P12" s="6">
        <v>2000</v>
      </c>
      <c r="Q12" s="6" t="s">
        <v>546</v>
      </c>
      <c r="R12" s="6">
        <v>3000</v>
      </c>
      <c r="S12" s="6">
        <v>7</v>
      </c>
      <c r="T12" s="6">
        <v>2000</v>
      </c>
      <c r="U12" s="6">
        <v>25</v>
      </c>
      <c r="V12" s="6">
        <v>1000</v>
      </c>
      <c r="W12" s="6" t="s">
        <v>671</v>
      </c>
      <c r="X12" s="6">
        <v>3000</v>
      </c>
      <c r="Y12" s="99" t="str">
        <f>+MSL!I21</f>
        <v>6,20,27</v>
      </c>
      <c r="Z12" s="6">
        <v>2000</v>
      </c>
      <c r="AA12" s="6"/>
      <c r="AB12" s="6">
        <v>3000</v>
      </c>
      <c r="AC12" s="6"/>
      <c r="AD12" s="6"/>
      <c r="AE12" s="6"/>
      <c r="AF12" s="7"/>
      <c r="AG12" s="6"/>
      <c r="AH12" s="6"/>
      <c r="AI12" s="6"/>
      <c r="AJ12" s="6"/>
      <c r="AK12" s="6"/>
      <c r="AL12" s="7"/>
      <c r="AM12" s="6"/>
      <c r="AN12" s="6"/>
      <c r="AO12" s="6"/>
      <c r="AP12" s="6"/>
      <c r="AQ12" s="6"/>
      <c r="AR12" s="6"/>
      <c r="AS12" s="169" t="s">
        <v>581</v>
      </c>
      <c r="AT12" s="169">
        <v>36000</v>
      </c>
    </row>
    <row r="13" spans="1:46" ht="15" x14ac:dyDescent="0.2">
      <c r="A13" s="5">
        <v>14</v>
      </c>
      <c r="B13" s="168" t="s">
        <v>526</v>
      </c>
      <c r="C13" s="169" t="s">
        <v>521</v>
      </c>
      <c r="D13" s="169">
        <v>9414159690</v>
      </c>
      <c r="E13" s="169" t="s">
        <v>573</v>
      </c>
      <c r="F13" s="169" t="s">
        <v>570</v>
      </c>
      <c r="G13" s="169" t="s">
        <v>572</v>
      </c>
      <c r="H13" s="162">
        <v>45536</v>
      </c>
      <c r="I13" s="6"/>
      <c r="J13" s="6"/>
      <c r="K13" s="6"/>
      <c r="L13" s="6"/>
      <c r="M13" s="6"/>
      <c r="N13" s="6"/>
      <c r="O13" s="6">
        <v>8</v>
      </c>
      <c r="P13" s="6">
        <v>10000</v>
      </c>
      <c r="Q13" s="6" t="s">
        <v>667</v>
      </c>
      <c r="R13" s="6">
        <v>15000</v>
      </c>
      <c r="S13" s="6" t="s">
        <v>644</v>
      </c>
      <c r="T13" s="6">
        <v>7000</v>
      </c>
      <c r="U13" s="6" t="s">
        <v>707</v>
      </c>
      <c r="V13" s="6">
        <v>35000</v>
      </c>
      <c r="W13" s="6" t="s">
        <v>722</v>
      </c>
      <c r="X13" s="6">
        <v>40000</v>
      </c>
      <c r="Y13" s="99" t="str">
        <f>+MSL!I23</f>
        <v>12,18,ntc</v>
      </c>
      <c r="Z13" s="6"/>
      <c r="AA13" s="6"/>
      <c r="AB13" s="6">
        <v>28000</v>
      </c>
      <c r="AC13" s="6"/>
      <c r="AD13" s="6"/>
      <c r="AE13" s="6"/>
      <c r="AF13" s="7"/>
      <c r="AG13" s="6"/>
      <c r="AH13" s="6"/>
      <c r="AI13" s="6"/>
      <c r="AJ13" s="6"/>
      <c r="AK13" s="6"/>
      <c r="AL13" s="7"/>
      <c r="AM13" s="6"/>
      <c r="AN13" s="6"/>
      <c r="AO13" s="6"/>
      <c r="AP13" s="6"/>
      <c r="AQ13" s="6"/>
      <c r="AR13" s="6"/>
      <c r="AS13" s="169" t="s">
        <v>581</v>
      </c>
      <c r="AT13" s="169">
        <v>291100</v>
      </c>
    </row>
    <row r="14" spans="1:46" x14ac:dyDescent="0.1">
      <c r="A14" s="5">
        <v>33</v>
      </c>
      <c r="B14" s="169" t="s">
        <v>564</v>
      </c>
      <c r="C14" s="169" t="s">
        <v>521</v>
      </c>
      <c r="D14" s="169">
        <v>8890644804</v>
      </c>
      <c r="E14" s="169" t="s">
        <v>563</v>
      </c>
      <c r="F14" s="169" t="s">
        <v>578</v>
      </c>
      <c r="G14" s="169" t="s">
        <v>579</v>
      </c>
      <c r="H14" s="191"/>
      <c r="I14" s="6"/>
      <c r="J14" s="6"/>
      <c r="K14" s="6"/>
      <c r="L14" s="6"/>
      <c r="M14" s="6"/>
      <c r="N14" s="6"/>
      <c r="O14" s="6" t="s">
        <v>658</v>
      </c>
      <c r="P14" s="6">
        <v>5000</v>
      </c>
      <c r="Q14" s="6" t="s">
        <v>701</v>
      </c>
      <c r="R14" s="6"/>
      <c r="S14" s="6" t="s">
        <v>706</v>
      </c>
      <c r="T14" s="6"/>
      <c r="U14" s="6" t="s">
        <v>708</v>
      </c>
      <c r="V14" s="6">
        <v>2000</v>
      </c>
      <c r="W14" s="6" t="s">
        <v>725</v>
      </c>
      <c r="X14" s="6">
        <v>6000</v>
      </c>
      <c r="Y14" s="6" t="str">
        <f>+MSL!I27</f>
        <v>12,18,25</v>
      </c>
      <c r="Z14" s="6">
        <v>0</v>
      </c>
      <c r="AA14" s="6"/>
      <c r="AB14" s="6">
        <v>0</v>
      </c>
      <c r="AC14" s="6"/>
      <c r="AD14" s="6"/>
      <c r="AE14" s="6"/>
      <c r="AF14" s="7"/>
      <c r="AG14" s="6"/>
      <c r="AH14" s="6"/>
      <c r="AI14" s="6"/>
      <c r="AJ14" s="6"/>
      <c r="AK14" s="6"/>
      <c r="AL14" s="7"/>
      <c r="AM14" s="6"/>
      <c r="AN14" s="6"/>
      <c r="AO14" s="6"/>
      <c r="AP14" s="6"/>
      <c r="AQ14" s="6"/>
      <c r="AR14" s="6"/>
      <c r="AS14" s="169" t="s">
        <v>582</v>
      </c>
      <c r="AT14" s="169">
        <v>5000</v>
      </c>
    </row>
    <row r="15" spans="1:46" ht="15" x14ac:dyDescent="0.2">
      <c r="A15" s="5">
        <v>21</v>
      </c>
      <c r="B15" s="168" t="s">
        <v>286</v>
      </c>
      <c r="C15" s="169" t="s">
        <v>521</v>
      </c>
      <c r="D15" s="169">
        <v>9829164092</v>
      </c>
      <c r="E15" s="169" t="s">
        <v>529</v>
      </c>
      <c r="F15" s="169">
        <v>30000</v>
      </c>
      <c r="G15" s="169" t="s">
        <v>552</v>
      </c>
      <c r="H15" s="164">
        <v>45383</v>
      </c>
      <c r="I15" s="6"/>
      <c r="J15" s="6"/>
      <c r="K15" s="6"/>
      <c r="L15" s="6"/>
      <c r="M15" s="6"/>
      <c r="N15" s="6"/>
      <c r="O15" s="6" t="s">
        <v>652</v>
      </c>
      <c r="P15" s="6">
        <v>10000</v>
      </c>
      <c r="Q15" s="6" t="s">
        <v>670</v>
      </c>
      <c r="R15" s="6">
        <v>10000</v>
      </c>
      <c r="S15" s="6" t="s">
        <v>682</v>
      </c>
      <c r="T15" s="6">
        <v>10000</v>
      </c>
      <c r="U15" s="6" t="s">
        <v>614</v>
      </c>
      <c r="V15" s="6">
        <v>12000</v>
      </c>
      <c r="W15" s="6" t="s">
        <v>757</v>
      </c>
      <c r="X15" s="6">
        <v>13000</v>
      </c>
      <c r="Y15" s="99" t="str">
        <f>+MSL!I29</f>
        <v>15,24,29</v>
      </c>
      <c r="Z15" s="6">
        <v>5000</v>
      </c>
      <c r="AA15" s="6"/>
      <c r="AB15" s="6">
        <v>5000</v>
      </c>
      <c r="AC15" s="6"/>
      <c r="AD15" s="6"/>
      <c r="AE15" s="6"/>
      <c r="AF15" s="7"/>
      <c r="AG15" s="6"/>
      <c r="AH15" s="6"/>
      <c r="AI15" s="6"/>
      <c r="AJ15" s="6"/>
      <c r="AK15" s="6"/>
      <c r="AL15" s="7"/>
      <c r="AM15" s="6"/>
      <c r="AN15" s="6"/>
      <c r="AO15" s="6"/>
      <c r="AP15" s="6"/>
      <c r="AQ15" s="6"/>
      <c r="AR15" s="6"/>
      <c r="AS15" s="169" t="s">
        <v>581</v>
      </c>
      <c r="AT15" s="169">
        <v>126200</v>
      </c>
    </row>
    <row r="16" spans="1:46" x14ac:dyDescent="0.1">
      <c r="A16" s="5">
        <v>35</v>
      </c>
      <c r="B16" s="169" t="s">
        <v>544</v>
      </c>
      <c r="C16" s="169" t="s">
        <v>521</v>
      </c>
      <c r="D16" s="169">
        <v>8233639147</v>
      </c>
      <c r="E16" s="169" t="s">
        <v>529</v>
      </c>
      <c r="F16" s="169">
        <v>30000</v>
      </c>
      <c r="G16" s="169" t="s">
        <v>555</v>
      </c>
      <c r="H16" s="191"/>
      <c r="I16" s="6"/>
      <c r="J16" s="6"/>
      <c r="K16" s="6"/>
      <c r="L16" s="6"/>
      <c r="M16" s="6"/>
      <c r="N16" s="6"/>
      <c r="O16" s="6" t="s">
        <v>659</v>
      </c>
      <c r="P16" s="6">
        <v>15000</v>
      </c>
      <c r="Q16" s="6" t="s">
        <v>676</v>
      </c>
      <c r="R16" s="6">
        <v>15000</v>
      </c>
      <c r="S16" s="6" t="s">
        <v>691</v>
      </c>
      <c r="T16" s="6">
        <v>15000</v>
      </c>
      <c r="U16" s="6" t="s">
        <v>695</v>
      </c>
      <c r="V16" s="6">
        <v>12000</v>
      </c>
      <c r="W16" s="6" t="s">
        <v>727</v>
      </c>
      <c r="X16" s="6">
        <v>15000</v>
      </c>
      <c r="Y16" s="6" t="str">
        <f>+MSL!I30</f>
        <v>13,19,na</v>
      </c>
      <c r="Z16" s="6">
        <v>15000</v>
      </c>
      <c r="AA16" s="6"/>
      <c r="AB16" s="6">
        <v>10000</v>
      </c>
      <c r="AC16" s="6"/>
      <c r="AD16" s="6"/>
      <c r="AE16" s="6"/>
      <c r="AF16" s="7"/>
      <c r="AG16" s="6"/>
      <c r="AH16" s="6"/>
      <c r="AI16" s="6"/>
      <c r="AJ16" s="6"/>
      <c r="AK16" s="6"/>
      <c r="AL16" s="7"/>
      <c r="AM16" s="6"/>
      <c r="AN16" s="6"/>
      <c r="AO16" s="6"/>
      <c r="AP16" s="6"/>
      <c r="AQ16" s="6"/>
      <c r="AR16" s="6"/>
      <c r="AS16" s="169" t="s">
        <v>582</v>
      </c>
      <c r="AT16" s="169">
        <v>72000</v>
      </c>
    </row>
    <row r="17" spans="1:46" ht="15" x14ac:dyDescent="0.2">
      <c r="A17" s="5">
        <v>23</v>
      </c>
      <c r="B17" s="168" t="s">
        <v>333</v>
      </c>
      <c r="C17" s="169" t="s">
        <v>521</v>
      </c>
      <c r="D17" s="169">
        <v>9829040103</v>
      </c>
      <c r="E17" s="169" t="s">
        <v>529</v>
      </c>
      <c r="F17" s="169">
        <v>20000</v>
      </c>
      <c r="G17" s="169" t="s">
        <v>553</v>
      </c>
      <c r="H17" s="165">
        <v>45047</v>
      </c>
      <c r="I17" s="6"/>
      <c r="J17" s="6"/>
      <c r="K17" s="6"/>
      <c r="L17" s="6"/>
      <c r="M17" s="6"/>
      <c r="N17" s="6"/>
      <c r="O17" s="6">
        <v>19</v>
      </c>
      <c r="P17" s="6">
        <v>3000</v>
      </c>
      <c r="Q17" s="6" t="s">
        <v>672</v>
      </c>
      <c r="R17" s="6">
        <v>5000</v>
      </c>
      <c r="S17" s="6">
        <v>25</v>
      </c>
      <c r="T17" s="6">
        <v>6000</v>
      </c>
      <c r="U17" s="6" t="s">
        <v>704</v>
      </c>
      <c r="V17" s="6">
        <v>7500</v>
      </c>
      <c r="W17" s="6" t="s">
        <v>321</v>
      </c>
      <c r="X17" s="6">
        <v>5000</v>
      </c>
      <c r="Y17" s="6">
        <f>+MSL!I38</f>
        <v>0</v>
      </c>
      <c r="Z17" s="6">
        <v>3000</v>
      </c>
      <c r="AA17" s="6"/>
      <c r="AB17" s="6">
        <v>3000</v>
      </c>
      <c r="AC17" s="6"/>
      <c r="AD17" s="6"/>
      <c r="AE17" s="6"/>
      <c r="AF17" s="7"/>
      <c r="AG17" s="6"/>
      <c r="AH17" s="6"/>
      <c r="AI17" s="6"/>
      <c r="AJ17" s="6"/>
      <c r="AK17" s="6"/>
      <c r="AL17" s="7"/>
      <c r="AM17" s="6"/>
      <c r="AN17" s="6"/>
      <c r="AO17" s="6"/>
      <c r="AP17" s="6"/>
      <c r="AQ17" s="6"/>
      <c r="AR17" s="6"/>
      <c r="AS17" s="169" t="s">
        <v>581</v>
      </c>
      <c r="AT17" s="169">
        <v>82200</v>
      </c>
    </row>
    <row r="18" spans="1:46" ht="15" x14ac:dyDescent="0.2">
      <c r="A18" s="5">
        <v>27</v>
      </c>
      <c r="B18" s="168" t="s">
        <v>559</v>
      </c>
      <c r="C18" s="169" t="s">
        <v>521</v>
      </c>
      <c r="D18" s="169">
        <v>8301865586</v>
      </c>
      <c r="E18" s="169" t="s">
        <v>560</v>
      </c>
      <c r="F18" s="169" t="s">
        <v>576</v>
      </c>
      <c r="G18" s="169" t="s">
        <v>577</v>
      </c>
      <c r="H18" s="165">
        <v>45383</v>
      </c>
      <c r="I18" s="6"/>
      <c r="J18" s="6"/>
      <c r="K18" s="6"/>
      <c r="L18" s="6"/>
      <c r="M18" s="6"/>
      <c r="N18" s="6"/>
      <c r="O18" s="6">
        <v>19</v>
      </c>
      <c r="P18" s="6">
        <v>3000</v>
      </c>
      <c r="Q18" s="6" t="s">
        <v>699</v>
      </c>
      <c r="R18" s="6">
        <v>3000</v>
      </c>
      <c r="S18" s="6" t="s">
        <v>705</v>
      </c>
      <c r="T18" s="6">
        <v>3000</v>
      </c>
      <c r="U18" s="6" t="s">
        <v>345</v>
      </c>
      <c r="V18" s="6">
        <v>7000</v>
      </c>
      <c r="W18" s="6" t="s">
        <v>728</v>
      </c>
      <c r="X18" s="6">
        <v>5000</v>
      </c>
      <c r="Y18" s="6" t="str">
        <f>+MSL!I39</f>
        <v>12,22,27</v>
      </c>
      <c r="Z18" s="6">
        <v>3000</v>
      </c>
      <c r="AA18" s="6"/>
      <c r="AB18" s="6">
        <v>3000</v>
      </c>
      <c r="AC18" s="6"/>
      <c r="AD18" s="6"/>
      <c r="AE18" s="6"/>
      <c r="AF18" s="7"/>
      <c r="AG18" s="6"/>
      <c r="AH18" s="6"/>
      <c r="AI18" s="6"/>
      <c r="AJ18" s="6"/>
      <c r="AK18" s="6"/>
      <c r="AL18" s="7"/>
      <c r="AM18" s="6"/>
      <c r="AN18" s="6"/>
      <c r="AO18" s="6"/>
      <c r="AP18" s="6"/>
      <c r="AQ18" s="6"/>
      <c r="AR18" s="6"/>
      <c r="AS18" s="169" t="s">
        <v>581</v>
      </c>
      <c r="AT18" s="169">
        <v>51700</v>
      </c>
    </row>
    <row r="19" spans="1:46" ht="15" x14ac:dyDescent="0.2">
      <c r="A19" s="5">
        <v>7</v>
      </c>
      <c r="B19" s="168" t="s">
        <v>411</v>
      </c>
      <c r="C19" s="169" t="s">
        <v>521</v>
      </c>
      <c r="D19" s="169">
        <v>7014111410</v>
      </c>
      <c r="E19" s="169" t="s">
        <v>522</v>
      </c>
      <c r="F19" s="169">
        <v>100000</v>
      </c>
      <c r="G19" s="169" t="s">
        <v>524</v>
      </c>
      <c r="H19" s="165" t="s">
        <v>531</v>
      </c>
      <c r="I19" s="6"/>
      <c r="J19" s="6"/>
      <c r="K19" s="6"/>
      <c r="L19" s="6"/>
      <c r="M19" s="6"/>
      <c r="N19" s="6"/>
      <c r="O19" s="6">
        <v>24</v>
      </c>
      <c r="P19" s="6">
        <v>30000</v>
      </c>
      <c r="Q19" s="6" t="s">
        <v>546</v>
      </c>
      <c r="R19" s="6">
        <v>25000</v>
      </c>
      <c r="S19" s="6" t="s">
        <v>679</v>
      </c>
      <c r="T19" s="6">
        <v>30000</v>
      </c>
      <c r="U19" s="6">
        <v>25</v>
      </c>
      <c r="V19" s="6">
        <v>30000</v>
      </c>
      <c r="W19" s="6" t="s">
        <v>730</v>
      </c>
      <c r="X19" s="6">
        <v>30000</v>
      </c>
      <c r="Y19" s="99" t="str">
        <f>+MSL!I42</f>
        <v>6,10,20,27</v>
      </c>
      <c r="Z19" s="6">
        <v>30000</v>
      </c>
      <c r="AA19" s="6"/>
      <c r="AB19" s="6">
        <v>30000</v>
      </c>
      <c r="AC19" s="6"/>
      <c r="AD19" s="6"/>
      <c r="AE19" s="6"/>
      <c r="AF19" s="7"/>
      <c r="AG19" s="6"/>
      <c r="AH19" s="6"/>
      <c r="AI19" s="6"/>
      <c r="AJ19" s="6"/>
      <c r="AK19" s="6"/>
      <c r="AL19" s="7"/>
      <c r="AM19" s="6"/>
      <c r="AN19" s="6"/>
      <c r="AO19" s="6"/>
      <c r="AP19" s="6"/>
      <c r="AQ19" s="6"/>
      <c r="AR19" s="6"/>
      <c r="AS19" s="169" t="s">
        <v>581</v>
      </c>
      <c r="AT19" s="169">
        <v>592000</v>
      </c>
    </row>
    <row r="20" spans="1:46" ht="15" x14ac:dyDescent="0.2">
      <c r="A20" s="5">
        <v>26</v>
      </c>
      <c r="B20" s="168" t="s">
        <v>403</v>
      </c>
      <c r="C20" s="169" t="s">
        <v>521</v>
      </c>
      <c r="D20" s="169">
        <v>9829069669</v>
      </c>
      <c r="E20" s="169" t="s">
        <v>529</v>
      </c>
      <c r="F20" s="169">
        <v>10000</v>
      </c>
      <c r="G20" s="169" t="s">
        <v>558</v>
      </c>
      <c r="H20" s="165" t="s">
        <v>542</v>
      </c>
      <c r="I20" s="6"/>
      <c r="J20" s="6"/>
      <c r="K20" s="6"/>
      <c r="L20" s="6"/>
      <c r="M20" s="6"/>
      <c r="N20" s="6"/>
      <c r="O20" s="6">
        <v>28</v>
      </c>
      <c r="P20" s="6">
        <v>1300</v>
      </c>
      <c r="Q20" s="6" t="s">
        <v>698</v>
      </c>
      <c r="R20" s="6">
        <v>5000</v>
      </c>
      <c r="S20" s="6" t="s">
        <v>688</v>
      </c>
      <c r="T20" s="6">
        <v>6000</v>
      </c>
      <c r="U20" s="6" t="s">
        <v>617</v>
      </c>
      <c r="V20" s="6">
        <v>5000</v>
      </c>
      <c r="W20" s="6">
        <v>12</v>
      </c>
      <c r="X20" s="6">
        <v>3000</v>
      </c>
      <c r="Y20" s="6" t="str">
        <f>+MSL!I43</f>
        <v>2,13,22,29</v>
      </c>
      <c r="Z20" s="6">
        <v>4000</v>
      </c>
      <c r="AA20" s="6"/>
      <c r="AB20" s="6">
        <v>2000</v>
      </c>
      <c r="AC20" s="6"/>
      <c r="AD20" s="6"/>
      <c r="AE20" s="6"/>
      <c r="AF20" s="7"/>
      <c r="AG20" s="6"/>
      <c r="AH20" s="6"/>
      <c r="AI20" s="6"/>
      <c r="AJ20" s="6"/>
      <c r="AK20" s="6"/>
      <c r="AL20" s="7"/>
      <c r="AM20" s="6"/>
      <c r="AN20" s="6"/>
      <c r="AO20" s="6"/>
      <c r="AP20" s="6"/>
      <c r="AQ20" s="6"/>
      <c r="AR20" s="6"/>
      <c r="AS20" s="169" t="s">
        <v>581</v>
      </c>
      <c r="AT20" s="169">
        <v>48500</v>
      </c>
    </row>
    <row r="21" spans="1:46" ht="15" x14ac:dyDescent="0.2">
      <c r="A21" s="5">
        <v>3</v>
      </c>
      <c r="B21" s="168" t="s">
        <v>548</v>
      </c>
      <c r="C21" s="168" t="s">
        <v>521</v>
      </c>
      <c r="D21" s="168">
        <v>9950080606</v>
      </c>
      <c r="E21" s="168" t="s">
        <v>529</v>
      </c>
      <c r="F21" s="168">
        <v>30000</v>
      </c>
      <c r="G21" s="168" t="s">
        <v>547</v>
      </c>
      <c r="H21" s="166"/>
      <c r="I21" s="6"/>
      <c r="J21" s="6"/>
      <c r="K21" s="6"/>
      <c r="L21" s="6"/>
      <c r="M21" s="6"/>
      <c r="N21" s="6"/>
      <c r="O21" s="6" t="s">
        <v>643</v>
      </c>
      <c r="P21" s="6">
        <v>0</v>
      </c>
      <c r="Q21" s="6" t="s">
        <v>545</v>
      </c>
      <c r="R21" s="6">
        <v>0</v>
      </c>
      <c r="S21" s="6">
        <v>26</v>
      </c>
      <c r="T21" s="6">
        <v>0</v>
      </c>
      <c r="U21" s="6" t="s">
        <v>328</v>
      </c>
      <c r="V21" s="6">
        <v>3000</v>
      </c>
      <c r="W21" s="6" t="s">
        <v>663</v>
      </c>
      <c r="X21" s="6">
        <v>2000</v>
      </c>
      <c r="Y21" s="99" t="str">
        <f>+MSL!I44</f>
        <v>17,26</v>
      </c>
      <c r="Z21" s="6">
        <v>2000</v>
      </c>
      <c r="AA21" s="6"/>
      <c r="AB21" s="6">
        <v>1000</v>
      </c>
      <c r="AC21" s="6"/>
      <c r="AD21" s="6"/>
      <c r="AE21" s="6"/>
      <c r="AF21" s="7"/>
      <c r="AG21" s="6"/>
      <c r="AH21" s="6"/>
      <c r="AI21" s="6"/>
      <c r="AJ21" s="6"/>
      <c r="AK21" s="6"/>
      <c r="AL21" s="7"/>
      <c r="AM21" s="6"/>
      <c r="AN21" s="6"/>
      <c r="AO21" s="6"/>
      <c r="AP21" s="6"/>
      <c r="AQ21" s="6"/>
      <c r="AR21" s="6"/>
      <c r="AS21" s="169" t="s">
        <v>582</v>
      </c>
      <c r="AT21" s="169">
        <v>36600</v>
      </c>
    </row>
    <row r="22" spans="1:46" ht="14.25" x14ac:dyDescent="0.15">
      <c r="A22" s="5">
        <v>22</v>
      </c>
      <c r="B22" s="168" t="s">
        <v>534</v>
      </c>
      <c r="C22" s="169" t="s">
        <v>521</v>
      </c>
      <c r="D22" s="169">
        <v>9413954873</v>
      </c>
      <c r="E22" s="169" t="s">
        <v>529</v>
      </c>
      <c r="F22" s="169">
        <v>20000</v>
      </c>
      <c r="G22" s="169" t="s">
        <v>555</v>
      </c>
      <c r="H22" s="167">
        <v>44866</v>
      </c>
      <c r="I22" s="6"/>
      <c r="J22" s="6"/>
      <c r="K22" s="6"/>
      <c r="L22" s="6"/>
      <c r="M22" s="6"/>
      <c r="N22" s="6"/>
      <c r="O22" s="6" t="s">
        <v>653</v>
      </c>
      <c r="P22" s="6">
        <v>5000</v>
      </c>
      <c r="Q22" s="6" t="s">
        <v>671</v>
      </c>
      <c r="R22" s="6">
        <v>5000</v>
      </c>
      <c r="S22" s="6" t="s">
        <v>686</v>
      </c>
      <c r="T22" s="6">
        <v>6000</v>
      </c>
      <c r="U22" s="6" t="s">
        <v>620</v>
      </c>
      <c r="V22" s="6">
        <v>7000</v>
      </c>
      <c r="W22" s="6" t="s">
        <v>735</v>
      </c>
      <c r="X22" s="6">
        <v>8000</v>
      </c>
      <c r="Y22" s="6" t="str">
        <f>+MSL!I51</f>
        <v>9,13,15,22,29</v>
      </c>
      <c r="Z22" s="6">
        <v>7000</v>
      </c>
      <c r="AA22" s="6"/>
      <c r="AB22" s="6">
        <v>5000</v>
      </c>
      <c r="AC22" s="6"/>
      <c r="AD22" s="6"/>
      <c r="AE22" s="6"/>
      <c r="AF22" s="7"/>
      <c r="AG22" s="6"/>
      <c r="AH22" s="6"/>
      <c r="AI22" s="6"/>
      <c r="AJ22" s="6"/>
      <c r="AK22" s="6"/>
      <c r="AL22" s="7"/>
      <c r="AM22" s="6"/>
      <c r="AN22" s="6"/>
      <c r="AO22" s="6"/>
      <c r="AP22" s="6"/>
      <c r="AQ22" s="6"/>
      <c r="AR22" s="6"/>
      <c r="AS22" s="169" t="s">
        <v>581</v>
      </c>
      <c r="AT22" s="169">
        <v>99700</v>
      </c>
    </row>
    <row r="23" spans="1:46" ht="15" x14ac:dyDescent="0.2">
      <c r="A23" s="5">
        <v>20</v>
      </c>
      <c r="B23" s="168" t="s">
        <v>396</v>
      </c>
      <c r="C23" s="169" t="s">
        <v>521</v>
      </c>
      <c r="D23" s="169">
        <v>9414162424</v>
      </c>
      <c r="E23" s="169" t="s">
        <v>529</v>
      </c>
      <c r="F23" s="169">
        <v>20000</v>
      </c>
      <c r="G23" s="169" t="s">
        <v>532</v>
      </c>
      <c r="H23" s="167">
        <v>45505</v>
      </c>
      <c r="I23" s="6"/>
      <c r="J23" s="6"/>
      <c r="K23" s="6"/>
      <c r="L23" s="6"/>
      <c r="M23" s="6"/>
      <c r="N23" s="6"/>
      <c r="O23" s="6">
        <v>9</v>
      </c>
      <c r="P23" s="6">
        <v>5000</v>
      </c>
      <c r="Q23" s="6" t="s">
        <v>646</v>
      </c>
      <c r="R23" s="6">
        <v>7000</v>
      </c>
      <c r="S23" s="6" t="s">
        <v>685</v>
      </c>
      <c r="T23" s="6">
        <v>8000</v>
      </c>
      <c r="U23" s="6">
        <v>18</v>
      </c>
      <c r="V23" s="6">
        <v>8000</v>
      </c>
      <c r="W23" s="6"/>
      <c r="X23" s="6">
        <v>7000</v>
      </c>
      <c r="Y23" s="99">
        <f>+MSL!I53</f>
        <v>0</v>
      </c>
      <c r="Z23" s="6">
        <v>5000</v>
      </c>
      <c r="AA23" s="6"/>
      <c r="AB23" s="6">
        <v>3000</v>
      </c>
      <c r="AC23" s="6"/>
      <c r="AD23" s="6"/>
      <c r="AE23" s="6"/>
      <c r="AF23" s="7"/>
      <c r="AG23" s="6"/>
      <c r="AH23" s="6"/>
      <c r="AI23" s="6"/>
      <c r="AJ23" s="6"/>
      <c r="AK23" s="6"/>
      <c r="AL23" s="7"/>
      <c r="AM23" s="6"/>
      <c r="AN23" s="6"/>
      <c r="AO23" s="6"/>
      <c r="AP23" s="6"/>
      <c r="AQ23" s="6"/>
      <c r="AR23" s="6"/>
      <c r="AS23" s="169" t="s">
        <v>581</v>
      </c>
      <c r="AT23" s="169">
        <v>133000</v>
      </c>
    </row>
    <row r="24" spans="1:46" ht="15" x14ac:dyDescent="0.2">
      <c r="A24" s="5">
        <v>2</v>
      </c>
      <c r="B24" s="168" t="s">
        <v>329</v>
      </c>
      <c r="C24" s="168" t="s">
        <v>521</v>
      </c>
      <c r="D24" s="168">
        <v>7976280712</v>
      </c>
      <c r="E24" s="168" t="s">
        <v>522</v>
      </c>
      <c r="F24" s="168" t="s">
        <v>568</v>
      </c>
      <c r="G24" s="168" t="s">
        <v>567</v>
      </c>
      <c r="H24" s="165" t="s">
        <v>524</v>
      </c>
      <c r="I24" s="6"/>
      <c r="J24" s="6"/>
      <c r="K24" s="6"/>
      <c r="L24" s="6"/>
      <c r="M24" s="6"/>
      <c r="N24" s="6"/>
      <c r="O24" s="6" t="s">
        <v>643</v>
      </c>
      <c r="P24" s="6">
        <v>25000</v>
      </c>
      <c r="Q24" s="6" t="s">
        <v>545</v>
      </c>
      <c r="R24" s="6">
        <v>30000</v>
      </c>
      <c r="S24" s="6">
        <v>26</v>
      </c>
      <c r="T24" s="6">
        <v>25000</v>
      </c>
      <c r="U24" s="6" t="s">
        <v>328</v>
      </c>
      <c r="V24" s="6">
        <v>20000</v>
      </c>
      <c r="W24" s="6" t="s">
        <v>723</v>
      </c>
      <c r="X24" s="6">
        <v>15000</v>
      </c>
      <c r="Y24" s="99" t="str">
        <f>+MSL!I54</f>
        <v>17,26</v>
      </c>
      <c r="Z24" s="6">
        <v>15000</v>
      </c>
      <c r="AA24" s="6"/>
      <c r="AB24" s="6">
        <v>15000</v>
      </c>
      <c r="AC24" s="6"/>
      <c r="AD24" s="6"/>
      <c r="AE24" s="6"/>
      <c r="AF24" s="7"/>
      <c r="AG24" s="6"/>
      <c r="AH24" s="6"/>
      <c r="AI24" s="6"/>
      <c r="AJ24" s="6"/>
      <c r="AK24" s="6"/>
      <c r="AL24" s="7"/>
      <c r="AM24" s="6"/>
      <c r="AN24" s="6"/>
      <c r="AO24" s="6"/>
      <c r="AP24" s="6"/>
      <c r="AQ24" s="6"/>
      <c r="AR24" s="6"/>
      <c r="AS24" s="169" t="s">
        <v>581</v>
      </c>
      <c r="AT24" s="169">
        <v>319000</v>
      </c>
    </row>
    <row r="25" spans="1:46" x14ac:dyDescent="0.1">
      <c r="A25" s="5">
        <v>30</v>
      </c>
      <c r="B25" s="168" t="s">
        <v>415</v>
      </c>
      <c r="C25" s="169" t="s">
        <v>521</v>
      </c>
      <c r="D25" s="169">
        <v>9610251730</v>
      </c>
      <c r="E25" s="169" t="s">
        <v>529</v>
      </c>
      <c r="F25" s="169">
        <v>20000</v>
      </c>
      <c r="G25" s="169" t="s">
        <v>562</v>
      </c>
      <c r="H25" s="48">
        <v>45901</v>
      </c>
      <c r="I25" s="6"/>
      <c r="J25" s="6"/>
      <c r="K25" s="6"/>
      <c r="L25" s="6"/>
      <c r="M25" s="6"/>
      <c r="N25" s="6"/>
      <c r="O25" s="6" t="s">
        <v>656</v>
      </c>
      <c r="P25" s="6">
        <v>0</v>
      </c>
      <c r="Q25" s="6">
        <v>6</v>
      </c>
      <c r="R25" s="6">
        <v>0</v>
      </c>
      <c r="S25" s="6">
        <v>23</v>
      </c>
      <c r="T25" s="6">
        <v>0</v>
      </c>
      <c r="U25" s="6" t="s">
        <v>609</v>
      </c>
      <c r="V25" s="6">
        <v>0</v>
      </c>
      <c r="W25" s="6" t="s">
        <v>643</v>
      </c>
      <c r="X25" s="6">
        <v>3000</v>
      </c>
      <c r="Y25" s="6" t="str">
        <f>+MSL!I56</f>
        <v>4,23</v>
      </c>
      <c r="Z25" s="6">
        <v>3000</v>
      </c>
      <c r="AA25" s="6"/>
      <c r="AB25" s="6">
        <v>2000</v>
      </c>
      <c r="AC25" s="6"/>
      <c r="AD25" s="6"/>
      <c r="AE25" s="6"/>
      <c r="AF25" s="7"/>
      <c r="AG25" s="6"/>
      <c r="AH25" s="6"/>
      <c r="AI25" s="6"/>
      <c r="AJ25" s="6"/>
      <c r="AK25" s="6"/>
      <c r="AL25" s="7"/>
      <c r="AM25" s="6"/>
      <c r="AN25" s="6"/>
      <c r="AO25" s="6"/>
      <c r="AP25" s="6"/>
      <c r="AQ25" s="6"/>
      <c r="AR25" s="6"/>
      <c r="AS25" s="169" t="s">
        <v>581</v>
      </c>
      <c r="AT25" s="169">
        <v>20300</v>
      </c>
    </row>
    <row r="26" spans="1:46" ht="15" x14ac:dyDescent="0.2">
      <c r="A26" s="5">
        <v>8</v>
      </c>
      <c r="B26" s="168" t="s">
        <v>280</v>
      </c>
      <c r="C26" s="169" t="s">
        <v>521</v>
      </c>
      <c r="D26" s="169">
        <v>9414471050</v>
      </c>
      <c r="E26" s="169" t="s">
        <v>527</v>
      </c>
      <c r="F26" s="169">
        <v>30000</v>
      </c>
      <c r="G26" s="169" t="s">
        <v>549</v>
      </c>
      <c r="H26" s="166" t="s">
        <v>532</v>
      </c>
      <c r="I26" s="6"/>
      <c r="J26" s="6"/>
      <c r="K26" s="6"/>
      <c r="L26" s="6"/>
      <c r="M26" s="6"/>
      <c r="N26" s="6"/>
      <c r="O26" s="6" t="s">
        <v>645</v>
      </c>
      <c r="P26" s="6">
        <v>8000</v>
      </c>
      <c r="Q26" s="6" t="s">
        <v>663</v>
      </c>
      <c r="R26" s="6">
        <v>9000</v>
      </c>
      <c r="S26" s="6" t="s">
        <v>680</v>
      </c>
      <c r="T26" s="6">
        <v>8000</v>
      </c>
      <c r="U26" s="6" t="s">
        <v>285</v>
      </c>
      <c r="V26" s="6">
        <v>10000</v>
      </c>
      <c r="W26" s="6" t="s">
        <v>758</v>
      </c>
      <c r="X26" s="6">
        <v>10000</v>
      </c>
      <c r="Y26" s="99" t="str">
        <f>+MSL!I61</f>
        <v>na,13,25,30</v>
      </c>
      <c r="Z26" s="6">
        <v>8000</v>
      </c>
      <c r="AA26" s="6"/>
      <c r="AB26" s="6">
        <v>10000</v>
      </c>
      <c r="AC26" s="6"/>
      <c r="AD26" s="6"/>
      <c r="AE26" s="6"/>
      <c r="AF26" s="7"/>
      <c r="AG26" s="6"/>
      <c r="AH26" s="6"/>
      <c r="AI26" s="6"/>
      <c r="AJ26" s="6"/>
      <c r="AK26" s="6"/>
      <c r="AL26" s="7"/>
      <c r="AM26" s="6"/>
      <c r="AN26" s="6"/>
      <c r="AO26" s="6"/>
      <c r="AP26" s="6"/>
      <c r="AQ26" s="6"/>
      <c r="AR26" s="6"/>
      <c r="AS26" s="169" t="s">
        <v>581</v>
      </c>
      <c r="AT26" s="169">
        <v>134800</v>
      </c>
    </row>
    <row r="27" spans="1:46" x14ac:dyDescent="0.1">
      <c r="A27" s="5">
        <v>36</v>
      </c>
      <c r="B27" s="169" t="s">
        <v>290</v>
      </c>
      <c r="C27" s="169" t="s">
        <v>521</v>
      </c>
      <c r="D27" s="169"/>
      <c r="E27" s="169" t="s">
        <v>529</v>
      </c>
      <c r="F27" s="169">
        <v>20000</v>
      </c>
      <c r="G27" s="169" t="s">
        <v>553</v>
      </c>
      <c r="H27" s="6"/>
      <c r="I27" s="6"/>
      <c r="J27" s="6"/>
      <c r="K27" s="6"/>
      <c r="L27" s="6"/>
      <c r="M27" s="6"/>
      <c r="N27" s="6"/>
      <c r="O27" s="6" t="s">
        <v>660</v>
      </c>
      <c r="P27" s="6"/>
      <c r="Q27" s="6" t="s">
        <v>677</v>
      </c>
      <c r="R27" s="6"/>
      <c r="S27" s="6" t="s">
        <v>692</v>
      </c>
      <c r="T27" s="6">
        <v>3000</v>
      </c>
      <c r="U27" s="6" t="s">
        <v>696</v>
      </c>
      <c r="V27" s="6">
        <v>5000</v>
      </c>
      <c r="W27" s="6" t="s">
        <v>762</v>
      </c>
      <c r="X27" s="6">
        <v>3000</v>
      </c>
      <c r="Y27" s="6" t="str">
        <f>+MSL!I73</f>
        <v>na,13,19</v>
      </c>
      <c r="Z27" s="6">
        <v>4000</v>
      </c>
      <c r="AA27" s="6"/>
      <c r="AB27" s="6">
        <v>2000</v>
      </c>
      <c r="AC27" s="6"/>
      <c r="AD27" s="6"/>
      <c r="AE27" s="6"/>
      <c r="AF27" s="7"/>
      <c r="AG27" s="6"/>
      <c r="AH27" s="6"/>
      <c r="AI27" s="6"/>
      <c r="AJ27" s="6"/>
      <c r="AK27" s="6"/>
      <c r="AL27" s="7"/>
      <c r="AM27" s="6"/>
      <c r="AN27" s="6"/>
      <c r="AO27" s="6"/>
      <c r="AP27" s="6"/>
      <c r="AQ27" s="6"/>
      <c r="AR27" s="6"/>
      <c r="AS27" s="169" t="s">
        <v>582</v>
      </c>
      <c r="AT27" s="169">
        <v>9800</v>
      </c>
    </row>
    <row r="28" spans="1:46" ht="15" x14ac:dyDescent="0.2">
      <c r="A28" s="5">
        <v>11</v>
      </c>
      <c r="B28" s="168" t="s">
        <v>292</v>
      </c>
      <c r="C28" s="169" t="s">
        <v>521</v>
      </c>
      <c r="D28" s="169">
        <v>9829150159</v>
      </c>
      <c r="E28" s="169" t="s">
        <v>529</v>
      </c>
      <c r="F28" s="169">
        <v>40000</v>
      </c>
      <c r="G28" s="169" t="s">
        <v>553</v>
      </c>
      <c r="H28" s="165" t="s">
        <v>536</v>
      </c>
      <c r="I28" s="6"/>
      <c r="J28" s="6"/>
      <c r="K28" s="6"/>
      <c r="L28" s="6"/>
      <c r="M28" s="6"/>
      <c r="N28" s="6"/>
      <c r="O28" s="6" t="s">
        <v>649</v>
      </c>
      <c r="P28" s="6">
        <v>8000</v>
      </c>
      <c r="Q28" s="6" t="s">
        <v>665</v>
      </c>
      <c r="R28" s="6">
        <v>8000</v>
      </c>
      <c r="S28" s="6" t="s">
        <v>682</v>
      </c>
      <c r="T28" s="6">
        <v>7000</v>
      </c>
      <c r="U28" s="6" t="s">
        <v>628</v>
      </c>
      <c r="V28" s="6">
        <v>10000</v>
      </c>
      <c r="W28" s="6" t="s">
        <v>745</v>
      </c>
      <c r="X28" s="6">
        <v>10000</v>
      </c>
      <c r="Y28" s="99" t="str">
        <f>+MSL!I78</f>
        <v>1,24</v>
      </c>
      <c r="Z28" s="6">
        <v>12000</v>
      </c>
      <c r="AA28" s="6"/>
      <c r="AB28" s="6">
        <v>10000</v>
      </c>
      <c r="AC28" s="6"/>
      <c r="AD28" s="6"/>
      <c r="AE28" s="6"/>
      <c r="AF28" s="7"/>
      <c r="AG28" s="6"/>
      <c r="AH28" s="6"/>
      <c r="AI28" s="6"/>
      <c r="AJ28" s="6"/>
      <c r="AK28" s="6"/>
      <c r="AL28" s="7"/>
      <c r="AM28" s="6"/>
      <c r="AN28" s="6"/>
      <c r="AO28" s="6"/>
      <c r="AP28" s="6"/>
      <c r="AQ28" s="6"/>
      <c r="AR28" s="6"/>
      <c r="AS28" s="169" t="s">
        <v>581</v>
      </c>
      <c r="AT28" s="169">
        <v>81800</v>
      </c>
    </row>
    <row r="29" spans="1:46" ht="15" x14ac:dyDescent="0.2">
      <c r="A29" s="5">
        <v>18</v>
      </c>
      <c r="B29" s="168" t="s">
        <v>324</v>
      </c>
      <c r="C29" s="169" t="s">
        <v>521</v>
      </c>
      <c r="D29" s="169">
        <v>8290703766</v>
      </c>
      <c r="E29" s="169" t="s">
        <v>529</v>
      </c>
      <c r="F29" s="169">
        <v>30000</v>
      </c>
      <c r="G29" s="169" t="s">
        <v>556</v>
      </c>
      <c r="H29" s="165" t="s">
        <v>533</v>
      </c>
      <c r="I29" s="6"/>
      <c r="J29" s="6"/>
      <c r="K29" s="6"/>
      <c r="L29" s="6"/>
      <c r="M29" s="6"/>
      <c r="N29" s="6"/>
      <c r="O29" s="6">
        <v>24</v>
      </c>
      <c r="P29" s="6">
        <v>10000</v>
      </c>
      <c r="Q29" s="6" t="s">
        <v>546</v>
      </c>
      <c r="R29" s="6">
        <v>10000</v>
      </c>
      <c r="S29" s="6" t="s">
        <v>679</v>
      </c>
      <c r="T29" s="6">
        <v>10000</v>
      </c>
      <c r="U29" s="6">
        <v>25</v>
      </c>
      <c r="V29" s="6">
        <v>5000</v>
      </c>
      <c r="W29" s="6" t="s">
        <v>733</v>
      </c>
      <c r="X29" s="6">
        <v>15000</v>
      </c>
      <c r="Y29" s="99" t="str">
        <f>+MSL!I87</f>
        <v>10,20,27,</v>
      </c>
      <c r="Z29" s="6">
        <v>10000</v>
      </c>
      <c r="AA29" s="6"/>
      <c r="AB29" s="6">
        <v>10000</v>
      </c>
      <c r="AC29" s="6"/>
      <c r="AD29" s="6"/>
      <c r="AE29" s="6"/>
      <c r="AF29" s="7"/>
      <c r="AG29" s="6"/>
      <c r="AH29" s="6"/>
      <c r="AI29" s="6"/>
      <c r="AJ29" s="6"/>
      <c r="AK29" s="6"/>
      <c r="AL29" s="7"/>
      <c r="AM29" s="6"/>
      <c r="AN29" s="6"/>
      <c r="AO29" s="6"/>
      <c r="AP29" s="6"/>
      <c r="AQ29" s="6"/>
      <c r="AR29" s="6"/>
      <c r="AS29" s="169" t="s">
        <v>581</v>
      </c>
      <c r="AT29" s="169">
        <v>150000</v>
      </c>
    </row>
    <row r="30" spans="1:46" x14ac:dyDescent="0.1">
      <c r="A30" s="5">
        <v>31</v>
      </c>
      <c r="B30" s="169" t="s">
        <v>308</v>
      </c>
      <c r="C30" s="169" t="s">
        <v>521</v>
      </c>
      <c r="D30" s="169">
        <v>9530079043</v>
      </c>
      <c r="E30" s="169" t="s">
        <v>529</v>
      </c>
      <c r="F30" s="169">
        <v>50000</v>
      </c>
      <c r="G30" s="169" t="s">
        <v>552</v>
      </c>
      <c r="H30" s="48">
        <v>46023</v>
      </c>
      <c r="I30" s="6"/>
      <c r="J30" s="6"/>
      <c r="K30" s="6"/>
      <c r="L30" s="6"/>
      <c r="M30" s="6"/>
      <c r="N30" s="6"/>
      <c r="O30" s="6">
        <v>8</v>
      </c>
      <c r="P30" s="6">
        <v>20000</v>
      </c>
      <c r="Q30" s="6" t="s">
        <v>700</v>
      </c>
      <c r="R30" s="6">
        <v>20000</v>
      </c>
      <c r="S30" s="6" t="s">
        <v>644</v>
      </c>
      <c r="T30" s="6">
        <v>10000</v>
      </c>
      <c r="U30" s="6" t="s">
        <v>631</v>
      </c>
      <c r="V30" s="6">
        <v>15000</v>
      </c>
      <c r="W30" s="6" t="s">
        <v>749</v>
      </c>
      <c r="X30" s="6">
        <v>10000</v>
      </c>
      <c r="Y30" s="6" t="str">
        <f>+MSL!I93</f>
        <v>12,19,24</v>
      </c>
      <c r="Z30" s="6">
        <v>15000</v>
      </c>
      <c r="AA30" s="6"/>
      <c r="AB30" s="6">
        <v>12000</v>
      </c>
      <c r="AC30" s="6"/>
      <c r="AD30" s="6"/>
      <c r="AE30" s="6"/>
      <c r="AF30" s="7"/>
      <c r="AG30" s="6"/>
      <c r="AH30" s="6"/>
      <c r="AI30" s="6"/>
      <c r="AJ30" s="6"/>
      <c r="AK30" s="6"/>
      <c r="AL30" s="7"/>
      <c r="AM30" s="6"/>
      <c r="AN30" s="6"/>
      <c r="AO30" s="6"/>
      <c r="AP30" s="6"/>
      <c r="AQ30" s="6"/>
      <c r="AR30" s="6"/>
      <c r="AS30" s="169" t="s">
        <v>582</v>
      </c>
      <c r="AT30" s="169">
        <v>119600</v>
      </c>
    </row>
    <row r="31" spans="1:46" ht="15" x14ac:dyDescent="0.2">
      <c r="A31" s="5">
        <v>15</v>
      </c>
      <c r="B31" s="168" t="s">
        <v>326</v>
      </c>
      <c r="C31" s="169" t="s">
        <v>521</v>
      </c>
      <c r="D31" s="169">
        <v>9414102661</v>
      </c>
      <c r="E31" s="169" t="s">
        <v>529</v>
      </c>
      <c r="F31" s="169" t="s">
        <v>571</v>
      </c>
      <c r="G31" s="169" t="s">
        <v>530</v>
      </c>
      <c r="H31" s="166" t="s">
        <v>538</v>
      </c>
      <c r="I31" s="6"/>
      <c r="J31" s="6"/>
      <c r="K31" s="6"/>
      <c r="L31" s="6"/>
      <c r="M31" s="6"/>
      <c r="N31" s="6"/>
      <c r="O31" s="6" t="s">
        <v>646</v>
      </c>
      <c r="P31" s="6">
        <v>10000</v>
      </c>
      <c r="Q31" s="6" t="s">
        <v>545</v>
      </c>
      <c r="R31" s="6">
        <v>10000</v>
      </c>
      <c r="S31" s="6">
        <v>26</v>
      </c>
      <c r="T31" s="6">
        <v>10000</v>
      </c>
      <c r="U31" s="6" t="s">
        <v>328</v>
      </c>
      <c r="V31" s="6">
        <v>10000</v>
      </c>
      <c r="W31" s="6" t="s">
        <v>663</v>
      </c>
      <c r="X31" s="6">
        <v>10000</v>
      </c>
      <c r="Y31" s="99" t="str">
        <f>+MSL!I97</f>
        <v>17,26</v>
      </c>
      <c r="Z31" s="6">
        <v>5000</v>
      </c>
      <c r="AA31" s="6"/>
      <c r="AB31" s="6">
        <v>4000</v>
      </c>
      <c r="AC31" s="6"/>
      <c r="AD31" s="6"/>
      <c r="AE31" s="6"/>
      <c r="AF31" s="7"/>
      <c r="AG31" s="6"/>
      <c r="AH31" s="6"/>
      <c r="AI31" s="6"/>
      <c r="AJ31" s="6"/>
      <c r="AK31" s="6"/>
      <c r="AL31" s="7"/>
      <c r="AM31" s="6"/>
      <c r="AN31" s="6"/>
      <c r="AO31" s="6"/>
      <c r="AP31" s="6"/>
      <c r="AQ31" s="6"/>
      <c r="AR31" s="6"/>
      <c r="AS31" s="169" t="s">
        <v>581</v>
      </c>
      <c r="AT31" s="169">
        <v>129000</v>
      </c>
    </row>
    <row r="32" spans="1:46" ht="15" x14ac:dyDescent="0.2">
      <c r="A32" s="5">
        <v>12</v>
      </c>
      <c r="B32" s="168" t="s">
        <v>554</v>
      </c>
      <c r="C32" s="169" t="s">
        <v>521</v>
      </c>
      <c r="D32" s="169">
        <v>9414167693</v>
      </c>
      <c r="E32" s="169" t="s">
        <v>529</v>
      </c>
      <c r="F32" s="169">
        <v>30000</v>
      </c>
      <c r="G32" s="169" t="s">
        <v>551</v>
      </c>
      <c r="H32" s="165" t="s">
        <v>537</v>
      </c>
      <c r="I32" s="6"/>
      <c r="J32" s="6"/>
      <c r="K32" s="6"/>
      <c r="L32" s="6"/>
      <c r="M32" s="6"/>
      <c r="N32" s="6"/>
      <c r="O32" s="6" t="s">
        <v>650</v>
      </c>
      <c r="P32" s="6">
        <v>3000</v>
      </c>
      <c r="Q32" s="6" t="s">
        <v>666</v>
      </c>
      <c r="R32" s="6">
        <v>3000</v>
      </c>
      <c r="S32" s="6" t="s">
        <v>704</v>
      </c>
      <c r="T32" s="6">
        <v>3000</v>
      </c>
      <c r="U32" s="6" t="s">
        <v>638</v>
      </c>
      <c r="V32" s="6">
        <v>5000</v>
      </c>
      <c r="W32" s="6">
        <v>21</v>
      </c>
      <c r="X32" s="6">
        <v>4500</v>
      </c>
      <c r="Y32" s="6">
        <f>+MSL!I104</f>
        <v>15</v>
      </c>
      <c r="Z32" s="6">
        <v>0</v>
      </c>
      <c r="AA32" s="6"/>
      <c r="AB32" s="6">
        <v>0</v>
      </c>
      <c r="AC32" s="6"/>
      <c r="AD32" s="6"/>
      <c r="AE32" s="6"/>
      <c r="AF32" s="7"/>
      <c r="AG32" s="6"/>
      <c r="AH32" s="6"/>
      <c r="AI32" s="6"/>
      <c r="AJ32" s="6"/>
      <c r="AK32" s="6"/>
      <c r="AL32" s="7"/>
      <c r="AM32" s="6"/>
      <c r="AN32" s="6"/>
      <c r="AO32" s="6"/>
      <c r="AP32" s="6"/>
      <c r="AQ32" s="6"/>
      <c r="AR32" s="6"/>
      <c r="AS32" s="169" t="s">
        <v>581</v>
      </c>
      <c r="AT32" s="169">
        <v>42800</v>
      </c>
    </row>
    <row r="33" spans="1:46" ht="15" x14ac:dyDescent="0.2">
      <c r="A33" s="5">
        <v>16</v>
      </c>
      <c r="B33" s="168" t="s">
        <v>266</v>
      </c>
      <c r="C33" s="169" t="s">
        <v>521</v>
      </c>
      <c r="D33" s="169">
        <v>9352241126</v>
      </c>
      <c r="E33" s="169" t="s">
        <v>522</v>
      </c>
      <c r="F33" s="169">
        <v>50000</v>
      </c>
      <c r="G33" s="169" t="s">
        <v>552</v>
      </c>
      <c r="H33" s="165">
        <v>45383</v>
      </c>
      <c r="I33" s="6"/>
      <c r="J33" s="6"/>
      <c r="K33" s="6"/>
      <c r="L33" s="6"/>
      <c r="M33" s="6"/>
      <c r="N33" s="6"/>
      <c r="O33" s="6">
        <v>10</v>
      </c>
      <c r="P33" s="6">
        <v>10000</v>
      </c>
      <c r="Q33" s="6">
        <v>25</v>
      </c>
      <c r="R33" s="6">
        <v>12000</v>
      </c>
      <c r="S33" s="6" t="s">
        <v>644</v>
      </c>
      <c r="T33" s="6">
        <v>9000</v>
      </c>
      <c r="U33" s="6" t="s">
        <v>639</v>
      </c>
      <c r="V33" s="6">
        <v>10000</v>
      </c>
      <c r="W33" s="6" t="s">
        <v>753</v>
      </c>
      <c r="X33" s="6">
        <v>12000</v>
      </c>
      <c r="Y33" s="99" t="str">
        <f>+MSL!I106</f>
        <v>2,9,24</v>
      </c>
      <c r="Z33" s="6">
        <v>12000</v>
      </c>
      <c r="AA33" s="6"/>
      <c r="AB33" s="6">
        <v>15000</v>
      </c>
      <c r="AC33" s="6"/>
      <c r="AD33" s="6"/>
      <c r="AE33" s="6"/>
      <c r="AF33" s="7"/>
      <c r="AG33" s="6"/>
      <c r="AH33" s="6"/>
      <c r="AI33" s="6"/>
      <c r="AJ33" s="6"/>
      <c r="AK33" s="6"/>
      <c r="AL33" s="7"/>
      <c r="AM33" s="6"/>
      <c r="AN33" s="6"/>
      <c r="AO33" s="6"/>
      <c r="AP33" s="6"/>
      <c r="AQ33" s="6"/>
      <c r="AR33" s="6"/>
      <c r="AS33" s="169" t="s">
        <v>581</v>
      </c>
      <c r="AT33" s="169">
        <v>145000</v>
      </c>
    </row>
    <row r="34" spans="1:46" ht="14.25" x14ac:dyDescent="0.15">
      <c r="A34" s="5">
        <v>13</v>
      </c>
      <c r="B34" s="168" t="s">
        <v>543</v>
      </c>
      <c r="C34" s="169" t="s">
        <v>521</v>
      </c>
      <c r="D34" s="169">
        <v>8529490073</v>
      </c>
      <c r="E34" s="169" t="s">
        <v>529</v>
      </c>
      <c r="F34" s="169">
        <v>40000</v>
      </c>
      <c r="G34" s="170" t="s">
        <v>555</v>
      </c>
      <c r="H34" s="167">
        <v>45748</v>
      </c>
      <c r="I34" s="6"/>
      <c r="J34" s="6"/>
      <c r="K34" s="6"/>
      <c r="L34" s="6"/>
      <c r="M34" s="6"/>
      <c r="N34" s="6"/>
      <c r="O34" s="6"/>
      <c r="P34" s="6">
        <v>20000</v>
      </c>
      <c r="Q34" s="6" t="s">
        <v>644</v>
      </c>
      <c r="R34" s="6">
        <v>20000</v>
      </c>
      <c r="S34" s="6">
        <v>25</v>
      </c>
      <c r="T34" s="6">
        <v>20000</v>
      </c>
      <c r="U34" s="6">
        <v>18</v>
      </c>
      <c r="V34" s="6">
        <v>25000</v>
      </c>
      <c r="W34" s="6"/>
      <c r="X34" s="6">
        <v>25000</v>
      </c>
      <c r="Y34" s="6">
        <f>+MSL!I111</f>
        <v>12</v>
      </c>
      <c r="Z34" s="6">
        <v>30000</v>
      </c>
      <c r="AA34" s="6"/>
      <c r="AB34" s="6">
        <v>30000</v>
      </c>
      <c r="AC34" s="6"/>
      <c r="AD34" s="6"/>
      <c r="AE34" s="6"/>
      <c r="AF34" s="7"/>
      <c r="AG34" s="6"/>
      <c r="AH34" s="6"/>
      <c r="AI34" s="6"/>
      <c r="AJ34" s="6"/>
      <c r="AK34" s="6"/>
      <c r="AL34" s="7"/>
      <c r="AM34" s="6"/>
      <c r="AN34" s="6"/>
      <c r="AO34" s="6"/>
      <c r="AP34" s="6"/>
      <c r="AQ34" s="6"/>
      <c r="AR34" s="6"/>
      <c r="AS34" s="169" t="s">
        <v>581</v>
      </c>
      <c r="AT34" s="169">
        <v>355000</v>
      </c>
    </row>
    <row r="35" spans="1:46" ht="15" x14ac:dyDescent="0.2">
      <c r="A35" s="5">
        <v>5</v>
      </c>
      <c r="B35" s="169" t="s">
        <v>317</v>
      </c>
      <c r="C35" s="169" t="s">
        <v>521</v>
      </c>
      <c r="D35" s="169">
        <v>9414026742</v>
      </c>
      <c r="E35" s="168" t="s">
        <v>529</v>
      </c>
      <c r="F35" s="169">
        <v>10000</v>
      </c>
      <c r="G35" s="169" t="s">
        <v>549</v>
      </c>
      <c r="H35" s="192" t="s">
        <v>528</v>
      </c>
      <c r="I35" s="6"/>
      <c r="J35" s="6"/>
      <c r="K35" s="6"/>
      <c r="L35" s="6"/>
      <c r="M35" s="6"/>
      <c r="N35" s="6"/>
      <c r="O35" s="6" t="s">
        <v>645</v>
      </c>
      <c r="P35" s="6">
        <v>10000</v>
      </c>
      <c r="Q35" s="48" t="s">
        <v>662</v>
      </c>
      <c r="R35" s="6">
        <v>15000</v>
      </c>
      <c r="S35" s="6" t="s">
        <v>678</v>
      </c>
      <c r="T35" s="6">
        <v>7000</v>
      </c>
      <c r="U35" s="6" t="s">
        <v>293</v>
      </c>
      <c r="V35" s="6">
        <v>5000</v>
      </c>
      <c r="W35" s="6">
        <v>14</v>
      </c>
      <c r="X35" s="6">
        <v>5000</v>
      </c>
      <c r="Y35" s="6">
        <f>+MSL!I118</f>
        <v>1</v>
      </c>
      <c r="Z35" s="6">
        <v>5000</v>
      </c>
      <c r="AA35" s="6"/>
      <c r="AB35" s="6">
        <v>3000</v>
      </c>
      <c r="AC35" s="6"/>
      <c r="AD35" s="6"/>
      <c r="AE35" s="6"/>
      <c r="AF35" s="7"/>
      <c r="AG35" s="6"/>
      <c r="AH35" s="6"/>
      <c r="AI35" s="6"/>
      <c r="AJ35" s="6"/>
      <c r="AK35" s="6"/>
      <c r="AL35" s="7"/>
      <c r="AM35" s="6"/>
      <c r="AN35" s="6"/>
      <c r="AO35" s="48"/>
      <c r="AP35" s="6"/>
      <c r="AQ35" s="6"/>
      <c r="AR35" s="6"/>
      <c r="AS35" s="169" t="s">
        <v>582</v>
      </c>
      <c r="AT35" s="169">
        <v>51200</v>
      </c>
    </row>
    <row r="36" spans="1:46" ht="15" x14ac:dyDescent="0.2">
      <c r="A36" s="5">
        <v>10</v>
      </c>
      <c r="B36" s="168" t="s">
        <v>525</v>
      </c>
      <c r="C36" s="169" t="s">
        <v>521</v>
      </c>
      <c r="D36" s="169">
        <v>9460401750</v>
      </c>
      <c r="E36" s="169" t="s">
        <v>569</v>
      </c>
      <c r="F36" s="169">
        <v>11000</v>
      </c>
      <c r="G36" s="169" t="s">
        <v>551</v>
      </c>
      <c r="H36" s="165">
        <v>45474</v>
      </c>
      <c r="I36" s="6"/>
      <c r="J36" s="6"/>
      <c r="K36" s="6"/>
      <c r="L36" s="6"/>
      <c r="M36" s="6"/>
      <c r="N36" s="6"/>
      <c r="O36" s="6" t="s">
        <v>648</v>
      </c>
      <c r="P36" s="6">
        <v>30000</v>
      </c>
      <c r="Q36" s="6" t="s">
        <v>664</v>
      </c>
      <c r="R36" s="6">
        <v>30000</v>
      </c>
      <c r="S36" s="6" t="s">
        <v>681</v>
      </c>
      <c r="T36" s="6">
        <v>30000</v>
      </c>
      <c r="U36" s="6" t="s">
        <v>637</v>
      </c>
      <c r="V36" s="6">
        <v>30000</v>
      </c>
      <c r="W36" s="6" t="s">
        <v>755</v>
      </c>
      <c r="X36" s="6">
        <v>30000</v>
      </c>
      <c r="Y36" s="99" t="str">
        <f>+MSL!I120</f>
        <v>12,18,25</v>
      </c>
      <c r="Z36" s="6">
        <v>40000</v>
      </c>
      <c r="AA36" s="6"/>
      <c r="AB36" s="6">
        <v>40000</v>
      </c>
      <c r="AC36" s="6"/>
      <c r="AD36" s="6"/>
      <c r="AE36" s="6"/>
      <c r="AF36" s="7"/>
      <c r="AG36" s="6"/>
      <c r="AH36" s="6"/>
      <c r="AI36" s="6"/>
      <c r="AJ36" s="6"/>
      <c r="AK36" s="6"/>
      <c r="AL36" s="7"/>
      <c r="AM36" s="6"/>
      <c r="AN36" s="6"/>
      <c r="AO36" s="6"/>
      <c r="AP36" s="6"/>
      <c r="AQ36" s="6"/>
      <c r="AR36" s="6"/>
      <c r="AS36" s="169" t="s">
        <v>581</v>
      </c>
      <c r="AT36" s="169">
        <v>331500</v>
      </c>
    </row>
    <row r="37" spans="1:46" ht="15" x14ac:dyDescent="0.2">
      <c r="A37" s="5">
        <v>19</v>
      </c>
      <c r="B37" s="168" t="s">
        <v>302</v>
      </c>
      <c r="C37" s="169" t="s">
        <v>521</v>
      </c>
      <c r="D37" s="169">
        <v>9794321171</v>
      </c>
      <c r="E37" s="171" t="s">
        <v>529</v>
      </c>
      <c r="F37" s="169">
        <v>50000</v>
      </c>
      <c r="G37" s="169" t="s">
        <v>557</v>
      </c>
      <c r="H37" s="167">
        <v>45505</v>
      </c>
      <c r="I37" s="6"/>
      <c r="J37" s="6"/>
      <c r="K37" s="6"/>
      <c r="L37" s="6"/>
      <c r="M37" s="6"/>
      <c r="N37" s="6"/>
      <c r="O37" s="6" t="s">
        <v>651</v>
      </c>
      <c r="P37" s="6">
        <v>10000</v>
      </c>
      <c r="Q37" s="6" t="s">
        <v>669</v>
      </c>
      <c r="R37" s="6">
        <v>10000</v>
      </c>
      <c r="S37" s="6" t="s">
        <v>684</v>
      </c>
      <c r="T37" s="6">
        <v>6000</v>
      </c>
      <c r="U37" s="6" t="s">
        <v>305</v>
      </c>
      <c r="V37" s="6">
        <v>10000</v>
      </c>
      <c r="W37" s="6" t="s">
        <v>756</v>
      </c>
      <c r="X37" s="6">
        <v>2000</v>
      </c>
      <c r="Y37" s="99" t="str">
        <f>+MSL!I121</f>
        <v>na,16,18,19,29</v>
      </c>
      <c r="Z37" s="6">
        <v>20000</v>
      </c>
      <c r="AA37" s="6"/>
      <c r="AB37" s="6">
        <v>15000</v>
      </c>
      <c r="AC37" s="6"/>
      <c r="AD37" s="6"/>
      <c r="AE37" s="6"/>
      <c r="AF37" s="7"/>
      <c r="AG37" s="6"/>
      <c r="AH37" s="6"/>
      <c r="AI37" s="6"/>
      <c r="AJ37" s="6"/>
      <c r="AK37" s="6"/>
      <c r="AL37" s="7"/>
      <c r="AM37" s="6"/>
      <c r="AN37" s="6"/>
      <c r="AO37" s="6"/>
      <c r="AP37" s="6"/>
      <c r="AQ37" s="6"/>
      <c r="AR37" s="6"/>
      <c r="AS37" s="169" t="s">
        <v>581</v>
      </c>
      <c r="AT37" s="169">
        <v>188000</v>
      </c>
    </row>
    <row r="38" spans="1:46" x14ac:dyDescent="0.1">
      <c r="A38" s="5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6"/>
      <c r="AH38" s="6"/>
      <c r="AI38" s="6"/>
      <c r="AJ38" s="6"/>
      <c r="AK38" s="6"/>
      <c r="AL38" s="7"/>
      <c r="AM38" s="6"/>
      <c r="AN38" s="6"/>
      <c r="AO38" s="6"/>
      <c r="AP38" s="6"/>
      <c r="AQ38" s="6"/>
      <c r="AR38" s="6"/>
    </row>
    <row r="39" spans="1:46" x14ac:dyDescent="0.1">
      <c r="A39" s="5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6"/>
      <c r="AH39" s="6"/>
      <c r="AI39" s="6"/>
      <c r="AJ39" s="6"/>
      <c r="AK39" s="6"/>
      <c r="AL39" s="7"/>
      <c r="AM39" s="6"/>
      <c r="AN39" s="6"/>
      <c r="AO39" s="6"/>
      <c r="AP39" s="6"/>
      <c r="AQ39" s="6"/>
      <c r="AR39" s="6"/>
    </row>
    <row r="40" spans="1:46" x14ac:dyDescent="0.1">
      <c r="A40" s="5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6"/>
      <c r="AH40" s="6"/>
      <c r="AI40" s="6"/>
      <c r="AJ40" s="6"/>
      <c r="AK40" s="6"/>
      <c r="AL40" s="7"/>
      <c r="AM40" s="6"/>
      <c r="AN40" s="6"/>
      <c r="AO40" s="6"/>
      <c r="AP40" s="6"/>
      <c r="AQ40" s="6"/>
      <c r="AR40" s="6"/>
    </row>
    <row r="41" spans="1:46" x14ac:dyDescent="0.1">
      <c r="A41" s="5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6"/>
      <c r="AH41" s="6"/>
      <c r="AI41" s="6"/>
      <c r="AJ41" s="6"/>
      <c r="AK41" s="6"/>
      <c r="AL41" s="7"/>
      <c r="AM41" s="6"/>
      <c r="AN41" s="6"/>
      <c r="AO41" s="6"/>
      <c r="AP41" s="6"/>
      <c r="AQ41" s="6"/>
      <c r="AR41" s="6"/>
    </row>
    <row r="42" spans="1:46" x14ac:dyDescent="0.1">
      <c r="A42" s="5"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6"/>
      <c r="AH42" s="6"/>
      <c r="AI42" s="6"/>
      <c r="AJ42" s="6"/>
      <c r="AK42" s="6"/>
      <c r="AL42" s="7"/>
      <c r="AM42" s="6"/>
      <c r="AN42" s="6"/>
      <c r="AO42" s="6"/>
      <c r="AP42" s="6"/>
      <c r="AQ42" s="6"/>
      <c r="AR42" s="6"/>
    </row>
    <row r="43" spans="1:46" x14ac:dyDescent="0.1">
      <c r="A43" s="5"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6"/>
      <c r="AH43" s="6"/>
      <c r="AI43" s="6"/>
      <c r="AJ43" s="6"/>
      <c r="AK43" s="6"/>
      <c r="AL43" s="7"/>
      <c r="AM43" s="6"/>
      <c r="AN43" s="6"/>
      <c r="AO43" s="6"/>
      <c r="AP43" s="6"/>
      <c r="AQ43" s="6"/>
      <c r="AR43" s="6"/>
    </row>
    <row r="44" spans="1:46" x14ac:dyDescent="0.1">
      <c r="A44" s="5"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6"/>
      <c r="AH44" s="6"/>
      <c r="AI44" s="6"/>
      <c r="AJ44" s="6"/>
      <c r="AK44" s="6"/>
      <c r="AL44" s="7"/>
      <c r="AM44" s="6"/>
      <c r="AN44" s="6"/>
      <c r="AO44" s="6"/>
      <c r="AP44" s="6"/>
      <c r="AQ44" s="6"/>
      <c r="AR44" s="6"/>
    </row>
    <row r="45" spans="1:46" x14ac:dyDescent="0.1">
      <c r="A45" s="5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6"/>
      <c r="AH45" s="6"/>
      <c r="AI45" s="6"/>
      <c r="AJ45" s="6"/>
      <c r="AK45" s="6"/>
      <c r="AL45" s="7"/>
      <c r="AM45" s="6"/>
      <c r="AN45" s="6"/>
      <c r="AO45" s="6"/>
      <c r="AP45" s="6"/>
      <c r="AQ45" s="6"/>
      <c r="AR45" s="6"/>
    </row>
    <row r="46" spans="1:46" x14ac:dyDescent="0.1">
      <c r="A46" s="5">
        <v>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6"/>
      <c r="AH46" s="6"/>
      <c r="AI46" s="6"/>
      <c r="AJ46" s="6"/>
      <c r="AK46" s="6"/>
      <c r="AL46" s="7"/>
      <c r="AM46" s="6"/>
      <c r="AN46" s="6"/>
      <c r="AO46" s="6"/>
      <c r="AP46" s="6"/>
      <c r="AQ46" s="6"/>
      <c r="AR46" s="6"/>
    </row>
    <row r="47" spans="1:46" x14ac:dyDescent="0.1">
      <c r="A47" s="5"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6"/>
      <c r="AH47" s="6"/>
      <c r="AI47" s="6"/>
      <c r="AJ47" s="6"/>
      <c r="AK47" s="6"/>
      <c r="AL47" s="7"/>
      <c r="AM47" s="6"/>
      <c r="AN47" s="6"/>
      <c r="AO47" s="6"/>
      <c r="AP47" s="6"/>
      <c r="AQ47" s="6"/>
      <c r="AR47" s="6"/>
    </row>
    <row r="48" spans="1:46" x14ac:dyDescent="0.1">
      <c r="A48" s="5"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6"/>
      <c r="AH48" s="6"/>
      <c r="AI48" s="6"/>
      <c r="AJ48" s="6"/>
      <c r="AK48" s="6"/>
      <c r="AL48" s="7"/>
      <c r="AM48" s="6"/>
      <c r="AN48" s="6"/>
      <c r="AO48" s="6"/>
      <c r="AP48" s="6"/>
      <c r="AQ48" s="6"/>
      <c r="AR48" s="6"/>
    </row>
    <row r="49" spans="1:44" x14ac:dyDescent="0.1">
      <c r="A49" s="5"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6"/>
      <c r="AH49" s="6"/>
      <c r="AI49" s="6"/>
      <c r="AJ49" s="6"/>
      <c r="AK49" s="6"/>
      <c r="AL49" s="7"/>
      <c r="AM49" s="6"/>
      <c r="AN49" s="6"/>
      <c r="AO49" s="6"/>
      <c r="AP49" s="6"/>
      <c r="AQ49" s="6"/>
      <c r="AR49" s="6"/>
    </row>
    <row r="50" spans="1:44" x14ac:dyDescent="0.1">
      <c r="A50" s="5">
        <v>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6"/>
      <c r="AH50" s="6"/>
      <c r="AI50" s="6"/>
      <c r="AJ50" s="6"/>
      <c r="AK50" s="6"/>
      <c r="AL50" s="7"/>
      <c r="AM50" s="6"/>
      <c r="AN50" s="6"/>
      <c r="AO50" s="6"/>
      <c r="AP50" s="6"/>
      <c r="AQ50" s="6"/>
      <c r="AR50" s="6"/>
    </row>
    <row r="51" spans="1:44" x14ac:dyDescent="0.1">
      <c r="A51" s="5">
        <v>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6"/>
      <c r="AH51" s="6"/>
      <c r="AI51" s="6"/>
      <c r="AJ51" s="6"/>
      <c r="AK51" s="6"/>
      <c r="AL51" s="7"/>
      <c r="AM51" s="6"/>
      <c r="AN51" s="6"/>
      <c r="AO51" s="6"/>
      <c r="AP51" s="6"/>
      <c r="AQ51" s="6"/>
      <c r="AR51" s="6"/>
    </row>
    <row r="52" spans="1:44" x14ac:dyDescent="0.1">
      <c r="A52" s="5">
        <v>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6"/>
      <c r="AH52" s="6"/>
      <c r="AI52" s="6"/>
      <c r="AJ52" s="6"/>
      <c r="AK52" s="6"/>
      <c r="AL52" s="7"/>
      <c r="AM52" s="6"/>
      <c r="AN52" s="6"/>
      <c r="AO52" s="6"/>
      <c r="AP52" s="6"/>
      <c r="AQ52" s="6"/>
      <c r="AR52" s="6"/>
    </row>
    <row r="53" spans="1:44" x14ac:dyDescent="0.1">
      <c r="A53" s="5">
        <v>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6"/>
      <c r="AH53" s="6"/>
      <c r="AI53" s="6"/>
      <c r="AJ53" s="6"/>
      <c r="AK53" s="6"/>
      <c r="AL53" s="7"/>
      <c r="AM53" s="6"/>
      <c r="AN53" s="6"/>
      <c r="AO53" s="6"/>
      <c r="AP53" s="6"/>
      <c r="AQ53" s="6"/>
      <c r="AR53" s="6"/>
    </row>
    <row r="54" spans="1:44" x14ac:dyDescent="0.1">
      <c r="A54" s="5"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7"/>
      <c r="AG54" s="6"/>
      <c r="AH54" s="6"/>
      <c r="AI54" s="6"/>
      <c r="AJ54" s="6"/>
      <c r="AK54" s="6"/>
      <c r="AL54" s="7"/>
      <c r="AM54" s="6"/>
      <c r="AN54" s="6"/>
      <c r="AO54" s="6"/>
      <c r="AP54" s="6"/>
      <c r="AQ54" s="6"/>
      <c r="AR54" s="6"/>
    </row>
    <row r="55" spans="1:44" x14ac:dyDescent="0.1">
      <c r="A55" s="5"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7"/>
      <c r="AG55" s="6"/>
      <c r="AH55" s="6"/>
      <c r="AI55" s="6"/>
      <c r="AJ55" s="6"/>
      <c r="AK55" s="6"/>
      <c r="AL55" s="7"/>
      <c r="AM55" s="6"/>
      <c r="AN55" s="6"/>
      <c r="AO55" s="6"/>
      <c r="AP55" s="6"/>
      <c r="AQ55" s="6"/>
      <c r="AR55" s="6"/>
    </row>
    <row r="56" spans="1:44" x14ac:dyDescent="0.1">
      <c r="A56" s="5">
        <v>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7"/>
      <c r="AG56" s="6"/>
      <c r="AH56" s="6"/>
      <c r="AI56" s="6"/>
      <c r="AJ56" s="6"/>
      <c r="AK56" s="6"/>
      <c r="AL56" s="7"/>
      <c r="AM56" s="6"/>
      <c r="AN56" s="6"/>
      <c r="AO56" s="6"/>
      <c r="AP56" s="6"/>
      <c r="AQ56" s="6"/>
      <c r="AR56" s="6"/>
    </row>
    <row r="57" spans="1:44" x14ac:dyDescent="0.1">
      <c r="A57" s="5">
        <v>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7"/>
      <c r="AG57" s="6"/>
      <c r="AH57" s="6"/>
      <c r="AI57" s="6"/>
      <c r="AJ57" s="6"/>
      <c r="AK57" s="6"/>
      <c r="AL57" s="7"/>
      <c r="AM57" s="6"/>
      <c r="AN57" s="6"/>
      <c r="AO57" s="6"/>
      <c r="AP57" s="6"/>
      <c r="AQ57" s="6"/>
      <c r="AR57" s="6"/>
    </row>
    <row r="58" spans="1:44" x14ac:dyDescent="0.1">
      <c r="A58" s="5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7"/>
      <c r="AG58" s="6"/>
      <c r="AH58" s="6"/>
      <c r="AI58" s="6"/>
      <c r="AJ58" s="6"/>
      <c r="AK58" s="6"/>
      <c r="AL58" s="7"/>
      <c r="AM58" s="6"/>
      <c r="AN58" s="6"/>
      <c r="AO58" s="6"/>
      <c r="AP58" s="6"/>
      <c r="AQ58" s="6"/>
      <c r="AR58" s="6"/>
    </row>
    <row r="59" spans="1:44" x14ac:dyDescent="0.1">
      <c r="A59" s="5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7"/>
      <c r="AG59" s="6"/>
      <c r="AH59" s="6"/>
      <c r="AI59" s="6"/>
      <c r="AJ59" s="6"/>
      <c r="AK59" s="6"/>
      <c r="AL59" s="7"/>
      <c r="AM59" s="6"/>
      <c r="AN59" s="6"/>
      <c r="AO59" s="6"/>
      <c r="AP59" s="6"/>
      <c r="AQ59" s="6"/>
      <c r="AR59" s="6"/>
    </row>
    <row r="60" spans="1:44" x14ac:dyDescent="0.1">
      <c r="A60" s="5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7"/>
      <c r="AG60" s="6"/>
      <c r="AH60" s="6"/>
      <c r="AI60" s="6"/>
      <c r="AJ60" s="6"/>
      <c r="AK60" s="6"/>
      <c r="AL60" s="7"/>
      <c r="AM60" s="6"/>
      <c r="AN60" s="6"/>
      <c r="AO60" s="6"/>
      <c r="AP60" s="6"/>
      <c r="AQ60" s="6"/>
      <c r="AR60" s="6"/>
    </row>
    <row r="61" spans="1:44" x14ac:dyDescent="0.1">
      <c r="A61" s="5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7"/>
      <c r="AG61" s="6"/>
      <c r="AH61" s="6"/>
      <c r="AI61" s="6"/>
      <c r="AJ61" s="6"/>
      <c r="AK61" s="6"/>
      <c r="AL61" s="7"/>
      <c r="AM61" s="6"/>
      <c r="AN61" s="6"/>
      <c r="AO61" s="6"/>
      <c r="AP61" s="6"/>
      <c r="AQ61" s="6"/>
      <c r="AR61" s="6"/>
    </row>
    <row r="62" spans="1:44" x14ac:dyDescent="0.1">
      <c r="A62" s="5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7"/>
      <c r="AG62" s="6"/>
      <c r="AH62" s="6"/>
      <c r="AI62" s="6"/>
      <c r="AJ62" s="6"/>
      <c r="AK62" s="6"/>
      <c r="AL62" s="7"/>
      <c r="AM62" s="6"/>
      <c r="AN62" s="6"/>
      <c r="AO62" s="6"/>
      <c r="AP62" s="6"/>
      <c r="AQ62" s="6"/>
      <c r="AR62" s="6"/>
    </row>
    <row r="63" spans="1:44" x14ac:dyDescent="0.1">
      <c r="A63" s="5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7"/>
      <c r="AG63" s="6"/>
      <c r="AH63" s="6"/>
      <c r="AI63" s="6"/>
      <c r="AJ63" s="6"/>
      <c r="AK63" s="6"/>
      <c r="AL63" s="7"/>
      <c r="AM63" s="6"/>
      <c r="AN63" s="6"/>
      <c r="AO63" s="6"/>
      <c r="AP63" s="6"/>
      <c r="AQ63" s="6"/>
      <c r="AR63" s="6"/>
    </row>
    <row r="64" spans="1:44" x14ac:dyDescent="0.1">
      <c r="A64" s="5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7"/>
      <c r="AG64" s="6"/>
      <c r="AH64" s="6"/>
      <c r="AI64" s="6"/>
      <c r="AJ64" s="6"/>
      <c r="AK64" s="6"/>
      <c r="AL64" s="7"/>
      <c r="AM64" s="6"/>
      <c r="AN64" s="6"/>
      <c r="AO64" s="6"/>
      <c r="AP64" s="6"/>
      <c r="AQ64" s="6"/>
      <c r="AR64" s="6"/>
    </row>
    <row r="65" spans="1:44" x14ac:dyDescent="0.1">
      <c r="A65" s="5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7"/>
      <c r="AG65" s="6"/>
      <c r="AH65" s="6"/>
      <c r="AI65" s="6"/>
      <c r="AJ65" s="6"/>
      <c r="AK65" s="6"/>
      <c r="AL65" s="7"/>
      <c r="AM65" s="6"/>
      <c r="AN65" s="6"/>
      <c r="AO65" s="6"/>
      <c r="AP65" s="6"/>
      <c r="AQ65" s="6"/>
      <c r="AR65" s="6"/>
    </row>
    <row r="66" spans="1:44" x14ac:dyDescent="0.1">
      <c r="A66" s="5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7"/>
      <c r="AG66" s="6"/>
      <c r="AH66" s="6"/>
      <c r="AI66" s="6"/>
      <c r="AJ66" s="6"/>
      <c r="AK66" s="6"/>
      <c r="AL66" s="7"/>
      <c r="AM66" s="6"/>
      <c r="AN66" s="6"/>
      <c r="AO66" s="6"/>
      <c r="AP66" s="6"/>
      <c r="AQ66" s="6"/>
      <c r="AR66" s="6"/>
    </row>
    <row r="67" spans="1:44" x14ac:dyDescent="0.1">
      <c r="A67" s="5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7"/>
      <c r="AG67" s="6"/>
      <c r="AH67" s="6"/>
      <c r="AI67" s="6"/>
      <c r="AJ67" s="6"/>
      <c r="AK67" s="6"/>
      <c r="AL67" s="7"/>
      <c r="AM67" s="6"/>
      <c r="AN67" s="6"/>
      <c r="AO67" s="6"/>
      <c r="AP67" s="6"/>
      <c r="AQ67" s="6"/>
      <c r="AR67" s="6"/>
    </row>
    <row r="68" spans="1:44" x14ac:dyDescent="0.1">
      <c r="A68" s="5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7"/>
      <c r="AG68" s="6"/>
      <c r="AH68" s="6"/>
      <c r="AI68" s="6"/>
      <c r="AJ68" s="6"/>
      <c r="AK68" s="6"/>
      <c r="AL68" s="7"/>
      <c r="AM68" s="6"/>
      <c r="AN68" s="6"/>
      <c r="AO68" s="6"/>
      <c r="AP68" s="6"/>
      <c r="AQ68" s="6"/>
      <c r="AR68" s="6"/>
    </row>
    <row r="69" spans="1:44" x14ac:dyDescent="0.1">
      <c r="A69" s="5"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7"/>
      <c r="AG69" s="6"/>
      <c r="AH69" s="6"/>
      <c r="AI69" s="6"/>
      <c r="AJ69" s="6"/>
      <c r="AK69" s="6"/>
      <c r="AL69" s="7"/>
      <c r="AM69" s="6"/>
      <c r="AN69" s="6"/>
      <c r="AO69" s="6"/>
      <c r="AP69" s="6"/>
      <c r="AQ69" s="6"/>
      <c r="AR69" s="6"/>
    </row>
    <row r="70" spans="1:44" x14ac:dyDescent="0.1">
      <c r="A70" s="5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7"/>
      <c r="AG70" s="6"/>
      <c r="AH70" s="6"/>
      <c r="AI70" s="6"/>
      <c r="AJ70" s="6"/>
      <c r="AK70" s="6"/>
      <c r="AL70" s="7"/>
      <c r="AM70" s="6"/>
      <c r="AN70" s="6"/>
      <c r="AO70" s="6"/>
      <c r="AP70" s="6"/>
      <c r="AQ70" s="6"/>
      <c r="AR70" s="6"/>
    </row>
    <row r="71" spans="1:44" x14ac:dyDescent="0.1">
      <c r="A71" s="5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7"/>
      <c r="AG71" s="6"/>
      <c r="AH71" s="6"/>
      <c r="AI71" s="6"/>
      <c r="AJ71" s="6"/>
      <c r="AK71" s="6"/>
      <c r="AL71" s="7"/>
      <c r="AM71" s="6"/>
      <c r="AN71" s="6"/>
      <c r="AO71" s="6"/>
      <c r="AP71" s="6"/>
      <c r="AQ71" s="6"/>
      <c r="AR71" s="6"/>
    </row>
    <row r="72" spans="1:44" x14ac:dyDescent="0.1">
      <c r="A72" s="5">
        <v>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7"/>
      <c r="AG72" s="6"/>
      <c r="AH72" s="6"/>
      <c r="AI72" s="6"/>
      <c r="AJ72" s="6"/>
      <c r="AK72" s="6"/>
      <c r="AL72" s="7"/>
      <c r="AM72" s="6"/>
      <c r="AN72" s="6"/>
      <c r="AO72" s="6"/>
      <c r="AP72" s="6"/>
      <c r="AQ72" s="6"/>
      <c r="AR72" s="6"/>
    </row>
    <row r="73" spans="1:44" x14ac:dyDescent="0.1">
      <c r="A73" s="5">
        <v>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7"/>
      <c r="AG73" s="6"/>
      <c r="AH73" s="6"/>
      <c r="AI73" s="6"/>
      <c r="AJ73" s="6"/>
      <c r="AK73" s="6"/>
      <c r="AL73" s="7"/>
      <c r="AM73" s="6"/>
      <c r="AN73" s="6"/>
      <c r="AO73" s="6"/>
      <c r="AP73" s="6"/>
      <c r="AQ73" s="6"/>
      <c r="AR73" s="6"/>
    </row>
    <row r="74" spans="1:44" x14ac:dyDescent="0.1">
      <c r="A74" s="5"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7"/>
      <c r="AG74" s="6"/>
      <c r="AH74" s="6"/>
      <c r="AI74" s="6"/>
      <c r="AJ74" s="6"/>
      <c r="AK74" s="6"/>
      <c r="AL74" s="7"/>
      <c r="AM74" s="6"/>
      <c r="AN74" s="6"/>
      <c r="AO74" s="6"/>
      <c r="AP74" s="6"/>
      <c r="AQ74" s="6"/>
      <c r="AR74" s="6"/>
    </row>
    <row r="75" spans="1:44" x14ac:dyDescent="0.1">
      <c r="A75" s="5">
        <v>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7"/>
      <c r="AG75" s="6"/>
      <c r="AH75" s="6"/>
      <c r="AI75" s="6"/>
      <c r="AJ75" s="6"/>
      <c r="AK75" s="6"/>
      <c r="AL75" s="7"/>
      <c r="AM75" s="6"/>
      <c r="AN75" s="6"/>
      <c r="AO75" s="6"/>
      <c r="AP75" s="6"/>
      <c r="AQ75" s="6"/>
      <c r="AR75" s="6"/>
    </row>
    <row r="76" spans="1:44" x14ac:dyDescent="0.1">
      <c r="A76" s="5">
        <v>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7"/>
      <c r="AG76" s="6"/>
      <c r="AH76" s="6"/>
      <c r="AI76" s="6"/>
      <c r="AJ76" s="6"/>
      <c r="AK76" s="6"/>
      <c r="AL76" s="7"/>
      <c r="AM76" s="6"/>
      <c r="AN76" s="6"/>
      <c r="AO76" s="6"/>
      <c r="AP76" s="6"/>
      <c r="AQ76" s="6"/>
      <c r="AR76" s="6"/>
    </row>
    <row r="77" spans="1:44" x14ac:dyDescent="0.1">
      <c r="A77" s="5">
        <v>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7"/>
      <c r="AG77" s="6"/>
      <c r="AH77" s="6"/>
      <c r="AI77" s="6"/>
      <c r="AJ77" s="6"/>
      <c r="AK77" s="6"/>
      <c r="AL77" s="7"/>
      <c r="AM77" s="6"/>
      <c r="AN77" s="6"/>
      <c r="AO77" s="6"/>
      <c r="AP77" s="6"/>
      <c r="AQ77" s="6"/>
      <c r="AR77" s="6"/>
    </row>
    <row r="78" spans="1:44" x14ac:dyDescent="0.1">
      <c r="A78" s="5">
        <v>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7"/>
      <c r="AG78" s="6"/>
      <c r="AH78" s="6"/>
      <c r="AI78" s="6"/>
      <c r="AJ78" s="6"/>
      <c r="AK78" s="6"/>
      <c r="AL78" s="7"/>
      <c r="AM78" s="6"/>
      <c r="AN78" s="6"/>
      <c r="AO78" s="6"/>
      <c r="AP78" s="6"/>
      <c r="AQ78" s="6"/>
      <c r="AR78" s="6"/>
    </row>
    <row r="79" spans="1:44" x14ac:dyDescent="0.1">
      <c r="A79" s="5">
        <v>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7"/>
      <c r="AG79" s="6"/>
      <c r="AH79" s="6"/>
      <c r="AI79" s="6"/>
      <c r="AJ79" s="6"/>
      <c r="AK79" s="6"/>
      <c r="AL79" s="7"/>
      <c r="AM79" s="6"/>
      <c r="AN79" s="6"/>
      <c r="AO79" s="6"/>
      <c r="AP79" s="6"/>
      <c r="AQ79" s="6"/>
      <c r="AR79" s="6"/>
    </row>
    <row r="80" spans="1:44" x14ac:dyDescent="0.1">
      <c r="A80" s="5">
        <v>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7"/>
      <c r="AG80" s="6"/>
      <c r="AH80" s="6"/>
      <c r="AI80" s="6"/>
      <c r="AJ80" s="6"/>
      <c r="AK80" s="6"/>
      <c r="AL80" s="7"/>
      <c r="AM80" s="6"/>
      <c r="AN80" s="6"/>
      <c r="AO80" s="6"/>
      <c r="AP80" s="6"/>
      <c r="AQ80" s="6"/>
      <c r="AR80" s="6"/>
    </row>
    <row r="81" spans="1:44" x14ac:dyDescent="0.1">
      <c r="A81" s="5"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7"/>
      <c r="AG81" s="6"/>
      <c r="AH81" s="6"/>
      <c r="AI81" s="6"/>
      <c r="AJ81" s="6"/>
      <c r="AK81" s="6"/>
      <c r="AL81" s="7"/>
      <c r="AM81" s="6"/>
      <c r="AN81" s="6"/>
      <c r="AO81" s="6"/>
      <c r="AP81" s="6"/>
      <c r="AQ81" s="6"/>
      <c r="AR81" s="6"/>
    </row>
    <row r="82" spans="1:44" x14ac:dyDescent="0.1">
      <c r="A82" s="5"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7"/>
      <c r="AG82" s="6"/>
      <c r="AH82" s="6"/>
      <c r="AI82" s="6"/>
      <c r="AJ82" s="6"/>
      <c r="AK82" s="6"/>
      <c r="AL82" s="7"/>
      <c r="AM82" s="6"/>
      <c r="AN82" s="6"/>
      <c r="AO82" s="6"/>
      <c r="AP82" s="6"/>
      <c r="AQ82" s="6"/>
      <c r="AR82" s="6"/>
    </row>
    <row r="83" spans="1:44" x14ac:dyDescent="0.1">
      <c r="A83" s="5"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7"/>
      <c r="AG83" s="6"/>
      <c r="AH83" s="6"/>
      <c r="AI83" s="6"/>
      <c r="AJ83" s="6"/>
      <c r="AK83" s="6"/>
      <c r="AL83" s="7"/>
      <c r="AM83" s="6"/>
      <c r="AN83" s="6"/>
      <c r="AO83" s="6"/>
      <c r="AP83" s="6"/>
      <c r="AQ83" s="6"/>
      <c r="AR83" s="6"/>
    </row>
    <row r="84" spans="1:44" x14ac:dyDescent="0.1">
      <c r="A84" s="5">
        <v>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7"/>
      <c r="AG84" s="6"/>
      <c r="AH84" s="6"/>
      <c r="AI84" s="6"/>
      <c r="AJ84" s="6"/>
      <c r="AK84" s="6"/>
      <c r="AL84" s="7"/>
      <c r="AM84" s="6"/>
      <c r="AN84" s="6"/>
      <c r="AO84" s="6"/>
      <c r="AP84" s="6"/>
      <c r="AQ84" s="6"/>
      <c r="AR84" s="6"/>
    </row>
    <row r="85" spans="1:44" x14ac:dyDescent="0.1">
      <c r="A85" s="5">
        <v>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7"/>
      <c r="AG85" s="6"/>
      <c r="AH85" s="6"/>
      <c r="AI85" s="6"/>
      <c r="AJ85" s="6"/>
      <c r="AK85" s="6"/>
      <c r="AL85" s="7"/>
      <c r="AM85" s="6"/>
      <c r="AN85" s="6"/>
      <c r="AO85" s="6"/>
      <c r="AP85" s="6"/>
      <c r="AQ85" s="6"/>
      <c r="AR85" s="6"/>
    </row>
    <row r="86" spans="1:44" x14ac:dyDescent="0.1">
      <c r="A86" s="5">
        <v>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7"/>
      <c r="AG86" s="6"/>
      <c r="AH86" s="6"/>
      <c r="AI86" s="6"/>
      <c r="AJ86" s="6"/>
      <c r="AK86" s="6"/>
      <c r="AL86" s="7"/>
      <c r="AM86" s="6"/>
      <c r="AN86" s="6"/>
      <c r="AO86" s="6"/>
      <c r="AP86" s="6"/>
      <c r="AQ86" s="6"/>
      <c r="AR86" s="6"/>
    </row>
    <row r="87" spans="1:44" x14ac:dyDescent="0.1">
      <c r="A87" s="5">
        <v>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7"/>
      <c r="AG87" s="6"/>
      <c r="AH87" s="6"/>
      <c r="AI87" s="6"/>
      <c r="AJ87" s="6"/>
      <c r="AK87" s="6"/>
      <c r="AL87" s="7"/>
      <c r="AM87" s="6"/>
      <c r="AN87" s="6"/>
      <c r="AO87" s="6"/>
      <c r="AP87" s="6"/>
      <c r="AQ87" s="6"/>
      <c r="AR87" s="6"/>
    </row>
    <row r="88" spans="1:44" x14ac:dyDescent="0.1">
      <c r="A88" s="5">
        <v>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7"/>
      <c r="AG88" s="6"/>
      <c r="AH88" s="6"/>
      <c r="AI88" s="6"/>
      <c r="AJ88" s="6"/>
      <c r="AK88" s="6"/>
      <c r="AL88" s="7"/>
      <c r="AM88" s="6"/>
      <c r="AN88" s="6"/>
      <c r="AO88" s="6"/>
      <c r="AP88" s="6"/>
      <c r="AQ88" s="6"/>
      <c r="AR88" s="6"/>
    </row>
    <row r="89" spans="1:44" x14ac:dyDescent="0.1">
      <c r="A89" s="5">
        <v>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7"/>
      <c r="AG89" s="6"/>
      <c r="AH89" s="6"/>
      <c r="AI89" s="6"/>
      <c r="AJ89" s="6"/>
      <c r="AK89" s="6"/>
      <c r="AL89" s="7"/>
      <c r="AM89" s="6"/>
      <c r="AN89" s="6"/>
      <c r="AO89" s="6"/>
      <c r="AP89" s="6"/>
      <c r="AQ89" s="6"/>
      <c r="AR89" s="6"/>
    </row>
    <row r="90" spans="1:44" x14ac:dyDescent="0.1">
      <c r="A90" s="5">
        <v>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7"/>
      <c r="AG90" s="6"/>
      <c r="AH90" s="6"/>
      <c r="AI90" s="6"/>
      <c r="AJ90" s="6"/>
      <c r="AK90" s="6"/>
      <c r="AL90" s="7"/>
      <c r="AM90" s="6"/>
      <c r="AN90" s="6"/>
      <c r="AO90" s="6"/>
      <c r="AP90" s="6"/>
      <c r="AQ90" s="6"/>
      <c r="AR90" s="6"/>
    </row>
    <row r="91" spans="1:44" x14ac:dyDescent="0.1">
      <c r="A91" s="5">
        <v>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7"/>
      <c r="AG91" s="6"/>
      <c r="AH91" s="6"/>
      <c r="AI91" s="6"/>
      <c r="AJ91" s="6"/>
      <c r="AK91" s="6"/>
      <c r="AL91" s="7"/>
      <c r="AM91" s="6"/>
      <c r="AN91" s="6"/>
      <c r="AO91" s="6"/>
      <c r="AP91" s="6"/>
      <c r="AQ91" s="6"/>
      <c r="AR91" s="6"/>
    </row>
    <row r="92" spans="1:44" x14ac:dyDescent="0.1">
      <c r="A92" s="5">
        <v>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7"/>
      <c r="AG92" s="6"/>
      <c r="AH92" s="6"/>
      <c r="AI92" s="6"/>
      <c r="AJ92" s="6"/>
      <c r="AK92" s="6"/>
      <c r="AL92" s="7"/>
      <c r="AM92" s="6"/>
      <c r="AN92" s="6"/>
      <c r="AO92" s="6"/>
      <c r="AP92" s="6"/>
      <c r="AQ92" s="6"/>
      <c r="AR92" s="6"/>
    </row>
    <row r="93" spans="1:44" x14ac:dyDescent="0.1">
      <c r="A93" s="5">
        <v>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7"/>
      <c r="AG93" s="6"/>
      <c r="AH93" s="6"/>
      <c r="AI93" s="6"/>
      <c r="AJ93" s="6"/>
      <c r="AK93" s="6"/>
      <c r="AL93" s="7"/>
      <c r="AM93" s="6"/>
      <c r="AN93" s="6"/>
      <c r="AO93" s="6"/>
      <c r="AP93" s="6"/>
      <c r="AQ93" s="6"/>
      <c r="AR93" s="6"/>
    </row>
    <row r="94" spans="1:44" x14ac:dyDescent="0.1">
      <c r="A94" s="5">
        <v>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7"/>
      <c r="AG94" s="6"/>
      <c r="AH94" s="6"/>
      <c r="AI94" s="6"/>
      <c r="AJ94" s="6"/>
      <c r="AK94" s="6"/>
      <c r="AL94" s="7"/>
      <c r="AM94" s="6"/>
      <c r="AN94" s="6"/>
      <c r="AO94" s="6"/>
      <c r="AP94" s="6"/>
      <c r="AQ94" s="6"/>
      <c r="AR94" s="6"/>
    </row>
    <row r="95" spans="1:44" x14ac:dyDescent="0.1">
      <c r="A95" s="5">
        <v>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7"/>
      <c r="AG95" s="6"/>
      <c r="AH95" s="6"/>
      <c r="AI95" s="6"/>
      <c r="AJ95" s="6"/>
      <c r="AK95" s="6"/>
      <c r="AL95" s="7"/>
      <c r="AM95" s="6"/>
      <c r="AN95" s="6"/>
      <c r="AO95" s="6"/>
      <c r="AP95" s="6"/>
      <c r="AQ95" s="6"/>
      <c r="AR95" s="6"/>
    </row>
    <row r="96" spans="1:44" x14ac:dyDescent="0.1">
      <c r="A96" s="5">
        <v>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7"/>
      <c r="AG96" s="6"/>
      <c r="AH96" s="6"/>
      <c r="AI96" s="6"/>
      <c r="AJ96" s="6"/>
      <c r="AK96" s="6"/>
      <c r="AL96" s="7"/>
      <c r="AM96" s="6"/>
      <c r="AN96" s="6"/>
      <c r="AO96" s="6"/>
      <c r="AP96" s="6"/>
      <c r="AQ96" s="6"/>
      <c r="AR96" s="6"/>
    </row>
    <row r="97" spans="1:44" x14ac:dyDescent="0.1">
      <c r="A97" s="5">
        <v>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7"/>
      <c r="AG97" s="6"/>
      <c r="AH97" s="6"/>
      <c r="AI97" s="6"/>
      <c r="AJ97" s="6"/>
      <c r="AK97" s="6"/>
      <c r="AL97" s="7"/>
      <c r="AM97" s="6"/>
      <c r="AN97" s="6"/>
      <c r="AO97" s="6"/>
      <c r="AP97" s="6"/>
      <c r="AQ97" s="6"/>
      <c r="AR97" s="6"/>
    </row>
    <row r="98" spans="1:44" x14ac:dyDescent="0.1">
      <c r="A98" s="5">
        <v>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7"/>
      <c r="AG98" s="6"/>
      <c r="AH98" s="6"/>
      <c r="AI98" s="6"/>
      <c r="AJ98" s="6"/>
      <c r="AK98" s="6"/>
      <c r="AL98" s="7"/>
      <c r="AM98" s="6"/>
      <c r="AN98" s="6"/>
      <c r="AO98" s="6"/>
      <c r="AP98" s="6"/>
      <c r="AQ98" s="6"/>
      <c r="AR98" s="6"/>
    </row>
    <row r="99" spans="1:44" x14ac:dyDescent="0.1">
      <c r="A99" s="5">
        <v>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7"/>
      <c r="AG99" s="6"/>
      <c r="AH99" s="6"/>
      <c r="AI99" s="6"/>
      <c r="AJ99" s="6"/>
      <c r="AK99" s="6"/>
      <c r="AL99" s="7"/>
      <c r="AM99" s="6"/>
      <c r="AN99" s="6"/>
      <c r="AO99" s="6"/>
      <c r="AP99" s="6"/>
      <c r="AQ99" s="6"/>
      <c r="AR99" s="6"/>
    </row>
    <row r="100" spans="1:44" x14ac:dyDescent="0.1">
      <c r="A100" s="5">
        <v>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7"/>
      <c r="AG100" s="6"/>
      <c r="AH100" s="6"/>
      <c r="AI100" s="6"/>
      <c r="AJ100" s="6"/>
      <c r="AK100" s="6"/>
      <c r="AL100" s="7"/>
      <c r="AM100" s="6"/>
      <c r="AN100" s="6"/>
      <c r="AO100" s="6"/>
      <c r="AP100" s="6"/>
      <c r="AQ100" s="6"/>
      <c r="AR100" s="6"/>
    </row>
    <row r="101" spans="1:44" ht="11.25" thickBot="1" x14ac:dyDescent="0.15">
      <c r="A101" s="11">
        <v>100</v>
      </c>
      <c r="B101" s="22"/>
      <c r="C101" s="22"/>
      <c r="D101" s="22"/>
      <c r="E101" s="6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4"/>
      <c r="AG101" s="22"/>
      <c r="AH101" s="22"/>
      <c r="AI101" s="22"/>
      <c r="AJ101" s="22"/>
      <c r="AK101" s="22"/>
      <c r="AL101" s="24"/>
      <c r="AM101" s="22"/>
      <c r="AN101" s="22"/>
      <c r="AO101" s="22"/>
      <c r="AP101" s="22"/>
      <c r="AQ101" s="22"/>
      <c r="AR101" s="22"/>
    </row>
  </sheetData>
  <mergeCells count="27">
    <mergeCell ref="AM2:AN2"/>
    <mergeCell ref="AO2:AP2"/>
    <mergeCell ref="AQ2:AR2"/>
    <mergeCell ref="A1:K1"/>
    <mergeCell ref="H2:I2"/>
    <mergeCell ref="J2:K2"/>
    <mergeCell ref="L2:M2"/>
    <mergeCell ref="N2:N3"/>
    <mergeCell ref="AI2:AJ2"/>
    <mergeCell ref="AK2:AL2"/>
    <mergeCell ref="W2:X2"/>
    <mergeCell ref="Y2:Z2"/>
    <mergeCell ref="AA2:AB2"/>
    <mergeCell ref="AC2:AD2"/>
    <mergeCell ref="AE2:AF2"/>
    <mergeCell ref="AG2:AH2"/>
    <mergeCell ref="U2:V2"/>
    <mergeCell ref="A2:A3"/>
    <mergeCell ref="B2:B3"/>
    <mergeCell ref="C2:C3"/>
    <mergeCell ref="D2:D3"/>
    <mergeCell ref="E2:E3"/>
    <mergeCell ref="F2:F3"/>
    <mergeCell ref="G2:G3"/>
    <mergeCell ref="O2:P2"/>
    <mergeCell ref="Q2:R2"/>
    <mergeCell ref="S2:T2"/>
  </mergeCells>
  <dataValidations disablePrompts="1" count="1">
    <dataValidation type="date" allowBlank="1" showInputMessage="1" showErrorMessage="1" prompt="Enter Date in dd/mm/yy format eg 09/05/64 for _x000a_9th May, 1964_x000a_" sqref="D19" xr:uid="{6C85BB79-411D-49FC-90B6-01CC3F254700}">
      <formula1>3654</formula1>
      <formula2>40178</formula2>
    </dataValidation>
  </dataValidation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7E8-02A1-42E8-A7A3-7283F681E6C0}">
  <sheetPr filterMode="1"/>
  <dimension ref="A1:R125"/>
  <sheetViews>
    <sheetView topLeftCell="B8" workbookViewId="0">
      <pane xSplit="1" topLeftCell="H8" activePane="topRight" state="frozen"/>
      <selection activeCell="C1" sqref="C1:C1048576"/>
      <selection pane="topRight" activeCell="I93" sqref="I93"/>
    </sheetView>
  </sheetViews>
  <sheetFormatPr defaultRowHeight="15" x14ac:dyDescent="0.2"/>
  <cols>
    <col min="2" max="2" width="30.40234375" customWidth="1"/>
    <col min="7" max="7" width="16.6796875" customWidth="1"/>
    <col min="9" max="9" width="10.76171875" bestFit="1" customWidth="1"/>
  </cols>
  <sheetData>
    <row r="1" spans="1:18" ht="19.5" thickBot="1" x14ac:dyDescent="0.3">
      <c r="G1" s="267" t="s">
        <v>233</v>
      </c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</row>
    <row r="2" spans="1:18" ht="30.75" thickBot="1" x14ac:dyDescent="0.25">
      <c r="A2" s="135" t="s">
        <v>273</v>
      </c>
      <c r="B2" s="136" t="s">
        <v>274</v>
      </c>
      <c r="C2" s="137" t="s">
        <v>275</v>
      </c>
      <c r="D2" s="136" t="s">
        <v>276</v>
      </c>
      <c r="E2" s="137" t="s">
        <v>277</v>
      </c>
      <c r="F2" s="136" t="s">
        <v>278</v>
      </c>
      <c r="G2" s="137" t="s">
        <v>4</v>
      </c>
      <c r="H2" s="136" t="s">
        <v>5</v>
      </c>
      <c r="I2" s="137" t="s">
        <v>6</v>
      </c>
      <c r="J2" s="136" t="s">
        <v>7</v>
      </c>
      <c r="K2" s="137" t="s">
        <v>8</v>
      </c>
      <c r="L2" s="136" t="s">
        <v>279</v>
      </c>
      <c r="M2" s="137" t="s">
        <v>10</v>
      </c>
      <c r="N2" s="136" t="s">
        <v>11</v>
      </c>
      <c r="O2" s="137" t="s">
        <v>12</v>
      </c>
      <c r="P2" s="136" t="s">
        <v>13</v>
      </c>
      <c r="Q2" s="137" t="s">
        <v>14</v>
      </c>
      <c r="R2" s="136" t="s">
        <v>15</v>
      </c>
    </row>
    <row r="3" spans="1:18" ht="18" x14ac:dyDescent="0.25">
      <c r="A3" s="138">
        <v>23</v>
      </c>
      <c r="B3" s="139" t="s">
        <v>338</v>
      </c>
      <c r="C3" s="140" t="s">
        <v>281</v>
      </c>
      <c r="D3" s="141" t="s">
        <v>339</v>
      </c>
      <c r="E3" s="142" t="s">
        <v>340</v>
      </c>
      <c r="F3" s="143" t="s">
        <v>284</v>
      </c>
      <c r="G3" s="144" t="s">
        <v>602</v>
      </c>
      <c r="H3" s="144" t="s">
        <v>712</v>
      </c>
      <c r="I3" s="185" t="s">
        <v>784</v>
      </c>
      <c r="J3" s="144"/>
      <c r="K3" s="144"/>
      <c r="L3" s="144"/>
      <c r="M3" s="144"/>
      <c r="N3" s="144"/>
      <c r="O3" s="144"/>
      <c r="P3" s="144"/>
      <c r="Q3" s="144"/>
      <c r="R3" s="145"/>
    </row>
    <row r="4" spans="1:18" ht="18" x14ac:dyDescent="0.25">
      <c r="A4" s="146">
        <v>50</v>
      </c>
      <c r="B4" s="147" t="s">
        <v>241</v>
      </c>
      <c r="C4" s="134"/>
      <c r="D4" s="148" t="s">
        <v>282</v>
      </c>
      <c r="E4" s="149" t="s">
        <v>340</v>
      </c>
      <c r="F4" s="150" t="s">
        <v>284</v>
      </c>
      <c r="G4" s="99" t="s">
        <v>603</v>
      </c>
      <c r="H4" s="99" t="s">
        <v>713</v>
      </c>
      <c r="I4" s="99" t="s">
        <v>785</v>
      </c>
      <c r="J4" s="99"/>
      <c r="K4" s="99"/>
      <c r="L4" s="99"/>
      <c r="M4" s="99"/>
      <c r="N4" s="99"/>
      <c r="O4" s="99"/>
      <c r="P4" s="99"/>
      <c r="Q4" s="99"/>
      <c r="R4" s="151"/>
    </row>
    <row r="5" spans="1:18" ht="18" hidden="1" x14ac:dyDescent="0.25">
      <c r="A5" s="146">
        <v>61</v>
      </c>
      <c r="B5" s="147" t="s">
        <v>422</v>
      </c>
      <c r="C5" s="134"/>
      <c r="D5" s="148" t="s">
        <v>423</v>
      </c>
      <c r="E5" s="149" t="s">
        <v>284</v>
      </c>
      <c r="F5" s="150" t="s">
        <v>284</v>
      </c>
      <c r="G5" s="99" t="s">
        <v>604</v>
      </c>
      <c r="H5" s="99" t="s">
        <v>714</v>
      </c>
      <c r="I5" s="99" t="s">
        <v>786</v>
      </c>
      <c r="J5" s="99"/>
      <c r="K5" s="99"/>
      <c r="L5" s="99"/>
      <c r="M5" s="99"/>
      <c r="N5" s="99"/>
      <c r="O5" s="99"/>
      <c r="P5" s="99"/>
      <c r="Q5" s="99"/>
      <c r="R5" s="151"/>
    </row>
    <row r="6" spans="1:18" ht="18" x14ac:dyDescent="0.25">
      <c r="A6" s="146">
        <v>10</v>
      </c>
      <c r="B6" s="147" t="s">
        <v>306</v>
      </c>
      <c r="C6" s="134" t="s">
        <v>281</v>
      </c>
      <c r="D6" s="148" t="s">
        <v>303</v>
      </c>
      <c r="E6" s="149" t="s">
        <v>307</v>
      </c>
      <c r="F6" s="150" t="s">
        <v>284</v>
      </c>
      <c r="G6" s="99" t="s">
        <v>605</v>
      </c>
      <c r="H6" s="99" t="s">
        <v>715</v>
      </c>
      <c r="I6" s="99" t="s">
        <v>787</v>
      </c>
      <c r="J6" s="99"/>
      <c r="K6" s="99"/>
      <c r="L6" s="99"/>
      <c r="M6" s="99"/>
      <c r="N6" s="99"/>
      <c r="O6" s="99"/>
      <c r="P6" s="99"/>
      <c r="Q6" s="99"/>
      <c r="R6" s="151"/>
    </row>
    <row r="7" spans="1:18" ht="18" x14ac:dyDescent="0.25">
      <c r="A7" s="146">
        <v>59</v>
      </c>
      <c r="B7" s="147" t="s">
        <v>417</v>
      </c>
      <c r="C7" s="134"/>
      <c r="D7" s="148" t="s">
        <v>418</v>
      </c>
      <c r="E7" s="149" t="s">
        <v>419</v>
      </c>
      <c r="F7" s="150" t="s">
        <v>420</v>
      </c>
      <c r="G7" s="99" t="s">
        <v>606</v>
      </c>
      <c r="H7" s="99" t="s">
        <v>716</v>
      </c>
      <c r="I7" s="99" t="s">
        <v>772</v>
      </c>
      <c r="J7" s="99"/>
      <c r="K7" s="99"/>
      <c r="L7" s="99"/>
      <c r="M7" s="99"/>
      <c r="N7" s="99"/>
      <c r="O7" s="99"/>
      <c r="P7" s="99"/>
      <c r="Q7" s="99"/>
      <c r="R7" s="151"/>
    </row>
    <row r="8" spans="1:18" ht="18" hidden="1" x14ac:dyDescent="0.25">
      <c r="A8" s="146">
        <v>37</v>
      </c>
      <c r="B8" s="147" t="s">
        <v>257</v>
      </c>
      <c r="C8" s="134" t="s">
        <v>366</v>
      </c>
      <c r="D8" s="148" t="s">
        <v>342</v>
      </c>
      <c r="E8" s="149" t="s">
        <v>374</v>
      </c>
      <c r="F8" s="150" t="s">
        <v>284</v>
      </c>
      <c r="G8" s="99" t="s">
        <v>607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151"/>
    </row>
    <row r="9" spans="1:18" ht="18" hidden="1" x14ac:dyDescent="0.25">
      <c r="A9" s="146">
        <v>66</v>
      </c>
      <c r="B9" s="134" t="s">
        <v>428</v>
      </c>
      <c r="C9" s="134"/>
      <c r="D9" s="148" t="s">
        <v>429</v>
      </c>
      <c r="E9" s="149" t="s">
        <v>284</v>
      </c>
      <c r="F9" s="150" t="s">
        <v>284</v>
      </c>
      <c r="G9" s="99" t="s">
        <v>608</v>
      </c>
      <c r="H9" s="99" t="s">
        <v>717</v>
      </c>
      <c r="I9" s="99" t="s">
        <v>788</v>
      </c>
      <c r="J9" s="99"/>
      <c r="K9" s="99"/>
      <c r="L9" s="99"/>
      <c r="M9" s="99"/>
      <c r="N9" s="99"/>
      <c r="O9" s="99"/>
      <c r="P9" s="99"/>
      <c r="Q9" s="99"/>
      <c r="R9" s="151"/>
    </row>
    <row r="10" spans="1:18" ht="18" x14ac:dyDescent="0.25">
      <c r="A10" s="146">
        <v>20</v>
      </c>
      <c r="B10" s="147" t="s">
        <v>331</v>
      </c>
      <c r="C10" s="134" t="s">
        <v>281</v>
      </c>
      <c r="D10" s="148" t="s">
        <v>282</v>
      </c>
      <c r="E10" s="149" t="s">
        <v>332</v>
      </c>
      <c r="F10" s="150" t="s">
        <v>284</v>
      </c>
      <c r="G10" s="99"/>
      <c r="H10" s="99"/>
      <c r="I10" s="99" t="s">
        <v>789</v>
      </c>
      <c r="J10" s="99"/>
      <c r="K10" s="99"/>
      <c r="L10" s="99"/>
      <c r="M10" s="99"/>
      <c r="N10" s="99"/>
      <c r="O10" s="99"/>
      <c r="P10" s="99"/>
      <c r="Q10" s="99"/>
      <c r="R10" s="151"/>
    </row>
    <row r="11" spans="1:18" ht="18" hidden="1" x14ac:dyDescent="0.25">
      <c r="A11" s="146">
        <v>86</v>
      </c>
      <c r="B11" s="134" t="s">
        <v>272</v>
      </c>
      <c r="C11" s="134"/>
      <c r="D11" s="148" t="s">
        <v>282</v>
      </c>
      <c r="E11" s="149" t="s">
        <v>460</v>
      </c>
      <c r="F11" s="150" t="s">
        <v>284</v>
      </c>
      <c r="G11" s="99" t="s">
        <v>609</v>
      </c>
      <c r="H11" s="99" t="s">
        <v>643</v>
      </c>
      <c r="I11" s="99" t="s">
        <v>790</v>
      </c>
      <c r="J11" s="99"/>
      <c r="K11" s="99"/>
      <c r="L11" s="99"/>
      <c r="M11" s="99"/>
      <c r="N11" s="99"/>
      <c r="O11" s="99"/>
      <c r="P11" s="99"/>
      <c r="Q11" s="99"/>
      <c r="R11" s="151"/>
    </row>
    <row r="12" spans="1:18" ht="18" hidden="1" x14ac:dyDescent="0.25">
      <c r="A12" s="146">
        <v>96</v>
      </c>
      <c r="B12" s="134" t="s">
        <v>480</v>
      </c>
      <c r="C12" s="134"/>
      <c r="D12" s="148" t="s">
        <v>481</v>
      </c>
      <c r="E12" s="149" t="s">
        <v>284</v>
      </c>
      <c r="F12" s="150" t="s">
        <v>284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51"/>
    </row>
    <row r="13" spans="1:18" ht="18" hidden="1" x14ac:dyDescent="0.25">
      <c r="A13" s="146">
        <v>74</v>
      </c>
      <c r="B13" s="134" t="s">
        <v>438</v>
      </c>
      <c r="C13" s="134"/>
      <c r="D13" s="148" t="s">
        <v>407</v>
      </c>
      <c r="E13" s="149" t="s">
        <v>439</v>
      </c>
      <c r="F13" s="150" t="s">
        <v>284</v>
      </c>
      <c r="G13" s="99" t="s">
        <v>321</v>
      </c>
      <c r="H13" s="99"/>
      <c r="I13" s="99">
        <v>20</v>
      </c>
      <c r="J13" s="99"/>
      <c r="K13" s="99"/>
      <c r="L13" s="99"/>
      <c r="M13" s="99"/>
      <c r="N13" s="99"/>
      <c r="O13" s="99"/>
      <c r="P13" s="99"/>
      <c r="Q13" s="99"/>
      <c r="R13" s="151"/>
    </row>
    <row r="14" spans="1:18" ht="18" hidden="1" x14ac:dyDescent="0.25">
      <c r="A14" s="146">
        <v>107</v>
      </c>
      <c r="B14" s="134" t="s">
        <v>498</v>
      </c>
      <c r="C14" s="134"/>
      <c r="D14" s="148" t="s">
        <v>499</v>
      </c>
      <c r="E14" s="149" t="s">
        <v>284</v>
      </c>
      <c r="F14" s="150" t="s">
        <v>284</v>
      </c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151"/>
    </row>
    <row r="15" spans="1:18" ht="18" hidden="1" x14ac:dyDescent="0.25">
      <c r="A15" s="146">
        <v>114</v>
      </c>
      <c r="B15" s="134" t="s">
        <v>510</v>
      </c>
      <c r="C15" s="134"/>
      <c r="D15" s="148" t="s">
        <v>474</v>
      </c>
      <c r="E15" s="149" t="s">
        <v>284</v>
      </c>
      <c r="F15" s="150" t="s">
        <v>284</v>
      </c>
      <c r="G15" s="99">
        <v>8</v>
      </c>
      <c r="H15" s="99" t="s">
        <v>663</v>
      </c>
      <c r="I15" s="99" t="s">
        <v>791</v>
      </c>
      <c r="J15" s="99"/>
      <c r="K15" s="99"/>
      <c r="L15" s="99"/>
      <c r="M15" s="99"/>
      <c r="N15" s="99"/>
      <c r="O15" s="99"/>
      <c r="P15" s="99"/>
      <c r="Q15" s="99"/>
      <c r="R15" s="151"/>
    </row>
    <row r="16" spans="1:18" ht="18" x14ac:dyDescent="0.25">
      <c r="A16" s="146">
        <v>22</v>
      </c>
      <c r="B16" s="147" t="s">
        <v>336</v>
      </c>
      <c r="C16" s="134" t="s">
        <v>281</v>
      </c>
      <c r="D16" s="148" t="s">
        <v>282</v>
      </c>
      <c r="E16" s="149" t="s">
        <v>337</v>
      </c>
      <c r="F16" s="150" t="s">
        <v>284</v>
      </c>
      <c r="G16" s="99" t="s">
        <v>610</v>
      </c>
      <c r="H16" s="99" t="s">
        <v>718</v>
      </c>
      <c r="I16" s="99" t="s">
        <v>792</v>
      </c>
      <c r="J16" s="99"/>
      <c r="K16" s="99"/>
      <c r="L16" s="99"/>
      <c r="M16" s="99"/>
      <c r="N16" s="99"/>
      <c r="O16" s="99"/>
      <c r="P16" s="99"/>
      <c r="Q16" s="99"/>
      <c r="R16" s="151"/>
    </row>
    <row r="17" spans="1:18" ht="18" x14ac:dyDescent="0.25">
      <c r="A17" s="146">
        <v>57</v>
      </c>
      <c r="B17" s="147" t="s">
        <v>413</v>
      </c>
      <c r="C17" s="134"/>
      <c r="D17" s="148" t="s">
        <v>282</v>
      </c>
      <c r="E17" s="149" t="s">
        <v>414</v>
      </c>
      <c r="F17" s="150" t="s">
        <v>284</v>
      </c>
      <c r="G17" s="99" t="s">
        <v>609</v>
      </c>
      <c r="H17" s="99" t="s">
        <v>643</v>
      </c>
      <c r="I17" s="99" t="s">
        <v>790</v>
      </c>
      <c r="J17" s="99"/>
      <c r="K17" s="99"/>
      <c r="L17" s="99"/>
      <c r="M17" s="99"/>
      <c r="N17" s="99"/>
      <c r="O17" s="99"/>
      <c r="P17" s="99"/>
      <c r="Q17" s="99"/>
      <c r="R17" s="151"/>
    </row>
    <row r="18" spans="1:18" ht="18" hidden="1" x14ac:dyDescent="0.25">
      <c r="A18" s="146">
        <v>113</v>
      </c>
      <c r="B18" s="134" t="s">
        <v>508</v>
      </c>
      <c r="C18" s="134"/>
      <c r="D18" s="148" t="s">
        <v>342</v>
      </c>
      <c r="E18" s="149" t="s">
        <v>509</v>
      </c>
      <c r="F18" s="150" t="s">
        <v>284</v>
      </c>
      <c r="G18" s="99" t="s">
        <v>328</v>
      </c>
      <c r="H18" s="99" t="s">
        <v>719</v>
      </c>
      <c r="I18" s="99"/>
      <c r="J18" s="99"/>
      <c r="K18" s="99"/>
      <c r="L18" s="99"/>
      <c r="M18" s="99"/>
      <c r="N18" s="99"/>
      <c r="O18" s="99"/>
      <c r="P18" s="99"/>
      <c r="Q18" s="99"/>
      <c r="R18" s="151"/>
    </row>
    <row r="19" spans="1:18" ht="18" hidden="1" x14ac:dyDescent="0.25">
      <c r="A19" s="146">
        <v>111</v>
      </c>
      <c r="B19" s="134" t="s">
        <v>505</v>
      </c>
      <c r="C19" s="134"/>
      <c r="D19" s="148" t="s">
        <v>347</v>
      </c>
      <c r="E19" s="149" t="s">
        <v>284</v>
      </c>
      <c r="F19" s="150" t="s">
        <v>284</v>
      </c>
      <c r="G19" s="99" t="s">
        <v>609</v>
      </c>
      <c r="H19" s="99">
        <v>22</v>
      </c>
      <c r="I19" s="99" t="s">
        <v>790</v>
      </c>
      <c r="J19" s="99"/>
      <c r="K19" s="99"/>
      <c r="L19" s="99"/>
      <c r="M19" s="99"/>
      <c r="N19" s="99"/>
      <c r="O19" s="99"/>
      <c r="P19" s="99"/>
      <c r="Q19" s="99"/>
      <c r="R19" s="151"/>
    </row>
    <row r="20" spans="1:18" ht="18" x14ac:dyDescent="0.25">
      <c r="A20" s="146">
        <v>6</v>
      </c>
      <c r="B20" s="147" t="s">
        <v>252</v>
      </c>
      <c r="C20" s="134" t="s">
        <v>281</v>
      </c>
      <c r="D20" s="148" t="s">
        <v>282</v>
      </c>
      <c r="E20" s="149" t="s">
        <v>294</v>
      </c>
      <c r="F20" s="150" t="s">
        <v>284</v>
      </c>
      <c r="G20" s="99" t="s">
        <v>295</v>
      </c>
      <c r="H20" s="99" t="s">
        <v>720</v>
      </c>
      <c r="I20" s="99" t="s">
        <v>773</v>
      </c>
      <c r="J20" s="99"/>
      <c r="K20" s="99"/>
      <c r="L20" s="99"/>
      <c r="M20" s="99"/>
      <c r="N20" s="99"/>
      <c r="O20" s="99"/>
      <c r="P20" s="99"/>
      <c r="Q20" s="99"/>
      <c r="R20" s="151"/>
    </row>
    <row r="21" spans="1:18" ht="18" x14ac:dyDescent="0.25">
      <c r="A21" s="146">
        <v>79</v>
      </c>
      <c r="B21" s="134" t="s">
        <v>446</v>
      </c>
      <c r="C21" s="134"/>
      <c r="D21" s="148" t="s">
        <v>282</v>
      </c>
      <c r="E21" s="149" t="s">
        <v>447</v>
      </c>
      <c r="F21" s="150" t="s">
        <v>448</v>
      </c>
      <c r="G21" s="99">
        <v>25</v>
      </c>
      <c r="H21" s="99" t="s">
        <v>671</v>
      </c>
      <c r="I21" s="99" t="s">
        <v>793</v>
      </c>
      <c r="J21" s="99"/>
      <c r="K21" s="99"/>
      <c r="L21" s="99"/>
      <c r="M21" s="99"/>
      <c r="N21" s="99"/>
      <c r="O21" s="99"/>
      <c r="P21" s="99"/>
      <c r="Q21" s="99"/>
      <c r="R21" s="151"/>
    </row>
    <row r="22" spans="1:18" ht="18" hidden="1" x14ac:dyDescent="0.25">
      <c r="A22" s="146">
        <v>34</v>
      </c>
      <c r="B22" s="147" t="s">
        <v>255</v>
      </c>
      <c r="C22" s="134" t="s">
        <v>366</v>
      </c>
      <c r="D22" s="148" t="s">
        <v>309</v>
      </c>
      <c r="E22" s="149" t="s">
        <v>371</v>
      </c>
      <c r="F22" s="150" t="s">
        <v>284</v>
      </c>
      <c r="G22" s="99" t="s">
        <v>611</v>
      </c>
      <c r="H22" s="99" t="s">
        <v>721</v>
      </c>
      <c r="I22" s="99">
        <v>20</v>
      </c>
      <c r="J22" s="99"/>
      <c r="K22" s="99"/>
      <c r="L22" s="99"/>
      <c r="M22" s="99"/>
      <c r="N22" s="99"/>
      <c r="O22" s="99"/>
      <c r="P22" s="99"/>
      <c r="Q22" s="99"/>
      <c r="R22" s="151"/>
    </row>
    <row r="23" spans="1:18" ht="18" x14ac:dyDescent="0.25">
      <c r="A23" s="146">
        <v>7</v>
      </c>
      <c r="B23" s="147" t="s">
        <v>296</v>
      </c>
      <c r="C23" s="134" t="s">
        <v>281</v>
      </c>
      <c r="D23" s="148" t="s">
        <v>297</v>
      </c>
      <c r="E23" s="149" t="s">
        <v>298</v>
      </c>
      <c r="F23" s="150" t="s">
        <v>284</v>
      </c>
      <c r="G23" s="99" t="s">
        <v>299</v>
      </c>
      <c r="H23" s="99" t="s">
        <v>722</v>
      </c>
      <c r="I23" s="99" t="s">
        <v>794</v>
      </c>
      <c r="J23" s="99"/>
      <c r="K23" s="99"/>
      <c r="L23" s="99"/>
      <c r="M23" s="99"/>
      <c r="N23" s="99"/>
      <c r="O23" s="99"/>
      <c r="P23" s="99"/>
      <c r="Q23" s="99"/>
      <c r="R23" s="151"/>
    </row>
    <row r="24" spans="1:18" ht="18" hidden="1" x14ac:dyDescent="0.25">
      <c r="A24" s="146">
        <v>108</v>
      </c>
      <c r="B24" s="134" t="s">
        <v>500</v>
      </c>
      <c r="C24" s="134"/>
      <c r="D24" s="148" t="s">
        <v>501</v>
      </c>
      <c r="E24" s="149" t="s">
        <v>284</v>
      </c>
      <c r="F24" s="150" t="s">
        <v>284</v>
      </c>
      <c r="G24" s="99" t="s">
        <v>328</v>
      </c>
      <c r="H24" s="99" t="s">
        <v>723</v>
      </c>
      <c r="I24" s="99" t="s">
        <v>795</v>
      </c>
      <c r="J24" s="99"/>
      <c r="K24" s="99"/>
      <c r="L24" s="99"/>
      <c r="M24" s="99"/>
      <c r="N24" s="99"/>
      <c r="O24" s="99"/>
      <c r="P24" s="99"/>
      <c r="Q24" s="99"/>
      <c r="R24" s="151"/>
    </row>
    <row r="25" spans="1:18" ht="18" hidden="1" x14ac:dyDescent="0.25">
      <c r="A25" s="146">
        <v>32</v>
      </c>
      <c r="B25" s="147" t="s">
        <v>253</v>
      </c>
      <c r="C25" s="134" t="s">
        <v>366</v>
      </c>
      <c r="D25" s="148" t="s">
        <v>367</v>
      </c>
      <c r="E25" s="149" t="s">
        <v>368</v>
      </c>
      <c r="F25" s="150" t="s">
        <v>284</v>
      </c>
      <c r="G25" s="99" t="s">
        <v>369</v>
      </c>
      <c r="H25" s="99" t="s">
        <v>724</v>
      </c>
      <c r="I25" s="99" t="s">
        <v>796</v>
      </c>
      <c r="J25" s="99"/>
      <c r="K25" s="99"/>
      <c r="L25" s="99"/>
      <c r="M25" s="99"/>
      <c r="N25" s="99"/>
      <c r="O25" s="99"/>
      <c r="P25" s="99"/>
      <c r="Q25" s="99"/>
      <c r="R25" s="151"/>
    </row>
    <row r="26" spans="1:18" ht="18" hidden="1" x14ac:dyDescent="0.25">
      <c r="A26" s="146">
        <v>120</v>
      </c>
      <c r="B26" s="134" t="s">
        <v>517</v>
      </c>
      <c r="C26" s="134"/>
      <c r="D26" s="148" t="s">
        <v>518</v>
      </c>
      <c r="E26" s="149" t="s">
        <v>284</v>
      </c>
      <c r="F26" s="150" t="s">
        <v>284</v>
      </c>
      <c r="G26" s="99">
        <v>4</v>
      </c>
      <c r="H26" s="99"/>
      <c r="I26" s="99">
        <v>20</v>
      </c>
      <c r="J26" s="99"/>
      <c r="K26" s="99"/>
      <c r="L26" s="99"/>
      <c r="M26" s="99"/>
      <c r="N26" s="99"/>
      <c r="O26" s="99"/>
      <c r="P26" s="99"/>
      <c r="Q26" s="99"/>
      <c r="R26" s="151"/>
    </row>
    <row r="27" spans="1:18" ht="18" x14ac:dyDescent="0.25">
      <c r="A27" s="146">
        <v>12</v>
      </c>
      <c r="B27" s="147" t="s">
        <v>311</v>
      </c>
      <c r="C27" s="134" t="s">
        <v>281</v>
      </c>
      <c r="D27" s="148" t="s">
        <v>309</v>
      </c>
      <c r="E27" s="149" t="s">
        <v>312</v>
      </c>
      <c r="F27" s="150" t="s">
        <v>284</v>
      </c>
      <c r="G27" s="99" t="s">
        <v>612</v>
      </c>
      <c r="H27" s="99" t="s">
        <v>725</v>
      </c>
      <c r="I27" s="99" t="s">
        <v>786</v>
      </c>
      <c r="J27" s="99"/>
      <c r="K27" s="99"/>
      <c r="L27" s="99"/>
      <c r="M27" s="99"/>
      <c r="N27" s="99"/>
      <c r="O27" s="99"/>
      <c r="P27" s="99"/>
      <c r="Q27" s="99"/>
      <c r="R27" s="151"/>
    </row>
    <row r="28" spans="1:18" ht="18" hidden="1" x14ac:dyDescent="0.25">
      <c r="A28" s="146">
        <v>38</v>
      </c>
      <c r="B28" s="147" t="s">
        <v>375</v>
      </c>
      <c r="C28" s="134" t="s">
        <v>366</v>
      </c>
      <c r="D28" s="148" t="s">
        <v>376</v>
      </c>
      <c r="E28" s="149" t="s">
        <v>377</v>
      </c>
      <c r="F28" s="150" t="s">
        <v>284</v>
      </c>
      <c r="G28" s="99" t="s">
        <v>613</v>
      </c>
      <c r="H28" s="99" t="s">
        <v>726</v>
      </c>
      <c r="I28" s="99" t="s">
        <v>797</v>
      </c>
      <c r="J28" s="99"/>
      <c r="K28" s="99"/>
      <c r="L28" s="99"/>
      <c r="M28" s="99"/>
      <c r="N28" s="99"/>
      <c r="O28" s="99"/>
      <c r="P28" s="99"/>
      <c r="Q28" s="99"/>
      <c r="R28" s="151"/>
    </row>
    <row r="29" spans="1:18" ht="18" x14ac:dyDescent="0.25">
      <c r="A29" s="146">
        <v>2</v>
      </c>
      <c r="B29" s="147" t="s">
        <v>286</v>
      </c>
      <c r="C29" s="134" t="s">
        <v>281</v>
      </c>
      <c r="D29" s="148" t="s">
        <v>282</v>
      </c>
      <c r="E29" s="149" t="s">
        <v>287</v>
      </c>
      <c r="F29" s="150" t="s">
        <v>284</v>
      </c>
      <c r="G29" s="99" t="s">
        <v>614</v>
      </c>
      <c r="H29" s="99" t="s">
        <v>757</v>
      </c>
      <c r="I29" s="99" t="s">
        <v>798</v>
      </c>
      <c r="J29" s="99"/>
      <c r="K29" s="99"/>
      <c r="L29" s="99"/>
      <c r="M29" s="99"/>
      <c r="N29" s="99"/>
      <c r="O29" s="99"/>
      <c r="P29" s="99"/>
      <c r="Q29" s="99"/>
      <c r="R29" s="151"/>
    </row>
    <row r="30" spans="1:18" ht="18" x14ac:dyDescent="0.25">
      <c r="A30" s="146">
        <v>27</v>
      </c>
      <c r="B30" s="147" t="s">
        <v>352</v>
      </c>
      <c r="C30" s="134" t="s">
        <v>281</v>
      </c>
      <c r="D30" s="148" t="s">
        <v>353</v>
      </c>
      <c r="E30" s="149" t="s">
        <v>354</v>
      </c>
      <c r="F30" s="150" t="s">
        <v>284</v>
      </c>
      <c r="G30" s="99" t="s">
        <v>291</v>
      </c>
      <c r="H30" s="99" t="s">
        <v>727</v>
      </c>
      <c r="I30" s="99" t="s">
        <v>799</v>
      </c>
      <c r="J30" s="99"/>
      <c r="K30" s="99"/>
      <c r="L30" s="99"/>
      <c r="M30" s="99"/>
      <c r="N30" s="99"/>
      <c r="O30" s="99"/>
      <c r="P30" s="99"/>
      <c r="Q30" s="99"/>
      <c r="R30" s="151"/>
    </row>
    <row r="31" spans="1:18" ht="18" hidden="1" x14ac:dyDescent="0.25">
      <c r="A31" s="146">
        <v>97</v>
      </c>
      <c r="B31" s="134" t="s">
        <v>482</v>
      </c>
      <c r="C31" s="134"/>
      <c r="D31" s="148" t="s">
        <v>342</v>
      </c>
      <c r="E31" s="149" t="s">
        <v>483</v>
      </c>
      <c r="F31" s="150" t="s">
        <v>484</v>
      </c>
      <c r="G31" s="99">
        <v>27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151"/>
    </row>
    <row r="32" spans="1:18" ht="18" hidden="1" x14ac:dyDescent="0.25">
      <c r="A32" s="146">
        <v>75</v>
      </c>
      <c r="B32" s="134" t="s">
        <v>440</v>
      </c>
      <c r="C32" s="134"/>
      <c r="D32" s="148" t="s">
        <v>303</v>
      </c>
      <c r="E32" s="149" t="s">
        <v>284</v>
      </c>
      <c r="F32" s="150" t="s">
        <v>284</v>
      </c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51"/>
    </row>
    <row r="33" spans="1:18" ht="18" hidden="1" x14ac:dyDescent="0.25">
      <c r="A33" s="146">
        <v>103</v>
      </c>
      <c r="B33" s="134" t="s">
        <v>493</v>
      </c>
      <c r="C33" s="134"/>
      <c r="D33" s="148" t="s">
        <v>492</v>
      </c>
      <c r="E33" s="149" t="s">
        <v>284</v>
      </c>
      <c r="F33" s="150" t="s">
        <v>284</v>
      </c>
      <c r="G33" s="99"/>
      <c r="H33" s="99"/>
      <c r="I33" s="99">
        <v>11</v>
      </c>
      <c r="J33" s="99"/>
      <c r="K33" s="99"/>
      <c r="L33" s="99"/>
      <c r="M33" s="99"/>
      <c r="N33" s="99"/>
      <c r="O33" s="99"/>
      <c r="P33" s="99"/>
      <c r="Q33" s="99"/>
      <c r="R33" s="151"/>
    </row>
    <row r="34" spans="1:18" ht="18" hidden="1" x14ac:dyDescent="0.25">
      <c r="A34" s="146">
        <v>116</v>
      </c>
      <c r="B34" s="134" t="s">
        <v>513</v>
      </c>
      <c r="C34" s="134"/>
      <c r="D34" s="148" t="s">
        <v>265</v>
      </c>
      <c r="E34" s="149" t="s">
        <v>284</v>
      </c>
      <c r="F34" s="150" t="s">
        <v>284</v>
      </c>
      <c r="G34" s="99" t="s">
        <v>615</v>
      </c>
      <c r="H34" s="99">
        <v>29</v>
      </c>
      <c r="I34" s="99">
        <v>12</v>
      </c>
      <c r="J34" s="99"/>
      <c r="K34" s="99"/>
      <c r="L34" s="99"/>
      <c r="M34" s="99"/>
      <c r="N34" s="99"/>
      <c r="O34" s="99"/>
      <c r="P34" s="99"/>
      <c r="Q34" s="99"/>
      <c r="R34" s="151"/>
    </row>
    <row r="35" spans="1:18" ht="18" hidden="1" x14ac:dyDescent="0.25">
      <c r="A35" s="146">
        <v>92</v>
      </c>
      <c r="B35" s="134" t="s">
        <v>471</v>
      </c>
      <c r="C35" s="134"/>
      <c r="D35" s="148" t="s">
        <v>393</v>
      </c>
      <c r="E35" s="149" t="s">
        <v>472</v>
      </c>
      <c r="F35" s="150" t="s">
        <v>419</v>
      </c>
      <c r="G35" s="99" t="s">
        <v>321</v>
      </c>
      <c r="H35" s="99">
        <v>13</v>
      </c>
      <c r="I35" s="99" t="s">
        <v>791</v>
      </c>
      <c r="J35" s="99"/>
      <c r="K35" s="99"/>
      <c r="L35" s="99"/>
      <c r="M35" s="99"/>
      <c r="N35" s="99"/>
      <c r="O35" s="99"/>
      <c r="P35" s="99"/>
      <c r="Q35" s="99"/>
      <c r="R35" s="151"/>
    </row>
    <row r="36" spans="1:18" ht="18" hidden="1" x14ac:dyDescent="0.25">
      <c r="A36" s="146">
        <v>70</v>
      </c>
      <c r="B36" s="134" t="s">
        <v>433</v>
      </c>
      <c r="C36" s="134"/>
      <c r="D36" s="148" t="s">
        <v>282</v>
      </c>
      <c r="E36" s="149" t="s">
        <v>434</v>
      </c>
      <c r="F36" s="150" t="s">
        <v>284</v>
      </c>
      <c r="G36" s="99" t="s">
        <v>611</v>
      </c>
      <c r="H36" s="99">
        <v>12</v>
      </c>
      <c r="I36" s="99">
        <v>9</v>
      </c>
      <c r="J36" s="99"/>
      <c r="K36" s="99"/>
      <c r="L36" s="99"/>
      <c r="M36" s="99"/>
      <c r="N36" s="99"/>
      <c r="O36" s="99"/>
      <c r="P36" s="99"/>
      <c r="Q36" s="99"/>
      <c r="R36" s="151"/>
    </row>
    <row r="37" spans="1:18" ht="18" hidden="1" x14ac:dyDescent="0.25">
      <c r="A37" s="146">
        <v>87</v>
      </c>
      <c r="B37" s="134" t="s">
        <v>461</v>
      </c>
      <c r="C37" s="134"/>
      <c r="D37" s="148" t="s">
        <v>282</v>
      </c>
      <c r="E37" s="149" t="s">
        <v>462</v>
      </c>
      <c r="F37" s="150" t="s">
        <v>463</v>
      </c>
      <c r="G37" s="99" t="s">
        <v>609</v>
      </c>
      <c r="H37" s="99" t="s">
        <v>643</v>
      </c>
      <c r="I37" s="99" t="s">
        <v>790</v>
      </c>
      <c r="J37" s="99"/>
      <c r="K37" s="99"/>
      <c r="L37" s="99"/>
      <c r="M37" s="99"/>
      <c r="N37" s="99"/>
      <c r="O37" s="99"/>
      <c r="P37" s="99"/>
      <c r="Q37" s="99"/>
      <c r="R37" s="151"/>
    </row>
    <row r="38" spans="1:18" ht="18" x14ac:dyDescent="0.25">
      <c r="A38" s="146">
        <v>21</v>
      </c>
      <c r="B38" s="147" t="s">
        <v>333</v>
      </c>
      <c r="C38" s="134" t="s">
        <v>281</v>
      </c>
      <c r="D38" s="148" t="s">
        <v>282</v>
      </c>
      <c r="E38" s="149" t="s">
        <v>334</v>
      </c>
      <c r="F38" s="150" t="s">
        <v>284</v>
      </c>
      <c r="G38" s="99" t="s">
        <v>335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151"/>
    </row>
    <row r="39" spans="1:18" ht="18" x14ac:dyDescent="0.25">
      <c r="A39" s="146">
        <v>24</v>
      </c>
      <c r="B39" s="147" t="s">
        <v>341</v>
      </c>
      <c r="C39" s="134" t="s">
        <v>281</v>
      </c>
      <c r="D39" s="148" t="s">
        <v>342</v>
      </c>
      <c r="E39" s="149" t="s">
        <v>343</v>
      </c>
      <c r="F39" s="150" t="s">
        <v>344</v>
      </c>
      <c r="G39" s="99" t="s">
        <v>345</v>
      </c>
      <c r="H39" s="99" t="s">
        <v>728</v>
      </c>
      <c r="I39" s="99" t="s">
        <v>800</v>
      </c>
      <c r="J39" s="99"/>
      <c r="K39" s="99"/>
      <c r="L39" s="99"/>
      <c r="M39" s="99"/>
      <c r="N39" s="99"/>
      <c r="O39" s="99"/>
      <c r="P39" s="99"/>
      <c r="Q39" s="99"/>
      <c r="R39" s="151"/>
    </row>
    <row r="40" spans="1:18" ht="18" hidden="1" x14ac:dyDescent="0.25">
      <c r="A40" s="146">
        <v>76</v>
      </c>
      <c r="B40" s="134" t="s">
        <v>244</v>
      </c>
      <c r="C40" s="134"/>
      <c r="D40" s="148" t="s">
        <v>282</v>
      </c>
      <c r="E40" s="149" t="s">
        <v>441</v>
      </c>
      <c r="F40" s="150" t="s">
        <v>284</v>
      </c>
      <c r="G40" s="99" t="s">
        <v>616</v>
      </c>
      <c r="H40" s="99" t="s">
        <v>729</v>
      </c>
      <c r="I40" s="99" t="s">
        <v>730</v>
      </c>
      <c r="J40" s="99"/>
      <c r="K40" s="99"/>
      <c r="L40" s="99"/>
      <c r="M40" s="99"/>
      <c r="N40" s="99"/>
      <c r="O40" s="99"/>
      <c r="P40" s="99"/>
      <c r="Q40" s="99"/>
      <c r="R40" s="151"/>
    </row>
    <row r="41" spans="1:18" ht="18" hidden="1" x14ac:dyDescent="0.25">
      <c r="A41" s="146">
        <v>42</v>
      </c>
      <c r="B41" s="147" t="s">
        <v>386</v>
      </c>
      <c r="C41" s="134" t="s">
        <v>382</v>
      </c>
      <c r="D41" s="148" t="s">
        <v>297</v>
      </c>
      <c r="E41" s="149" t="s">
        <v>325</v>
      </c>
      <c r="F41" s="150" t="s">
        <v>284</v>
      </c>
      <c r="G41" s="99" t="s">
        <v>387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151"/>
    </row>
    <row r="42" spans="1:18" ht="18" x14ac:dyDescent="0.25">
      <c r="A42" s="146">
        <v>56</v>
      </c>
      <c r="B42" s="147" t="s">
        <v>411</v>
      </c>
      <c r="C42" s="134"/>
      <c r="D42" s="148" t="s">
        <v>282</v>
      </c>
      <c r="E42" s="149" t="s">
        <v>412</v>
      </c>
      <c r="F42" s="150" t="s">
        <v>284</v>
      </c>
      <c r="G42" s="99">
        <v>25</v>
      </c>
      <c r="H42" s="99" t="s">
        <v>730</v>
      </c>
      <c r="I42" s="99" t="s">
        <v>801</v>
      </c>
      <c r="J42" s="99"/>
      <c r="K42" s="99"/>
      <c r="L42" s="99"/>
      <c r="M42" s="99"/>
      <c r="N42" s="99"/>
      <c r="O42" s="99"/>
      <c r="P42" s="99"/>
      <c r="Q42" s="99"/>
      <c r="R42" s="151"/>
    </row>
    <row r="43" spans="1:18" ht="18" x14ac:dyDescent="0.25">
      <c r="A43" s="146">
        <v>51</v>
      </c>
      <c r="B43" s="147" t="s">
        <v>403</v>
      </c>
      <c r="C43" s="134"/>
      <c r="D43" s="148" t="s">
        <v>282</v>
      </c>
      <c r="E43" s="149" t="s">
        <v>404</v>
      </c>
      <c r="F43" s="150" t="s">
        <v>284</v>
      </c>
      <c r="G43" s="99" t="s">
        <v>617</v>
      </c>
      <c r="H43" s="99">
        <v>12</v>
      </c>
      <c r="I43" s="99" t="s">
        <v>802</v>
      </c>
      <c r="J43" s="99"/>
      <c r="K43" s="99"/>
      <c r="L43" s="99"/>
      <c r="M43" s="99"/>
      <c r="N43" s="99"/>
      <c r="O43" s="99"/>
      <c r="P43" s="99"/>
      <c r="Q43" s="99"/>
      <c r="R43" s="151"/>
    </row>
    <row r="44" spans="1:18" ht="18" x14ac:dyDescent="0.25">
      <c r="A44" s="146">
        <v>25</v>
      </c>
      <c r="B44" s="147" t="s">
        <v>346</v>
      </c>
      <c r="C44" s="134" t="s">
        <v>281</v>
      </c>
      <c r="D44" s="148" t="s">
        <v>347</v>
      </c>
      <c r="E44" s="149" t="s">
        <v>348</v>
      </c>
      <c r="F44" s="150" t="s">
        <v>349</v>
      </c>
      <c r="G44" s="99" t="s">
        <v>328</v>
      </c>
      <c r="H44" s="99" t="s">
        <v>663</v>
      </c>
      <c r="I44" s="99" t="s">
        <v>791</v>
      </c>
      <c r="J44" s="99"/>
      <c r="K44" s="99"/>
      <c r="L44" s="99"/>
      <c r="M44" s="99"/>
      <c r="N44" s="99"/>
      <c r="O44" s="99"/>
      <c r="P44" s="99"/>
      <c r="Q44" s="99"/>
      <c r="R44" s="151"/>
    </row>
    <row r="45" spans="1:18" ht="18" hidden="1" x14ac:dyDescent="0.25">
      <c r="A45" s="146">
        <v>54</v>
      </c>
      <c r="B45" s="147" t="s">
        <v>408</v>
      </c>
      <c r="C45" s="134"/>
      <c r="D45" s="148" t="s">
        <v>314</v>
      </c>
      <c r="E45" s="149" t="s">
        <v>409</v>
      </c>
      <c r="F45" s="150" t="s">
        <v>284</v>
      </c>
      <c r="G45" s="99" t="s">
        <v>618</v>
      </c>
      <c r="H45" s="99" t="s">
        <v>731</v>
      </c>
      <c r="I45" s="99" t="s">
        <v>803</v>
      </c>
      <c r="J45" s="99"/>
      <c r="K45" s="99"/>
      <c r="L45" s="99"/>
      <c r="M45" s="99"/>
      <c r="N45" s="99"/>
      <c r="O45" s="99"/>
      <c r="P45" s="99"/>
      <c r="Q45" s="99"/>
      <c r="R45" s="151"/>
    </row>
    <row r="46" spans="1:18" ht="18" hidden="1" x14ac:dyDescent="0.25">
      <c r="A46" s="146">
        <v>44</v>
      </c>
      <c r="B46" s="134" t="s">
        <v>263</v>
      </c>
      <c r="C46" s="134" t="s">
        <v>389</v>
      </c>
      <c r="D46" s="148" t="s">
        <v>347</v>
      </c>
      <c r="E46" s="149" t="s">
        <v>284</v>
      </c>
      <c r="F46" s="150" t="s">
        <v>284</v>
      </c>
      <c r="G46" s="99" t="s">
        <v>387</v>
      </c>
      <c r="H46" s="99">
        <v>29</v>
      </c>
      <c r="I46" s="99"/>
      <c r="J46" s="99"/>
      <c r="K46" s="99"/>
      <c r="L46" s="99"/>
      <c r="M46" s="99"/>
      <c r="N46" s="99"/>
      <c r="O46" s="99"/>
      <c r="P46" s="99"/>
      <c r="Q46" s="99"/>
      <c r="R46" s="151"/>
    </row>
    <row r="47" spans="1:18" ht="18" hidden="1" x14ac:dyDescent="0.25">
      <c r="A47" s="146">
        <v>68</v>
      </c>
      <c r="B47" s="134" t="s">
        <v>431</v>
      </c>
      <c r="C47" s="134"/>
      <c r="D47" s="148" t="s">
        <v>282</v>
      </c>
      <c r="E47" s="149" t="s">
        <v>284</v>
      </c>
      <c r="F47" s="150" t="s">
        <v>284</v>
      </c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51"/>
    </row>
    <row r="48" spans="1:18" ht="18" hidden="1" x14ac:dyDescent="0.25">
      <c r="A48" s="146">
        <v>100</v>
      </c>
      <c r="B48" s="134" t="s">
        <v>488</v>
      </c>
      <c r="C48" s="134"/>
      <c r="D48" s="148" t="s">
        <v>489</v>
      </c>
      <c r="E48" s="149" t="s">
        <v>284</v>
      </c>
      <c r="F48" s="150" t="s">
        <v>284</v>
      </c>
      <c r="G48" s="99"/>
      <c r="H48" s="99" t="s">
        <v>732</v>
      </c>
      <c r="I48" s="99" t="s">
        <v>730</v>
      </c>
      <c r="J48" s="99"/>
      <c r="K48" s="99"/>
      <c r="L48" s="99"/>
      <c r="M48" s="99"/>
      <c r="N48" s="99"/>
      <c r="O48" s="99"/>
      <c r="P48" s="99"/>
      <c r="Q48" s="99"/>
      <c r="R48" s="151"/>
    </row>
    <row r="49" spans="1:18" ht="18" hidden="1" x14ac:dyDescent="0.25">
      <c r="A49" s="146">
        <v>81</v>
      </c>
      <c r="B49" s="134" t="s">
        <v>451</v>
      </c>
      <c r="C49" s="134"/>
      <c r="D49" s="148" t="s">
        <v>282</v>
      </c>
      <c r="E49" s="149" t="s">
        <v>452</v>
      </c>
      <c r="F49" s="150" t="s">
        <v>284</v>
      </c>
      <c r="G49" s="99">
        <v>25</v>
      </c>
      <c r="H49" s="99" t="s">
        <v>733</v>
      </c>
      <c r="I49" s="99" t="s">
        <v>801</v>
      </c>
      <c r="J49" s="99"/>
      <c r="K49" s="99"/>
      <c r="L49" s="99"/>
      <c r="M49" s="99"/>
      <c r="N49" s="99"/>
      <c r="O49" s="99"/>
      <c r="P49" s="99"/>
      <c r="Q49" s="99"/>
      <c r="R49" s="151"/>
    </row>
    <row r="50" spans="1:18" ht="18" hidden="1" x14ac:dyDescent="0.25">
      <c r="A50" s="146">
        <v>35</v>
      </c>
      <c r="B50" s="147" t="s">
        <v>256</v>
      </c>
      <c r="C50" s="134" t="s">
        <v>366</v>
      </c>
      <c r="D50" s="148" t="s">
        <v>309</v>
      </c>
      <c r="E50" s="149" t="s">
        <v>332</v>
      </c>
      <c r="F50" s="150" t="s">
        <v>284</v>
      </c>
      <c r="G50" s="99" t="s">
        <v>619</v>
      </c>
      <c r="H50" s="99" t="s">
        <v>734</v>
      </c>
      <c r="I50" s="99">
        <v>19</v>
      </c>
      <c r="J50" s="99"/>
      <c r="K50" s="99"/>
      <c r="L50" s="99"/>
      <c r="M50" s="99"/>
      <c r="N50" s="99"/>
      <c r="O50" s="99"/>
      <c r="P50" s="99"/>
      <c r="Q50" s="99"/>
      <c r="R50" s="151"/>
    </row>
    <row r="51" spans="1:18" ht="18" x14ac:dyDescent="0.25">
      <c r="A51" s="146">
        <v>3</v>
      </c>
      <c r="B51" s="147" t="s">
        <v>288</v>
      </c>
      <c r="C51" s="134" t="s">
        <v>281</v>
      </c>
      <c r="D51" s="148" t="s">
        <v>282</v>
      </c>
      <c r="E51" s="149" t="s">
        <v>289</v>
      </c>
      <c r="F51" s="150" t="s">
        <v>284</v>
      </c>
      <c r="G51" s="99" t="s">
        <v>620</v>
      </c>
      <c r="H51" s="99" t="s">
        <v>735</v>
      </c>
      <c r="I51" s="99" t="s">
        <v>804</v>
      </c>
      <c r="J51" s="99"/>
      <c r="K51" s="99"/>
      <c r="L51" s="99"/>
      <c r="M51" s="99"/>
      <c r="N51" s="99"/>
      <c r="O51" s="99"/>
      <c r="P51" s="99"/>
      <c r="Q51" s="99"/>
      <c r="R51" s="151"/>
    </row>
    <row r="52" spans="1:18" ht="18" hidden="1" x14ac:dyDescent="0.25">
      <c r="A52" s="146">
        <v>64</v>
      </c>
      <c r="B52" s="147" t="s">
        <v>427</v>
      </c>
      <c r="C52" s="134"/>
      <c r="D52" s="148" t="s">
        <v>356</v>
      </c>
      <c r="E52" s="149" t="s">
        <v>284</v>
      </c>
      <c r="F52" s="150" t="s">
        <v>284</v>
      </c>
      <c r="G52" s="99">
        <v>13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151"/>
    </row>
    <row r="53" spans="1:18" ht="18" x14ac:dyDescent="0.25">
      <c r="A53" s="146">
        <v>47</v>
      </c>
      <c r="B53" s="147" t="s">
        <v>396</v>
      </c>
      <c r="C53" s="134"/>
      <c r="D53" s="148" t="s">
        <v>282</v>
      </c>
      <c r="E53" s="149" t="s">
        <v>397</v>
      </c>
      <c r="F53" s="150" t="s">
        <v>284</v>
      </c>
      <c r="G53" s="99" t="s">
        <v>621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151"/>
    </row>
    <row r="54" spans="1:18" ht="18" x14ac:dyDescent="0.25">
      <c r="A54" s="146">
        <v>19</v>
      </c>
      <c r="B54" s="147" t="s">
        <v>329</v>
      </c>
      <c r="C54" s="134" t="s">
        <v>281</v>
      </c>
      <c r="D54" s="148" t="s">
        <v>282</v>
      </c>
      <c r="E54" s="149" t="s">
        <v>330</v>
      </c>
      <c r="F54" s="150" t="s">
        <v>284</v>
      </c>
      <c r="G54" s="99" t="s">
        <v>328</v>
      </c>
      <c r="H54" s="99" t="s">
        <v>736</v>
      </c>
      <c r="I54" s="99" t="s">
        <v>791</v>
      </c>
      <c r="J54" s="99"/>
      <c r="K54" s="99"/>
      <c r="L54" s="99"/>
      <c r="M54" s="99"/>
      <c r="N54" s="99"/>
      <c r="O54" s="99"/>
      <c r="P54" s="99"/>
      <c r="Q54" s="99"/>
      <c r="R54" s="151"/>
    </row>
    <row r="55" spans="1:18" ht="18" hidden="1" x14ac:dyDescent="0.25">
      <c r="A55" s="146">
        <v>78</v>
      </c>
      <c r="B55" s="134" t="s">
        <v>444</v>
      </c>
      <c r="C55" s="134"/>
      <c r="D55" s="148" t="s">
        <v>282</v>
      </c>
      <c r="E55" s="149" t="s">
        <v>445</v>
      </c>
      <c r="F55" s="150" t="s">
        <v>284</v>
      </c>
      <c r="G55" s="99">
        <v>25</v>
      </c>
      <c r="H55" s="99" t="s">
        <v>733</v>
      </c>
      <c r="I55" s="99" t="s">
        <v>801</v>
      </c>
      <c r="J55" s="99"/>
      <c r="K55" s="99"/>
      <c r="L55" s="99"/>
      <c r="M55" s="99"/>
      <c r="N55" s="99"/>
      <c r="O55" s="99"/>
      <c r="P55" s="99"/>
      <c r="Q55" s="99"/>
      <c r="R55" s="151"/>
    </row>
    <row r="56" spans="1:18" ht="18" x14ac:dyDescent="0.25">
      <c r="A56" s="146">
        <v>58</v>
      </c>
      <c r="B56" s="147" t="s">
        <v>415</v>
      </c>
      <c r="C56" s="134"/>
      <c r="D56" s="148" t="s">
        <v>282</v>
      </c>
      <c r="E56" s="149" t="s">
        <v>416</v>
      </c>
      <c r="F56" s="150" t="s">
        <v>284</v>
      </c>
      <c r="G56" s="99" t="s">
        <v>609</v>
      </c>
      <c r="H56" s="99" t="s">
        <v>643</v>
      </c>
      <c r="I56" s="99" t="s">
        <v>790</v>
      </c>
      <c r="J56" s="99"/>
      <c r="K56" s="99"/>
      <c r="L56" s="99"/>
      <c r="M56" s="99"/>
      <c r="N56" s="99"/>
      <c r="O56" s="99"/>
      <c r="P56" s="99"/>
      <c r="Q56" s="99"/>
      <c r="R56" s="151"/>
    </row>
    <row r="57" spans="1:18" ht="18" hidden="1" x14ac:dyDescent="0.25">
      <c r="A57" s="146">
        <v>82</v>
      </c>
      <c r="B57" s="134" t="s">
        <v>271</v>
      </c>
      <c r="C57" s="134"/>
      <c r="D57" s="148" t="s">
        <v>282</v>
      </c>
      <c r="E57" s="149" t="s">
        <v>453</v>
      </c>
      <c r="F57" s="150" t="s">
        <v>284</v>
      </c>
      <c r="G57" s="99"/>
      <c r="H57" s="99"/>
      <c r="I57" s="99">
        <v>11</v>
      </c>
      <c r="J57" s="99"/>
      <c r="K57" s="99"/>
      <c r="L57" s="99"/>
      <c r="M57" s="99"/>
      <c r="N57" s="99"/>
      <c r="O57" s="99"/>
      <c r="P57" s="99"/>
      <c r="Q57" s="99"/>
      <c r="R57" s="151"/>
    </row>
    <row r="58" spans="1:18" ht="18" hidden="1" x14ac:dyDescent="0.25">
      <c r="A58" s="146">
        <v>67</v>
      </c>
      <c r="B58" s="134" t="s">
        <v>245</v>
      </c>
      <c r="C58" s="134"/>
      <c r="D58" s="148" t="s">
        <v>282</v>
      </c>
      <c r="E58" s="149" t="s">
        <v>430</v>
      </c>
      <c r="F58" s="150" t="s">
        <v>284</v>
      </c>
      <c r="G58" s="99" t="s">
        <v>622</v>
      </c>
      <c r="H58" s="99" t="s">
        <v>737</v>
      </c>
      <c r="I58" s="99">
        <v>19</v>
      </c>
      <c r="J58" s="99"/>
      <c r="K58" s="99"/>
      <c r="L58" s="99"/>
      <c r="M58" s="99"/>
      <c r="N58" s="99"/>
      <c r="O58" s="99"/>
      <c r="P58" s="99"/>
      <c r="Q58" s="99"/>
      <c r="R58" s="151"/>
    </row>
    <row r="59" spans="1:18" ht="18" hidden="1" x14ac:dyDescent="0.25">
      <c r="A59" s="146">
        <v>89</v>
      </c>
      <c r="B59" s="134" t="s">
        <v>466</v>
      </c>
      <c r="C59" s="134"/>
      <c r="D59" s="148" t="s">
        <v>393</v>
      </c>
      <c r="E59" s="149" t="s">
        <v>284</v>
      </c>
      <c r="F59" s="150" t="s">
        <v>284</v>
      </c>
      <c r="G59" s="99" t="s">
        <v>609</v>
      </c>
      <c r="H59" s="99" t="s">
        <v>643</v>
      </c>
      <c r="I59" s="99" t="s">
        <v>790</v>
      </c>
      <c r="J59" s="99"/>
      <c r="K59" s="99"/>
      <c r="L59" s="99"/>
      <c r="M59" s="99"/>
      <c r="N59" s="99"/>
      <c r="O59" s="99"/>
      <c r="P59" s="99"/>
      <c r="Q59" s="99"/>
      <c r="R59" s="151"/>
    </row>
    <row r="60" spans="1:18" ht="18" hidden="1" x14ac:dyDescent="0.25">
      <c r="A60" s="146">
        <v>83</v>
      </c>
      <c r="B60" s="134" t="s">
        <v>454</v>
      </c>
      <c r="C60" s="134"/>
      <c r="D60" s="148" t="s">
        <v>282</v>
      </c>
      <c r="E60" s="149" t="s">
        <v>455</v>
      </c>
      <c r="F60" s="150" t="s">
        <v>284</v>
      </c>
      <c r="G60" s="99"/>
      <c r="H60" s="99"/>
      <c r="I60" s="99">
        <v>11</v>
      </c>
      <c r="J60" s="99"/>
      <c r="K60" s="99"/>
      <c r="L60" s="99"/>
      <c r="M60" s="99"/>
      <c r="N60" s="99"/>
      <c r="O60" s="99"/>
      <c r="P60" s="99"/>
      <c r="Q60" s="99"/>
      <c r="R60" s="151"/>
    </row>
    <row r="61" spans="1:18" ht="18" x14ac:dyDescent="0.25">
      <c r="A61" s="146">
        <v>1</v>
      </c>
      <c r="B61" s="147" t="s">
        <v>280</v>
      </c>
      <c r="C61" s="134" t="s">
        <v>281</v>
      </c>
      <c r="D61" s="148" t="s">
        <v>282</v>
      </c>
      <c r="E61" s="149" t="s">
        <v>283</v>
      </c>
      <c r="F61" s="150" t="s">
        <v>284</v>
      </c>
      <c r="G61" s="99" t="s">
        <v>285</v>
      </c>
      <c r="H61" s="99" t="s">
        <v>758</v>
      </c>
      <c r="I61" s="99" t="s">
        <v>805</v>
      </c>
      <c r="J61" s="99"/>
      <c r="K61" s="99"/>
      <c r="L61" s="99"/>
      <c r="M61" s="99"/>
      <c r="N61" s="99"/>
      <c r="O61" s="99"/>
      <c r="P61" s="99"/>
      <c r="Q61" s="99"/>
      <c r="R61" s="151"/>
    </row>
    <row r="62" spans="1:18" ht="18" hidden="1" x14ac:dyDescent="0.25">
      <c r="A62" s="146">
        <v>122</v>
      </c>
      <c r="B62" s="134" t="s">
        <v>520</v>
      </c>
      <c r="C62" s="134"/>
      <c r="D62" s="148" t="s">
        <v>407</v>
      </c>
      <c r="E62" s="149" t="s">
        <v>284</v>
      </c>
      <c r="F62" s="150" t="s">
        <v>284</v>
      </c>
      <c r="G62" s="99" t="s">
        <v>360</v>
      </c>
      <c r="H62" s="99" t="s">
        <v>738</v>
      </c>
      <c r="I62" s="99" t="s">
        <v>770</v>
      </c>
      <c r="J62" s="99"/>
      <c r="K62" s="99"/>
      <c r="L62" s="99"/>
      <c r="M62" s="99"/>
      <c r="N62" s="99"/>
      <c r="O62" s="99"/>
      <c r="P62" s="99"/>
      <c r="Q62" s="99"/>
      <c r="R62" s="151"/>
    </row>
    <row r="63" spans="1:18" ht="18" hidden="1" x14ac:dyDescent="0.25">
      <c r="A63" s="146">
        <v>40</v>
      </c>
      <c r="B63" s="134" t="s">
        <v>380</v>
      </c>
      <c r="C63" s="134" t="s">
        <v>379</v>
      </c>
      <c r="D63" s="148" t="s">
        <v>342</v>
      </c>
      <c r="E63" s="149" t="s">
        <v>284</v>
      </c>
      <c r="F63" s="150" t="s">
        <v>284</v>
      </c>
      <c r="G63" s="99">
        <v>28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151"/>
    </row>
    <row r="64" spans="1:18" ht="18" hidden="1" x14ac:dyDescent="0.25">
      <c r="A64" s="146">
        <v>93</v>
      </c>
      <c r="B64" s="134" t="s">
        <v>473</v>
      </c>
      <c r="C64" s="134"/>
      <c r="D64" s="148" t="s">
        <v>474</v>
      </c>
      <c r="E64" s="149" t="s">
        <v>284</v>
      </c>
      <c r="F64" s="150" t="s">
        <v>284</v>
      </c>
      <c r="G64" s="99" t="s">
        <v>609</v>
      </c>
      <c r="H64" s="99" t="s">
        <v>643</v>
      </c>
      <c r="I64" s="99" t="s">
        <v>790</v>
      </c>
      <c r="J64" s="99"/>
      <c r="K64" s="99"/>
      <c r="L64" s="99"/>
      <c r="M64" s="99"/>
      <c r="N64" s="99"/>
      <c r="O64" s="99"/>
      <c r="P64" s="99"/>
      <c r="Q64" s="99"/>
      <c r="R64" s="151"/>
    </row>
    <row r="65" spans="1:18" ht="18" hidden="1" x14ac:dyDescent="0.25">
      <c r="A65" s="146">
        <v>43</v>
      </c>
      <c r="B65" s="147" t="s">
        <v>388</v>
      </c>
      <c r="C65" s="134" t="s">
        <v>389</v>
      </c>
      <c r="D65" s="148" t="s">
        <v>303</v>
      </c>
      <c r="E65" s="149" t="s">
        <v>284</v>
      </c>
      <c r="F65" s="150" t="s">
        <v>284</v>
      </c>
      <c r="G65" s="99" t="s">
        <v>623</v>
      </c>
      <c r="H65" s="99" t="s">
        <v>739</v>
      </c>
      <c r="I65" s="99" t="s">
        <v>806</v>
      </c>
      <c r="J65" s="99"/>
      <c r="K65" s="99"/>
      <c r="L65" s="99"/>
      <c r="M65" s="99"/>
      <c r="N65" s="99"/>
      <c r="O65" s="99"/>
      <c r="P65" s="99"/>
      <c r="Q65" s="99"/>
      <c r="R65" s="151"/>
    </row>
    <row r="66" spans="1:18" ht="18" hidden="1" x14ac:dyDescent="0.25">
      <c r="A66" s="146">
        <v>13</v>
      </c>
      <c r="B66" s="147" t="s">
        <v>313</v>
      </c>
      <c r="C66" s="134" t="s">
        <v>281</v>
      </c>
      <c r="D66" s="148" t="s">
        <v>314</v>
      </c>
      <c r="E66" s="149" t="s">
        <v>315</v>
      </c>
      <c r="F66" s="150" t="s">
        <v>284</v>
      </c>
      <c r="G66" s="99" t="s">
        <v>624</v>
      </c>
      <c r="H66" s="99" t="s">
        <v>740</v>
      </c>
      <c r="I66" s="99" t="s">
        <v>774</v>
      </c>
      <c r="J66" s="99"/>
      <c r="K66" s="99"/>
      <c r="L66" s="99"/>
      <c r="M66" s="99"/>
      <c r="N66" s="99"/>
      <c r="O66" s="99"/>
      <c r="P66" s="99"/>
      <c r="Q66" s="99"/>
      <c r="R66" s="151"/>
    </row>
    <row r="67" spans="1:18" ht="18" hidden="1" x14ac:dyDescent="0.25">
      <c r="A67" s="146">
        <v>98</v>
      </c>
      <c r="B67" s="134" t="s">
        <v>485</v>
      </c>
      <c r="C67" s="134"/>
      <c r="D67" s="148" t="s">
        <v>486</v>
      </c>
      <c r="E67" s="149" t="s">
        <v>284</v>
      </c>
      <c r="F67" s="150" t="s">
        <v>284</v>
      </c>
      <c r="G67" s="99" t="s">
        <v>328</v>
      </c>
      <c r="H67" s="99" t="s">
        <v>663</v>
      </c>
      <c r="I67" s="99" t="s">
        <v>791</v>
      </c>
      <c r="J67" s="99"/>
      <c r="K67" s="99"/>
      <c r="L67" s="99"/>
      <c r="M67" s="99"/>
      <c r="N67" s="99"/>
      <c r="O67" s="99"/>
      <c r="P67" s="99"/>
      <c r="Q67" s="99"/>
      <c r="R67" s="151"/>
    </row>
    <row r="68" spans="1:18" ht="18" hidden="1" x14ac:dyDescent="0.25">
      <c r="A68" s="146">
        <v>88</v>
      </c>
      <c r="B68" s="134" t="s">
        <v>464</v>
      </c>
      <c r="C68" s="134"/>
      <c r="D68" s="148" t="s">
        <v>465</v>
      </c>
      <c r="E68" s="149" t="s">
        <v>284</v>
      </c>
      <c r="F68" s="150" t="s">
        <v>284</v>
      </c>
      <c r="G68" s="99">
        <v>6</v>
      </c>
      <c r="H68" s="99">
        <v>7</v>
      </c>
      <c r="I68" s="99">
        <v>4</v>
      </c>
      <c r="J68" s="99"/>
      <c r="K68" s="99"/>
      <c r="L68" s="99"/>
      <c r="M68" s="99"/>
      <c r="N68" s="99"/>
      <c r="O68" s="99"/>
      <c r="P68" s="99"/>
      <c r="Q68" s="99"/>
      <c r="R68" s="151"/>
    </row>
    <row r="69" spans="1:18" ht="18" hidden="1" x14ac:dyDescent="0.25">
      <c r="A69" s="146">
        <v>30</v>
      </c>
      <c r="B69" s="147" t="s">
        <v>361</v>
      </c>
      <c r="C69" s="134" t="s">
        <v>358</v>
      </c>
      <c r="D69" s="148" t="s">
        <v>269</v>
      </c>
      <c r="E69" s="149" t="s">
        <v>362</v>
      </c>
      <c r="F69" s="150" t="s">
        <v>363</v>
      </c>
      <c r="G69" s="99" t="s">
        <v>625</v>
      </c>
      <c r="H69" s="99" t="s">
        <v>741</v>
      </c>
      <c r="I69" s="99">
        <v>22</v>
      </c>
      <c r="J69" s="99"/>
      <c r="K69" s="99"/>
      <c r="L69" s="99"/>
      <c r="M69" s="99"/>
      <c r="N69" s="99"/>
      <c r="O69" s="99"/>
      <c r="P69" s="99"/>
      <c r="Q69" s="99"/>
      <c r="R69" s="151"/>
    </row>
    <row r="70" spans="1:18" ht="18" hidden="1" x14ac:dyDescent="0.25">
      <c r="A70" s="146">
        <v>53</v>
      </c>
      <c r="B70" s="147" t="s">
        <v>406</v>
      </c>
      <c r="C70" s="134"/>
      <c r="D70" s="148" t="s">
        <v>407</v>
      </c>
      <c r="E70" s="149" t="s">
        <v>284</v>
      </c>
      <c r="F70" s="150" t="s">
        <v>284</v>
      </c>
      <c r="G70" s="99"/>
      <c r="H70" s="99" t="s">
        <v>742</v>
      </c>
      <c r="I70" s="99" t="s">
        <v>425</v>
      </c>
      <c r="J70" s="99"/>
      <c r="K70" s="99"/>
      <c r="L70" s="99"/>
      <c r="M70" s="99"/>
      <c r="N70" s="99"/>
      <c r="O70" s="99"/>
      <c r="P70" s="99"/>
      <c r="Q70" s="99"/>
      <c r="R70" s="151"/>
    </row>
    <row r="71" spans="1:18" ht="18" hidden="1" x14ac:dyDescent="0.25">
      <c r="A71" s="146">
        <v>33</v>
      </c>
      <c r="B71" s="147" t="s">
        <v>254</v>
      </c>
      <c r="C71" s="134" t="s">
        <v>366</v>
      </c>
      <c r="D71" s="148" t="s">
        <v>309</v>
      </c>
      <c r="E71" s="149" t="s">
        <v>370</v>
      </c>
      <c r="F71" s="150" t="s">
        <v>284</v>
      </c>
      <c r="G71" s="99" t="s">
        <v>626</v>
      </c>
      <c r="H71" s="99" t="s">
        <v>743</v>
      </c>
      <c r="I71" s="99" t="s">
        <v>615</v>
      </c>
      <c r="J71" s="99"/>
      <c r="K71" s="99"/>
      <c r="L71" s="99"/>
      <c r="M71" s="99"/>
      <c r="N71" s="99"/>
      <c r="O71" s="99"/>
      <c r="P71" s="99"/>
      <c r="Q71" s="99"/>
      <c r="R71" s="151"/>
    </row>
    <row r="72" spans="1:18" ht="18" hidden="1" x14ac:dyDescent="0.25">
      <c r="A72" s="146"/>
      <c r="B72" s="134" t="s">
        <v>807</v>
      </c>
      <c r="C72" s="134"/>
      <c r="D72" s="148"/>
      <c r="E72" s="149"/>
      <c r="F72" s="150"/>
      <c r="G72" s="99"/>
      <c r="H72" s="99"/>
      <c r="I72" s="99">
        <v>27</v>
      </c>
      <c r="J72" s="99"/>
      <c r="K72" s="99"/>
      <c r="L72" s="99"/>
      <c r="M72" s="99"/>
      <c r="N72" s="99"/>
      <c r="O72" s="99"/>
      <c r="P72" s="99"/>
      <c r="Q72" s="99"/>
      <c r="R72" s="151"/>
    </row>
    <row r="73" spans="1:18" ht="18" x14ac:dyDescent="0.25">
      <c r="A73" s="146">
        <v>4</v>
      </c>
      <c r="B73" s="147" t="s">
        <v>290</v>
      </c>
      <c r="C73" s="134" t="s">
        <v>281</v>
      </c>
      <c r="D73" s="148" t="s">
        <v>282</v>
      </c>
      <c r="E73" s="149" t="s">
        <v>284</v>
      </c>
      <c r="F73" s="150" t="s">
        <v>284</v>
      </c>
      <c r="G73" s="99" t="s">
        <v>291</v>
      </c>
      <c r="H73" s="99" t="s">
        <v>744</v>
      </c>
      <c r="I73" s="99" t="s">
        <v>775</v>
      </c>
      <c r="J73" s="99"/>
      <c r="K73" s="99"/>
      <c r="L73" s="99"/>
      <c r="M73" s="99"/>
      <c r="N73" s="99"/>
      <c r="O73" s="99"/>
      <c r="P73" s="99"/>
      <c r="Q73" s="99"/>
      <c r="R73" s="151"/>
    </row>
    <row r="74" spans="1:18" ht="18" hidden="1" x14ac:dyDescent="0.25">
      <c r="A74" s="146">
        <v>91</v>
      </c>
      <c r="B74" s="134" t="s">
        <v>468</v>
      </c>
      <c r="C74" s="134"/>
      <c r="D74" s="148" t="s">
        <v>347</v>
      </c>
      <c r="E74" s="149" t="s">
        <v>469</v>
      </c>
      <c r="F74" s="150" t="s">
        <v>470</v>
      </c>
      <c r="G74" s="99" t="s">
        <v>328</v>
      </c>
      <c r="H74" s="99" t="s">
        <v>663</v>
      </c>
      <c r="I74" s="99" t="s">
        <v>791</v>
      </c>
      <c r="J74" s="99"/>
      <c r="K74" s="99"/>
      <c r="L74" s="99"/>
      <c r="M74" s="99"/>
      <c r="N74" s="99"/>
      <c r="O74" s="99"/>
      <c r="P74" s="99"/>
      <c r="Q74" s="99"/>
      <c r="R74" s="151"/>
    </row>
    <row r="75" spans="1:18" ht="18" hidden="1" x14ac:dyDescent="0.25">
      <c r="A75" s="146"/>
      <c r="B75" s="134" t="s">
        <v>808</v>
      </c>
      <c r="C75" s="134"/>
      <c r="D75" s="148"/>
      <c r="E75" s="149"/>
      <c r="F75" s="150"/>
      <c r="G75" s="99"/>
      <c r="H75" s="99"/>
      <c r="I75" s="99">
        <v>19</v>
      </c>
      <c r="J75" s="99"/>
      <c r="K75" s="99"/>
      <c r="L75" s="99"/>
      <c r="M75" s="99"/>
      <c r="N75" s="99"/>
      <c r="O75" s="99"/>
      <c r="P75" s="99"/>
      <c r="Q75" s="99"/>
      <c r="R75" s="151"/>
    </row>
    <row r="76" spans="1:18" ht="18" hidden="1" x14ac:dyDescent="0.25">
      <c r="A76" s="146">
        <v>46</v>
      </c>
      <c r="B76" s="147" t="s">
        <v>391</v>
      </c>
      <c r="C76" s="134" t="s">
        <v>392</v>
      </c>
      <c r="D76" s="148" t="s">
        <v>393</v>
      </c>
      <c r="E76" s="149" t="s">
        <v>394</v>
      </c>
      <c r="F76" s="150" t="s">
        <v>395</v>
      </c>
      <c r="G76" s="99" t="s">
        <v>627</v>
      </c>
      <c r="H76" s="99" t="s">
        <v>724</v>
      </c>
      <c r="I76" s="99" t="s">
        <v>809</v>
      </c>
      <c r="J76" s="99"/>
      <c r="K76" s="99"/>
      <c r="L76" s="99"/>
      <c r="M76" s="99"/>
      <c r="N76" s="99"/>
      <c r="O76" s="99"/>
      <c r="P76" s="99"/>
      <c r="Q76" s="99"/>
      <c r="R76" s="151"/>
    </row>
    <row r="77" spans="1:18" ht="18" hidden="1" x14ac:dyDescent="0.25">
      <c r="A77" s="146">
        <v>69</v>
      </c>
      <c r="B77" s="134" t="s">
        <v>432</v>
      </c>
      <c r="C77" s="134"/>
      <c r="D77" s="148" t="s">
        <v>282</v>
      </c>
      <c r="E77" s="149" t="s">
        <v>284</v>
      </c>
      <c r="F77" s="150" t="s">
        <v>284</v>
      </c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151"/>
    </row>
    <row r="78" spans="1:18" ht="18" x14ac:dyDescent="0.25">
      <c r="A78" s="146">
        <v>5</v>
      </c>
      <c r="B78" s="147" t="s">
        <v>292</v>
      </c>
      <c r="C78" s="134" t="s">
        <v>281</v>
      </c>
      <c r="D78" s="148" t="s">
        <v>282</v>
      </c>
      <c r="E78" s="149" t="s">
        <v>287</v>
      </c>
      <c r="F78" s="150" t="s">
        <v>284</v>
      </c>
      <c r="G78" s="99" t="s">
        <v>628</v>
      </c>
      <c r="H78" s="99" t="s">
        <v>745</v>
      </c>
      <c r="I78" s="99" t="s">
        <v>810</v>
      </c>
      <c r="J78" s="99"/>
      <c r="K78" s="99"/>
      <c r="L78" s="99"/>
      <c r="M78" s="99"/>
      <c r="N78" s="99"/>
      <c r="O78" s="99"/>
      <c r="P78" s="99"/>
      <c r="Q78" s="99"/>
      <c r="R78" s="151"/>
    </row>
    <row r="79" spans="1:18" ht="18" hidden="1" x14ac:dyDescent="0.25">
      <c r="A79" s="146">
        <v>90</v>
      </c>
      <c r="B79" s="134" t="s">
        <v>467</v>
      </c>
      <c r="C79" s="134"/>
      <c r="D79" s="148" t="s">
        <v>347</v>
      </c>
      <c r="E79" s="149" t="s">
        <v>284</v>
      </c>
      <c r="F79" s="150" t="s">
        <v>284</v>
      </c>
      <c r="G79" s="99">
        <v>25</v>
      </c>
      <c r="H79" s="99" t="s">
        <v>733</v>
      </c>
      <c r="I79" s="99" t="s">
        <v>811</v>
      </c>
      <c r="J79" s="99"/>
      <c r="K79" s="99"/>
      <c r="L79" s="99"/>
      <c r="M79" s="99"/>
      <c r="N79" s="99"/>
      <c r="O79" s="99"/>
      <c r="P79" s="99"/>
      <c r="Q79" s="99"/>
      <c r="R79" s="151"/>
    </row>
    <row r="80" spans="1:18" ht="18" hidden="1" x14ac:dyDescent="0.25">
      <c r="A80" s="146">
        <v>60</v>
      </c>
      <c r="B80" s="147" t="s">
        <v>421</v>
      </c>
      <c r="C80" s="134"/>
      <c r="D80" s="148" t="s">
        <v>339</v>
      </c>
      <c r="E80" s="149" t="s">
        <v>284</v>
      </c>
      <c r="F80" s="150" t="s">
        <v>284</v>
      </c>
      <c r="G80" s="99" t="s">
        <v>629</v>
      </c>
      <c r="H80" s="99" t="s">
        <v>746</v>
      </c>
      <c r="I80" s="99" t="s">
        <v>812</v>
      </c>
      <c r="J80" s="99"/>
      <c r="K80" s="99"/>
      <c r="L80" s="99"/>
      <c r="M80" s="99"/>
      <c r="N80" s="99"/>
      <c r="O80" s="99"/>
      <c r="P80" s="99"/>
      <c r="Q80" s="99"/>
      <c r="R80" s="151"/>
    </row>
    <row r="81" spans="1:18" ht="18" hidden="1" x14ac:dyDescent="0.25">
      <c r="A81" s="146">
        <v>99</v>
      </c>
      <c r="B81" s="134" t="s">
        <v>487</v>
      </c>
      <c r="C81" s="134"/>
      <c r="D81" s="148" t="s">
        <v>265</v>
      </c>
      <c r="E81" s="149" t="s">
        <v>284</v>
      </c>
      <c r="F81" s="150" t="s">
        <v>284</v>
      </c>
      <c r="G81" s="99" t="s">
        <v>630</v>
      </c>
      <c r="H81" s="99" t="s">
        <v>747</v>
      </c>
      <c r="I81" s="99" t="s">
        <v>813</v>
      </c>
      <c r="J81" s="99"/>
      <c r="K81" s="99"/>
      <c r="L81" s="99"/>
      <c r="M81" s="99"/>
      <c r="N81" s="99"/>
      <c r="O81" s="99"/>
      <c r="P81" s="99"/>
      <c r="Q81" s="99"/>
      <c r="R81" s="151"/>
    </row>
    <row r="82" spans="1:18" ht="18" hidden="1" x14ac:dyDescent="0.25">
      <c r="A82" s="146">
        <v>110</v>
      </c>
      <c r="B82" s="134" t="s">
        <v>504</v>
      </c>
      <c r="C82" s="134"/>
      <c r="D82" s="148" t="s">
        <v>356</v>
      </c>
      <c r="E82" s="149" t="s">
        <v>284</v>
      </c>
      <c r="F82" s="150" t="s">
        <v>284</v>
      </c>
      <c r="G82" s="99"/>
      <c r="H82" s="99"/>
      <c r="I82" s="99">
        <v>10</v>
      </c>
      <c r="J82" s="99"/>
      <c r="K82" s="99"/>
      <c r="L82" s="99"/>
      <c r="M82" s="99"/>
      <c r="N82" s="99"/>
      <c r="O82" s="99"/>
      <c r="P82" s="99"/>
      <c r="Q82" s="99"/>
      <c r="R82" s="151"/>
    </row>
    <row r="83" spans="1:18" ht="18" hidden="1" x14ac:dyDescent="0.25">
      <c r="A83" s="146">
        <v>105</v>
      </c>
      <c r="B83" s="134" t="s">
        <v>495</v>
      </c>
      <c r="C83" s="134"/>
      <c r="D83" s="148" t="s">
        <v>359</v>
      </c>
      <c r="E83" s="149" t="s">
        <v>284</v>
      </c>
      <c r="F83" s="150" t="s">
        <v>284</v>
      </c>
      <c r="G83" s="99" t="s">
        <v>316</v>
      </c>
      <c r="H83" s="99" t="s">
        <v>748</v>
      </c>
      <c r="I83" s="99">
        <v>27</v>
      </c>
      <c r="J83" s="99"/>
      <c r="K83" s="99"/>
      <c r="L83" s="99"/>
      <c r="M83" s="99"/>
      <c r="N83" s="99"/>
      <c r="O83" s="99"/>
      <c r="P83" s="99"/>
      <c r="Q83" s="99"/>
      <c r="R83" s="151"/>
    </row>
    <row r="84" spans="1:18" ht="18" hidden="1" x14ac:dyDescent="0.25">
      <c r="A84" s="146">
        <v>77</v>
      </c>
      <c r="B84" s="134" t="s">
        <v>442</v>
      </c>
      <c r="C84" s="134"/>
      <c r="D84" s="148" t="s">
        <v>282</v>
      </c>
      <c r="E84" s="149" t="s">
        <v>443</v>
      </c>
      <c r="F84" s="150" t="s">
        <v>284</v>
      </c>
      <c r="G84" s="99">
        <v>9</v>
      </c>
      <c r="H84" s="99">
        <v>21</v>
      </c>
      <c r="I84" s="99">
        <v>24</v>
      </c>
      <c r="J84" s="99"/>
      <c r="K84" s="99"/>
      <c r="L84" s="99"/>
      <c r="M84" s="99"/>
      <c r="N84" s="99"/>
      <c r="O84" s="99"/>
      <c r="P84" s="99"/>
      <c r="Q84" s="99"/>
      <c r="R84" s="151"/>
    </row>
    <row r="85" spans="1:18" ht="18" hidden="1" x14ac:dyDescent="0.25">
      <c r="A85" s="146">
        <v>29</v>
      </c>
      <c r="B85" s="147" t="s">
        <v>357</v>
      </c>
      <c r="C85" s="134" t="s">
        <v>358</v>
      </c>
      <c r="D85" s="148" t="s">
        <v>359</v>
      </c>
      <c r="E85" s="149" t="s">
        <v>284</v>
      </c>
      <c r="F85" s="150" t="s">
        <v>284</v>
      </c>
      <c r="G85" s="99" t="s">
        <v>619</v>
      </c>
      <c r="H85" s="99" t="s">
        <v>759</v>
      </c>
      <c r="I85" s="99">
        <v>12</v>
      </c>
      <c r="J85" s="99"/>
      <c r="K85" s="99"/>
      <c r="L85" s="99"/>
      <c r="M85" s="99"/>
      <c r="N85" s="99"/>
      <c r="O85" s="99"/>
      <c r="P85" s="99"/>
      <c r="Q85" s="99"/>
      <c r="R85" s="151"/>
    </row>
    <row r="86" spans="1:18" ht="18" hidden="1" x14ac:dyDescent="0.25">
      <c r="A86" s="146">
        <v>106</v>
      </c>
      <c r="B86" s="134" t="s">
        <v>496</v>
      </c>
      <c r="C86" s="134"/>
      <c r="D86" s="148" t="s">
        <v>497</v>
      </c>
      <c r="E86" s="149" t="s">
        <v>284</v>
      </c>
      <c r="F86" s="150" t="s">
        <v>284</v>
      </c>
      <c r="G86" s="99"/>
      <c r="H86" s="99">
        <v>21</v>
      </c>
      <c r="I86" s="99"/>
      <c r="J86" s="99"/>
      <c r="K86" s="99"/>
      <c r="L86" s="99"/>
      <c r="M86" s="99"/>
      <c r="N86" s="99"/>
      <c r="O86" s="99"/>
      <c r="P86" s="99"/>
      <c r="Q86" s="99"/>
      <c r="R86" s="151"/>
    </row>
    <row r="87" spans="1:18" ht="18" x14ac:dyDescent="0.25">
      <c r="A87" s="146">
        <v>17</v>
      </c>
      <c r="B87" s="147" t="s">
        <v>324</v>
      </c>
      <c r="C87" s="134" t="s">
        <v>281</v>
      </c>
      <c r="D87" s="148" t="s">
        <v>282</v>
      </c>
      <c r="E87" s="149" t="s">
        <v>325</v>
      </c>
      <c r="F87" s="150" t="s">
        <v>284</v>
      </c>
      <c r="G87" s="99">
        <v>25</v>
      </c>
      <c r="H87" s="99" t="s">
        <v>733</v>
      </c>
      <c r="I87" s="99" t="s">
        <v>823</v>
      </c>
      <c r="J87" s="99"/>
      <c r="K87" s="99"/>
      <c r="L87" s="99"/>
      <c r="M87" s="99"/>
      <c r="N87" s="99"/>
      <c r="O87" s="99"/>
      <c r="P87" s="99"/>
      <c r="Q87" s="99"/>
      <c r="R87" s="151"/>
    </row>
    <row r="88" spans="1:18" ht="18" hidden="1" x14ac:dyDescent="0.25">
      <c r="A88" s="146">
        <v>62</v>
      </c>
      <c r="B88" s="147" t="s">
        <v>424</v>
      </c>
      <c r="C88" s="134"/>
      <c r="D88" s="148" t="s">
        <v>269</v>
      </c>
      <c r="E88" s="149" t="s">
        <v>284</v>
      </c>
      <c r="F88" s="150" t="s">
        <v>284</v>
      </c>
      <c r="G88" s="99" t="s">
        <v>425</v>
      </c>
      <c r="H88" s="99">
        <v>29</v>
      </c>
      <c r="I88" s="99"/>
      <c r="J88" s="99"/>
      <c r="K88" s="99"/>
      <c r="L88" s="99"/>
      <c r="M88" s="99"/>
      <c r="N88" s="99"/>
      <c r="O88" s="99"/>
      <c r="P88" s="99"/>
      <c r="Q88" s="99"/>
      <c r="R88" s="151"/>
    </row>
    <row r="89" spans="1:18" ht="18" hidden="1" x14ac:dyDescent="0.25">
      <c r="A89" s="146">
        <v>117</v>
      </c>
      <c r="B89" s="134" t="s">
        <v>514</v>
      </c>
      <c r="C89" s="134"/>
      <c r="D89" s="148" t="s">
        <v>265</v>
      </c>
      <c r="E89" s="149" t="s">
        <v>284</v>
      </c>
      <c r="F89" s="150" t="s">
        <v>284</v>
      </c>
      <c r="G89" s="99" t="s">
        <v>615</v>
      </c>
      <c r="H89" s="99"/>
      <c r="I89" s="99">
        <v>12</v>
      </c>
      <c r="J89" s="99"/>
      <c r="K89" s="99"/>
      <c r="L89" s="99"/>
      <c r="M89" s="99"/>
      <c r="N89" s="99"/>
      <c r="O89" s="99"/>
      <c r="P89" s="99"/>
      <c r="Q89" s="99"/>
      <c r="R89" s="151"/>
    </row>
    <row r="90" spans="1:18" ht="18" hidden="1" x14ac:dyDescent="0.25">
      <c r="A90" s="146">
        <v>71</v>
      </c>
      <c r="B90" s="134" t="s">
        <v>435</v>
      </c>
      <c r="C90" s="134"/>
      <c r="D90" s="148" t="s">
        <v>303</v>
      </c>
      <c r="E90" s="149" t="s">
        <v>284</v>
      </c>
      <c r="F90" s="150" t="s">
        <v>284</v>
      </c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151"/>
    </row>
    <row r="91" spans="1:18" ht="18" hidden="1" x14ac:dyDescent="0.25">
      <c r="A91" s="146"/>
      <c r="B91" s="134" t="s">
        <v>814</v>
      </c>
      <c r="C91" s="134"/>
      <c r="D91" s="148"/>
      <c r="E91" s="149"/>
      <c r="F91" s="150"/>
      <c r="G91" s="99"/>
      <c r="H91" s="99"/>
      <c r="I91" s="99" t="s">
        <v>801</v>
      </c>
      <c r="J91" s="99"/>
      <c r="K91" s="99"/>
      <c r="L91" s="99"/>
      <c r="M91" s="99"/>
      <c r="N91" s="99"/>
      <c r="O91" s="99"/>
      <c r="P91" s="99"/>
      <c r="Q91" s="99"/>
      <c r="R91" s="151"/>
    </row>
    <row r="92" spans="1:18" ht="18" hidden="1" x14ac:dyDescent="0.25">
      <c r="A92" s="146">
        <v>80</v>
      </c>
      <c r="B92" s="134" t="s">
        <v>449</v>
      </c>
      <c r="C92" s="134"/>
      <c r="D92" s="148" t="s">
        <v>282</v>
      </c>
      <c r="E92" s="149" t="s">
        <v>450</v>
      </c>
      <c r="F92" s="150" t="s">
        <v>284</v>
      </c>
      <c r="G92" s="99">
        <v>25</v>
      </c>
      <c r="H92" s="99" t="s">
        <v>733</v>
      </c>
      <c r="I92" s="99" t="s">
        <v>801</v>
      </c>
      <c r="J92" s="99"/>
      <c r="K92" s="99"/>
      <c r="L92" s="99"/>
      <c r="M92" s="99"/>
      <c r="N92" s="99"/>
      <c r="O92" s="99"/>
      <c r="P92" s="99"/>
      <c r="Q92" s="99"/>
      <c r="R92" s="151"/>
    </row>
    <row r="93" spans="1:18" ht="18" x14ac:dyDescent="0.25">
      <c r="A93" s="146">
        <v>11</v>
      </c>
      <c r="B93" s="147" t="s">
        <v>308</v>
      </c>
      <c r="C93" s="134" t="s">
        <v>281</v>
      </c>
      <c r="D93" s="148" t="s">
        <v>309</v>
      </c>
      <c r="E93" s="149" t="s">
        <v>310</v>
      </c>
      <c r="F93" s="150" t="s">
        <v>284</v>
      </c>
      <c r="G93" s="99" t="s">
        <v>631</v>
      </c>
      <c r="H93" s="99" t="s">
        <v>749</v>
      </c>
      <c r="I93" s="99" t="s">
        <v>815</v>
      </c>
      <c r="J93" s="99"/>
      <c r="K93" s="99"/>
      <c r="L93" s="99"/>
      <c r="M93" s="99"/>
      <c r="N93" s="99"/>
      <c r="O93" s="99"/>
      <c r="P93" s="99"/>
      <c r="Q93" s="99"/>
      <c r="R93" s="151"/>
    </row>
    <row r="94" spans="1:18" ht="18" hidden="1" x14ac:dyDescent="0.25">
      <c r="A94" s="146">
        <v>104</v>
      </c>
      <c r="B94" s="134" t="s">
        <v>494</v>
      </c>
      <c r="C94" s="134"/>
      <c r="D94" s="148" t="s">
        <v>120</v>
      </c>
      <c r="E94" s="149" t="s">
        <v>284</v>
      </c>
      <c r="F94" s="150" t="s">
        <v>284</v>
      </c>
      <c r="G94" s="99"/>
      <c r="H94" s="99"/>
      <c r="I94" s="99">
        <v>11</v>
      </c>
      <c r="J94" s="99"/>
      <c r="K94" s="99"/>
      <c r="L94" s="99"/>
      <c r="M94" s="99"/>
      <c r="N94" s="99"/>
      <c r="O94" s="99"/>
      <c r="P94" s="99"/>
      <c r="Q94" s="99"/>
      <c r="R94" s="151"/>
    </row>
    <row r="95" spans="1:18" ht="18" hidden="1" x14ac:dyDescent="0.25">
      <c r="A95" s="146">
        <v>121</v>
      </c>
      <c r="B95" s="134" t="s">
        <v>519</v>
      </c>
      <c r="C95" s="134"/>
      <c r="D95" s="148" t="s">
        <v>347</v>
      </c>
      <c r="E95" s="149" t="s">
        <v>284</v>
      </c>
      <c r="F95" s="150" t="s">
        <v>284</v>
      </c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151"/>
    </row>
    <row r="96" spans="1:18" ht="18" hidden="1" x14ac:dyDescent="0.25">
      <c r="A96" s="146">
        <v>95</v>
      </c>
      <c r="B96" s="134" t="s">
        <v>478</v>
      </c>
      <c r="C96" s="134"/>
      <c r="D96" s="148" t="s">
        <v>479</v>
      </c>
      <c r="E96" s="149" t="s">
        <v>284</v>
      </c>
      <c r="F96" s="150" t="s">
        <v>284</v>
      </c>
      <c r="G96" s="99" t="s">
        <v>632</v>
      </c>
      <c r="H96" s="99" t="s">
        <v>727</v>
      </c>
      <c r="I96" s="99" t="s">
        <v>816</v>
      </c>
      <c r="J96" s="99"/>
      <c r="K96" s="99"/>
      <c r="L96" s="99"/>
      <c r="M96" s="99"/>
      <c r="N96" s="99"/>
      <c r="O96" s="99"/>
      <c r="P96" s="99"/>
      <c r="Q96" s="99"/>
      <c r="R96" s="151"/>
    </row>
    <row r="97" spans="1:18" ht="18" x14ac:dyDescent="0.25">
      <c r="A97" s="146">
        <v>18</v>
      </c>
      <c r="B97" s="147" t="s">
        <v>326</v>
      </c>
      <c r="C97" s="134" t="s">
        <v>281</v>
      </c>
      <c r="D97" s="148" t="s">
        <v>282</v>
      </c>
      <c r="E97" s="149" t="s">
        <v>327</v>
      </c>
      <c r="F97" s="150" t="s">
        <v>284</v>
      </c>
      <c r="G97" s="99" t="s">
        <v>328</v>
      </c>
      <c r="H97" s="99" t="s">
        <v>663</v>
      </c>
      <c r="I97" s="99" t="s">
        <v>791</v>
      </c>
      <c r="J97" s="99"/>
      <c r="K97" s="99"/>
      <c r="L97" s="99"/>
      <c r="M97" s="99"/>
      <c r="N97" s="99"/>
      <c r="O97" s="99"/>
      <c r="P97" s="99"/>
      <c r="Q97" s="99"/>
      <c r="R97" s="151"/>
    </row>
    <row r="98" spans="1:18" ht="18" hidden="1" x14ac:dyDescent="0.25">
      <c r="A98" s="146">
        <v>55</v>
      </c>
      <c r="B98" s="147" t="s">
        <v>410</v>
      </c>
      <c r="C98" s="134"/>
      <c r="D98" s="148" t="s">
        <v>297</v>
      </c>
      <c r="E98" s="149" t="s">
        <v>320</v>
      </c>
      <c r="F98" s="150" t="s">
        <v>284</v>
      </c>
      <c r="G98" s="99" t="s">
        <v>633</v>
      </c>
      <c r="H98" s="99" t="s">
        <v>729</v>
      </c>
      <c r="I98" s="99" t="s">
        <v>771</v>
      </c>
      <c r="J98" s="99"/>
      <c r="K98" s="99"/>
      <c r="L98" s="99"/>
      <c r="M98" s="99"/>
      <c r="N98" s="99"/>
      <c r="O98" s="99"/>
      <c r="P98" s="99"/>
      <c r="Q98" s="99"/>
      <c r="R98" s="151"/>
    </row>
    <row r="99" spans="1:18" ht="18" hidden="1" x14ac:dyDescent="0.25">
      <c r="A99" s="146">
        <v>115</v>
      </c>
      <c r="B99" s="134" t="s">
        <v>511</v>
      </c>
      <c r="C99" s="134"/>
      <c r="D99" s="148" t="s">
        <v>512</v>
      </c>
      <c r="E99" s="149" t="s">
        <v>284</v>
      </c>
      <c r="F99" s="150" t="s">
        <v>284</v>
      </c>
      <c r="G99" s="99" t="s">
        <v>634</v>
      </c>
      <c r="H99" s="99">
        <v>4</v>
      </c>
      <c r="I99" s="99" t="s">
        <v>817</v>
      </c>
      <c r="J99" s="99"/>
      <c r="K99" s="99"/>
      <c r="L99" s="99"/>
      <c r="M99" s="99"/>
      <c r="N99" s="99"/>
      <c r="O99" s="99"/>
      <c r="P99" s="99"/>
      <c r="Q99" s="99"/>
      <c r="R99" s="151"/>
    </row>
    <row r="100" spans="1:18" ht="18" hidden="1" x14ac:dyDescent="0.25">
      <c r="A100" s="146">
        <v>39</v>
      </c>
      <c r="B100" s="147" t="s">
        <v>378</v>
      </c>
      <c r="C100" s="134" t="s">
        <v>379</v>
      </c>
      <c r="D100" s="148" t="s">
        <v>309</v>
      </c>
      <c r="E100" s="149" t="s">
        <v>284</v>
      </c>
      <c r="F100" s="150" t="s">
        <v>284</v>
      </c>
      <c r="G100" s="99" t="s">
        <v>635</v>
      </c>
      <c r="H100" s="99" t="s">
        <v>750</v>
      </c>
      <c r="I100" s="99" t="s">
        <v>818</v>
      </c>
      <c r="J100" s="99"/>
      <c r="K100" s="99"/>
      <c r="L100" s="99"/>
      <c r="M100" s="99"/>
      <c r="N100" s="99"/>
      <c r="O100" s="99"/>
      <c r="P100" s="99"/>
      <c r="Q100" s="99"/>
      <c r="R100" s="151"/>
    </row>
    <row r="101" spans="1:18" ht="18" hidden="1" x14ac:dyDescent="0.25">
      <c r="A101" s="146">
        <v>118</v>
      </c>
      <c r="B101" s="134" t="s">
        <v>515</v>
      </c>
      <c r="C101" s="134"/>
      <c r="D101" s="148" t="s">
        <v>474</v>
      </c>
      <c r="E101" s="149" t="s">
        <v>284</v>
      </c>
      <c r="F101" s="150" t="s">
        <v>284</v>
      </c>
      <c r="G101" s="99" t="s">
        <v>636</v>
      </c>
      <c r="H101" s="99" t="s">
        <v>724</v>
      </c>
      <c r="I101" s="99" t="s">
        <v>730</v>
      </c>
      <c r="J101" s="99"/>
      <c r="K101" s="99"/>
      <c r="L101" s="99"/>
      <c r="M101" s="99"/>
      <c r="N101" s="99"/>
      <c r="O101" s="99"/>
      <c r="P101" s="99"/>
      <c r="Q101" s="99"/>
      <c r="R101" s="151"/>
    </row>
    <row r="102" spans="1:18" ht="18" hidden="1" x14ac:dyDescent="0.25">
      <c r="A102" s="146">
        <v>48</v>
      </c>
      <c r="B102" s="147" t="s">
        <v>398</v>
      </c>
      <c r="C102" s="134"/>
      <c r="D102" s="148" t="s">
        <v>282</v>
      </c>
      <c r="E102" s="149" t="s">
        <v>399</v>
      </c>
      <c r="F102" s="150" t="s">
        <v>284</v>
      </c>
      <c r="G102" s="99" t="s">
        <v>400</v>
      </c>
      <c r="H102" s="99" t="s">
        <v>751</v>
      </c>
      <c r="I102" s="99" t="s">
        <v>819</v>
      </c>
      <c r="J102" s="99"/>
      <c r="K102" s="99"/>
      <c r="L102" s="99"/>
      <c r="M102" s="99"/>
      <c r="N102" s="99"/>
      <c r="O102" s="99"/>
      <c r="P102" s="99"/>
      <c r="Q102" s="99"/>
      <c r="R102" s="151"/>
    </row>
    <row r="103" spans="1:18" ht="18" hidden="1" x14ac:dyDescent="0.25">
      <c r="A103" s="146">
        <v>49</v>
      </c>
      <c r="B103" s="147" t="s">
        <v>401</v>
      </c>
      <c r="C103" s="134"/>
      <c r="D103" s="148" t="s">
        <v>282</v>
      </c>
      <c r="E103" s="149" t="s">
        <v>402</v>
      </c>
      <c r="F103" s="150" t="s">
        <v>284</v>
      </c>
      <c r="G103" s="99" t="s">
        <v>637</v>
      </c>
      <c r="H103" s="99" t="s">
        <v>752</v>
      </c>
      <c r="I103" s="99" t="s">
        <v>786</v>
      </c>
      <c r="J103" s="99"/>
      <c r="K103" s="99"/>
      <c r="L103" s="99"/>
      <c r="M103" s="99"/>
      <c r="N103" s="99"/>
      <c r="O103" s="99"/>
      <c r="P103" s="99"/>
      <c r="Q103" s="99"/>
      <c r="R103" s="151"/>
    </row>
    <row r="104" spans="1:18" ht="18" x14ac:dyDescent="0.25">
      <c r="A104" s="146">
        <v>16</v>
      </c>
      <c r="B104" s="147" t="s">
        <v>322</v>
      </c>
      <c r="C104" s="134" t="s">
        <v>281</v>
      </c>
      <c r="D104" s="148" t="s">
        <v>282</v>
      </c>
      <c r="E104" s="149" t="s">
        <v>323</v>
      </c>
      <c r="F104" s="150" t="s">
        <v>284</v>
      </c>
      <c r="G104" s="99" t="s">
        <v>638</v>
      </c>
      <c r="H104" s="99">
        <v>21</v>
      </c>
      <c r="I104" s="99">
        <v>15</v>
      </c>
      <c r="J104" s="99"/>
      <c r="K104" s="99"/>
      <c r="L104" s="99"/>
      <c r="M104" s="99"/>
      <c r="N104" s="99"/>
      <c r="O104" s="99"/>
      <c r="P104" s="99"/>
      <c r="Q104" s="99"/>
      <c r="R104" s="151"/>
    </row>
    <row r="105" spans="1:18" ht="18" hidden="1" x14ac:dyDescent="0.25">
      <c r="A105" s="146">
        <v>101</v>
      </c>
      <c r="B105" s="134" t="s">
        <v>490</v>
      </c>
      <c r="C105" s="134"/>
      <c r="D105" s="148" t="s">
        <v>347</v>
      </c>
      <c r="E105" s="149" t="s">
        <v>284</v>
      </c>
      <c r="F105" s="150" t="s">
        <v>284</v>
      </c>
      <c r="G105" s="99"/>
      <c r="H105" s="99"/>
      <c r="I105" s="99">
        <v>11</v>
      </c>
      <c r="J105" s="99"/>
      <c r="K105" s="99"/>
      <c r="L105" s="99"/>
      <c r="M105" s="99"/>
      <c r="N105" s="99"/>
      <c r="O105" s="99"/>
      <c r="P105" s="99"/>
      <c r="Q105" s="99"/>
      <c r="R105" s="151"/>
    </row>
    <row r="106" spans="1:18" ht="18" x14ac:dyDescent="0.25">
      <c r="A106" s="146">
        <v>8</v>
      </c>
      <c r="B106" s="147" t="s">
        <v>266</v>
      </c>
      <c r="C106" s="134" t="s">
        <v>300</v>
      </c>
      <c r="D106" s="148" t="s">
        <v>297</v>
      </c>
      <c r="E106" s="149" t="s">
        <v>301</v>
      </c>
      <c r="F106" s="150" t="s">
        <v>284</v>
      </c>
      <c r="G106" s="99" t="s">
        <v>639</v>
      </c>
      <c r="H106" s="99" t="s">
        <v>753</v>
      </c>
      <c r="I106" s="99" t="s">
        <v>820</v>
      </c>
      <c r="J106" s="99"/>
      <c r="K106" s="99"/>
      <c r="L106" s="99"/>
      <c r="M106" s="99"/>
      <c r="N106" s="99"/>
      <c r="O106" s="99"/>
      <c r="P106" s="99"/>
      <c r="Q106" s="99"/>
      <c r="R106" s="151"/>
    </row>
    <row r="107" spans="1:18" ht="18" hidden="1" x14ac:dyDescent="0.25">
      <c r="A107" s="146">
        <v>36</v>
      </c>
      <c r="B107" s="147" t="s">
        <v>372</v>
      </c>
      <c r="C107" s="134" t="s">
        <v>366</v>
      </c>
      <c r="D107" s="148" t="s">
        <v>373</v>
      </c>
      <c r="E107" s="149" t="s">
        <v>284</v>
      </c>
      <c r="F107" s="150" t="s">
        <v>284</v>
      </c>
      <c r="G107" s="99"/>
      <c r="H107" s="99"/>
      <c r="I107" s="99">
        <v>13</v>
      </c>
      <c r="J107" s="99"/>
      <c r="K107" s="99"/>
      <c r="L107" s="99"/>
      <c r="M107" s="99"/>
      <c r="N107" s="99"/>
      <c r="O107" s="99"/>
      <c r="P107" s="99"/>
      <c r="Q107" s="99"/>
      <c r="R107" s="151"/>
    </row>
    <row r="108" spans="1:18" ht="18" hidden="1" x14ac:dyDescent="0.25">
      <c r="A108" s="146">
        <v>45</v>
      </c>
      <c r="B108" s="134" t="s">
        <v>264</v>
      </c>
      <c r="C108" s="134" t="s">
        <v>389</v>
      </c>
      <c r="D108" s="148" t="s">
        <v>390</v>
      </c>
      <c r="E108" s="149" t="s">
        <v>284</v>
      </c>
      <c r="F108" s="150" t="s">
        <v>284</v>
      </c>
      <c r="G108" s="99" t="s">
        <v>609</v>
      </c>
      <c r="H108" s="99" t="s">
        <v>643</v>
      </c>
      <c r="I108" s="99">
        <v>23</v>
      </c>
      <c r="J108" s="99"/>
      <c r="K108" s="99"/>
      <c r="L108" s="99"/>
      <c r="M108" s="99"/>
      <c r="N108" s="99"/>
      <c r="O108" s="99"/>
      <c r="P108" s="99"/>
      <c r="Q108" s="99"/>
      <c r="R108" s="151"/>
    </row>
    <row r="109" spans="1:18" ht="18" hidden="1" x14ac:dyDescent="0.25">
      <c r="A109" s="146">
        <v>119</v>
      </c>
      <c r="B109" s="134" t="s">
        <v>516</v>
      </c>
      <c r="C109" s="134"/>
      <c r="D109" s="148" t="s">
        <v>356</v>
      </c>
      <c r="E109" s="149" t="s">
        <v>284</v>
      </c>
      <c r="F109" s="150" t="s">
        <v>284</v>
      </c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151"/>
    </row>
    <row r="110" spans="1:18" ht="18" hidden="1" x14ac:dyDescent="0.25">
      <c r="A110" s="146">
        <v>84</v>
      </c>
      <c r="B110" s="134" t="s">
        <v>456</v>
      </c>
      <c r="C110" s="134"/>
      <c r="D110" s="148" t="s">
        <v>282</v>
      </c>
      <c r="E110" s="149" t="s">
        <v>457</v>
      </c>
      <c r="F110" s="150" t="s">
        <v>284</v>
      </c>
      <c r="G110" s="99"/>
      <c r="H110" s="99"/>
      <c r="I110" s="99" t="s">
        <v>790</v>
      </c>
      <c r="J110" s="99"/>
      <c r="K110" s="99"/>
      <c r="L110" s="99"/>
      <c r="M110" s="99"/>
      <c r="N110" s="99"/>
      <c r="O110" s="99"/>
      <c r="P110" s="99"/>
      <c r="Q110" s="99"/>
      <c r="R110" s="151"/>
    </row>
    <row r="111" spans="1:18" ht="18" x14ac:dyDescent="0.25">
      <c r="A111" s="146">
        <v>15</v>
      </c>
      <c r="B111" s="147" t="s">
        <v>319</v>
      </c>
      <c r="C111" s="134" t="s">
        <v>281</v>
      </c>
      <c r="D111" s="148" t="s">
        <v>282</v>
      </c>
      <c r="E111" s="149" t="s">
        <v>320</v>
      </c>
      <c r="F111" s="150" t="s">
        <v>284</v>
      </c>
      <c r="G111" s="99" t="s">
        <v>640</v>
      </c>
      <c r="H111" s="99"/>
      <c r="I111" s="99">
        <v>12</v>
      </c>
      <c r="J111" s="99"/>
      <c r="K111" s="99"/>
      <c r="L111" s="99"/>
      <c r="M111" s="99"/>
      <c r="N111" s="99"/>
      <c r="O111" s="99"/>
      <c r="P111" s="99"/>
      <c r="Q111" s="99"/>
      <c r="R111" s="151"/>
    </row>
    <row r="112" spans="1:18" ht="18" hidden="1" x14ac:dyDescent="0.25">
      <c r="A112" s="146">
        <v>85</v>
      </c>
      <c r="B112" s="134" t="s">
        <v>458</v>
      </c>
      <c r="C112" s="134"/>
      <c r="D112" s="148" t="s">
        <v>282</v>
      </c>
      <c r="E112" s="149" t="s">
        <v>459</v>
      </c>
      <c r="F112" s="150" t="s">
        <v>284</v>
      </c>
      <c r="G112" s="99" t="s">
        <v>609</v>
      </c>
      <c r="H112" s="99">
        <v>22</v>
      </c>
      <c r="I112" s="99">
        <v>4</v>
      </c>
      <c r="J112" s="99"/>
      <c r="K112" s="99"/>
      <c r="L112" s="99"/>
      <c r="M112" s="99"/>
      <c r="N112" s="99"/>
      <c r="O112" s="99"/>
      <c r="P112" s="99"/>
      <c r="Q112" s="99"/>
      <c r="R112" s="151"/>
    </row>
    <row r="113" spans="1:18" ht="18" hidden="1" x14ac:dyDescent="0.25">
      <c r="A113" s="146">
        <v>94</v>
      </c>
      <c r="B113" s="134" t="s">
        <v>475</v>
      </c>
      <c r="C113" s="134"/>
      <c r="D113" s="148" t="s">
        <v>476</v>
      </c>
      <c r="E113" s="149" t="s">
        <v>284</v>
      </c>
      <c r="F113" s="150" t="s">
        <v>284</v>
      </c>
      <c r="G113" s="99" t="s">
        <v>477</v>
      </c>
      <c r="H113" s="99" t="s">
        <v>752</v>
      </c>
      <c r="I113" s="99" t="s">
        <v>700</v>
      </c>
      <c r="J113" s="99"/>
      <c r="K113" s="99"/>
      <c r="L113" s="99"/>
      <c r="M113" s="99"/>
      <c r="N113" s="99"/>
      <c r="O113" s="99"/>
      <c r="P113" s="99"/>
      <c r="Q113" s="99"/>
      <c r="R113" s="151"/>
    </row>
    <row r="114" spans="1:18" ht="18" hidden="1" x14ac:dyDescent="0.25">
      <c r="A114" s="146">
        <v>26</v>
      </c>
      <c r="B114" s="147" t="s">
        <v>350</v>
      </c>
      <c r="C114" s="134" t="s">
        <v>281</v>
      </c>
      <c r="D114" s="148" t="s">
        <v>351</v>
      </c>
      <c r="E114" s="149" t="s">
        <v>284</v>
      </c>
      <c r="F114" s="150" t="s">
        <v>284</v>
      </c>
      <c r="G114" s="99" t="s">
        <v>321</v>
      </c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151"/>
    </row>
    <row r="115" spans="1:18" ht="18" hidden="1" x14ac:dyDescent="0.25">
      <c r="A115" s="146">
        <v>73</v>
      </c>
      <c r="B115" s="134" t="s">
        <v>436</v>
      </c>
      <c r="C115" s="134"/>
      <c r="D115" s="148" t="s">
        <v>303</v>
      </c>
      <c r="E115" s="149" t="s">
        <v>437</v>
      </c>
      <c r="F115" s="150" t="s">
        <v>284</v>
      </c>
      <c r="G115" s="99">
        <v>24</v>
      </c>
      <c r="H115" s="99">
        <v>5</v>
      </c>
      <c r="I115" s="99"/>
      <c r="J115" s="99"/>
      <c r="K115" s="99"/>
      <c r="L115" s="99"/>
      <c r="M115" s="99"/>
      <c r="N115" s="99"/>
      <c r="O115" s="99"/>
      <c r="P115" s="99"/>
      <c r="Q115" s="99"/>
      <c r="R115" s="151"/>
    </row>
    <row r="116" spans="1:18" ht="18" hidden="1" x14ac:dyDescent="0.25">
      <c r="A116" s="146">
        <v>52</v>
      </c>
      <c r="B116" s="147" t="s">
        <v>405</v>
      </c>
      <c r="C116" s="134"/>
      <c r="D116" s="148" t="s">
        <v>303</v>
      </c>
      <c r="E116" s="149" t="s">
        <v>284</v>
      </c>
      <c r="F116" s="150" t="s">
        <v>284</v>
      </c>
      <c r="G116" s="99" t="s">
        <v>387</v>
      </c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151"/>
    </row>
    <row r="117" spans="1:18" ht="18" hidden="1" x14ac:dyDescent="0.25">
      <c r="A117" s="146">
        <v>31</v>
      </c>
      <c r="B117" s="147" t="s">
        <v>364</v>
      </c>
      <c r="C117" s="134" t="s">
        <v>358</v>
      </c>
      <c r="D117" s="148" t="s">
        <v>303</v>
      </c>
      <c r="E117" s="149" t="s">
        <v>365</v>
      </c>
      <c r="F117" s="150" t="s">
        <v>284</v>
      </c>
      <c r="G117" s="99" t="s">
        <v>641</v>
      </c>
      <c r="H117" s="99">
        <v>15</v>
      </c>
      <c r="I117" s="99">
        <v>12</v>
      </c>
      <c r="J117" s="99"/>
      <c r="K117" s="99"/>
      <c r="L117" s="99"/>
      <c r="M117" s="99"/>
      <c r="N117" s="99"/>
      <c r="O117" s="99"/>
      <c r="P117" s="99"/>
      <c r="Q117" s="99"/>
      <c r="R117" s="151"/>
    </row>
    <row r="118" spans="1:18" ht="18" x14ac:dyDescent="0.25">
      <c r="A118" s="146">
        <v>14</v>
      </c>
      <c r="B118" s="147" t="s">
        <v>317</v>
      </c>
      <c r="C118" s="134" t="s">
        <v>281</v>
      </c>
      <c r="D118" s="148" t="s">
        <v>282</v>
      </c>
      <c r="E118" s="149" t="s">
        <v>318</v>
      </c>
      <c r="F118" s="150" t="s">
        <v>284</v>
      </c>
      <c r="G118" s="99" t="s">
        <v>293</v>
      </c>
      <c r="H118" s="99">
        <v>14</v>
      </c>
      <c r="I118" s="99">
        <v>1</v>
      </c>
      <c r="J118" s="99"/>
      <c r="K118" s="99"/>
      <c r="L118" s="99"/>
      <c r="M118" s="99"/>
      <c r="N118" s="99"/>
      <c r="O118" s="99"/>
      <c r="P118" s="99"/>
      <c r="Q118" s="99"/>
      <c r="R118" s="151"/>
    </row>
    <row r="119" spans="1:18" ht="18" hidden="1" x14ac:dyDescent="0.25">
      <c r="A119" s="146">
        <v>41</v>
      </c>
      <c r="B119" s="134" t="s">
        <v>381</v>
      </c>
      <c r="C119" s="134" t="s">
        <v>382</v>
      </c>
      <c r="D119" s="148" t="s">
        <v>383</v>
      </c>
      <c r="E119" s="149" t="s">
        <v>384</v>
      </c>
      <c r="F119" s="150" t="s">
        <v>385</v>
      </c>
      <c r="G119" s="99">
        <v>28</v>
      </c>
      <c r="H119" s="99" t="s">
        <v>754</v>
      </c>
      <c r="I119" s="99" t="s">
        <v>821</v>
      </c>
      <c r="J119" s="99"/>
      <c r="K119" s="99"/>
      <c r="L119" s="99"/>
      <c r="M119" s="99"/>
      <c r="N119" s="99"/>
      <c r="O119" s="99"/>
      <c r="P119" s="99"/>
      <c r="Q119" s="99"/>
      <c r="R119" s="151"/>
    </row>
    <row r="120" spans="1:18" ht="18" x14ac:dyDescent="0.25">
      <c r="A120" s="146">
        <v>28</v>
      </c>
      <c r="B120" s="147" t="s">
        <v>355</v>
      </c>
      <c r="C120" s="134" t="s">
        <v>281</v>
      </c>
      <c r="D120" s="148" t="s">
        <v>356</v>
      </c>
      <c r="E120" s="149" t="s">
        <v>284</v>
      </c>
      <c r="F120" s="150" t="s">
        <v>284</v>
      </c>
      <c r="G120" s="99" t="s">
        <v>637</v>
      </c>
      <c r="H120" s="99" t="s">
        <v>755</v>
      </c>
      <c r="I120" s="99" t="s">
        <v>786</v>
      </c>
      <c r="J120" s="99"/>
      <c r="K120" s="99"/>
      <c r="L120" s="99"/>
      <c r="M120" s="99"/>
      <c r="N120" s="99"/>
      <c r="O120" s="99"/>
      <c r="P120" s="99"/>
      <c r="Q120" s="99"/>
      <c r="R120" s="151"/>
    </row>
    <row r="121" spans="1:18" ht="18" x14ac:dyDescent="0.25">
      <c r="A121" s="146">
        <v>9</v>
      </c>
      <c r="B121" s="147" t="s">
        <v>302</v>
      </c>
      <c r="C121" s="134" t="s">
        <v>281</v>
      </c>
      <c r="D121" s="148" t="s">
        <v>303</v>
      </c>
      <c r="E121" s="149" t="s">
        <v>304</v>
      </c>
      <c r="F121" s="150" t="s">
        <v>284</v>
      </c>
      <c r="G121" s="99" t="s">
        <v>305</v>
      </c>
      <c r="H121" s="99" t="s">
        <v>756</v>
      </c>
      <c r="I121" s="99" t="s">
        <v>822</v>
      </c>
      <c r="J121" s="99"/>
      <c r="K121" s="99"/>
      <c r="L121" s="99"/>
      <c r="M121" s="99"/>
      <c r="N121" s="99"/>
      <c r="O121" s="99"/>
      <c r="P121" s="99"/>
      <c r="Q121" s="99"/>
      <c r="R121" s="151"/>
    </row>
    <row r="122" spans="1:18" ht="18" hidden="1" x14ac:dyDescent="0.25">
      <c r="A122" s="146">
        <v>102</v>
      </c>
      <c r="B122" s="134" t="s">
        <v>491</v>
      </c>
      <c r="C122" s="134"/>
      <c r="D122" s="148" t="s">
        <v>492</v>
      </c>
      <c r="E122" s="149" t="s">
        <v>284</v>
      </c>
      <c r="F122" s="150" t="s">
        <v>284</v>
      </c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151"/>
    </row>
    <row r="123" spans="1:18" ht="18" hidden="1" x14ac:dyDescent="0.25">
      <c r="A123" s="146">
        <v>109</v>
      </c>
      <c r="B123" s="134" t="s">
        <v>502</v>
      </c>
      <c r="C123" s="134"/>
      <c r="D123" s="148" t="s">
        <v>503</v>
      </c>
      <c r="E123" s="149" t="s">
        <v>284</v>
      </c>
      <c r="F123" s="150" t="s">
        <v>284</v>
      </c>
      <c r="G123" s="99" t="s">
        <v>328</v>
      </c>
      <c r="H123" s="99" t="s">
        <v>663</v>
      </c>
      <c r="I123" s="99" t="s">
        <v>791</v>
      </c>
      <c r="J123" s="99"/>
      <c r="K123" s="99"/>
      <c r="L123" s="99"/>
      <c r="M123" s="99"/>
      <c r="N123" s="99"/>
      <c r="O123" s="99"/>
      <c r="P123" s="99"/>
      <c r="Q123" s="99"/>
      <c r="R123" s="151"/>
    </row>
    <row r="124" spans="1:18" ht="18" hidden="1" x14ac:dyDescent="0.25">
      <c r="A124" s="146">
        <v>63</v>
      </c>
      <c r="B124" s="147" t="s">
        <v>247</v>
      </c>
      <c r="C124" s="134"/>
      <c r="D124" s="148" t="s">
        <v>282</v>
      </c>
      <c r="E124" s="149" t="s">
        <v>426</v>
      </c>
      <c r="F124" s="150" t="s">
        <v>284</v>
      </c>
      <c r="G124" s="99"/>
      <c r="H124" s="99">
        <v>11</v>
      </c>
      <c r="I124" s="99">
        <v>22</v>
      </c>
      <c r="J124" s="99"/>
      <c r="K124" s="99"/>
      <c r="L124" s="99"/>
      <c r="M124" s="99"/>
      <c r="N124" s="99"/>
      <c r="O124" s="99"/>
      <c r="P124" s="99"/>
      <c r="Q124" s="99"/>
      <c r="R124" s="151"/>
    </row>
    <row r="125" spans="1:18" ht="18.75" hidden="1" thickBot="1" x14ac:dyDescent="0.3">
      <c r="A125" s="152">
        <v>112</v>
      </c>
      <c r="B125" s="153" t="s">
        <v>506</v>
      </c>
      <c r="C125" s="153"/>
      <c r="D125" s="154" t="s">
        <v>507</v>
      </c>
      <c r="E125" s="155" t="s">
        <v>284</v>
      </c>
      <c r="F125" s="156" t="s">
        <v>284</v>
      </c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8"/>
    </row>
  </sheetData>
  <autoFilter ref="A2:R125" xr:uid="{75AC37E8-02A1-42E8-A7A3-7283F681E6C0}">
    <filterColumn colId="1">
      <filters>
        <filter val="Abhay jain"/>
        <filter val="ABHIJEET BASU"/>
        <filter val="AKVATS"/>
        <filter val="Ameet Mehta"/>
        <filter val="ANISH JAIN"/>
        <filter val="BALDEV MEENA"/>
        <filter val="BHUPESH PARTANI"/>
        <filter val="BS BOMB"/>
        <filter val="CHIRAG RATHOR"/>
        <filter val="D C SHARMA"/>
        <filter val="DENY"/>
        <filter val="DP SINGH"/>
        <filter val="G K Mukhiya"/>
        <filter val="HEMANT MAHUR"/>
        <filter val="Hitesh yadav"/>
        <filter val="JAYESH GANDHI"/>
        <filter val="JC DEVPURA"/>
        <filter val="jimesh Pandiya"/>
        <filter val="KAVITA BADJATIYA"/>
        <filter val="KC JAIN"/>
        <filter val="KIRIT GANDHI"/>
        <filter val="KRIPA SHANKAR"/>
        <filter val="MAHESH DAVE"/>
        <filter val="NAVGEET MATHUR"/>
        <filter val="PARAS JAIN"/>
        <filter val="RAHUL PANCHAL"/>
        <filter val="RAMESH PATEL"/>
        <filter val="RK MALOT"/>
        <filter val="SANDEEP BHATNAGAR"/>
        <filter val="SANDEEP KANSARA"/>
        <filter val="SUMIT SIROIYA"/>
        <filter val="VIJAY GOYAL"/>
        <filter val="VINOD KUMAR RAI"/>
        <filter val="VINOD MEHTA"/>
      </filters>
    </filterColumn>
    <sortState xmlns:xlrd2="http://schemas.microsoft.com/office/spreadsheetml/2017/richdata2" ref="A3:R125">
      <sortCondition ref="B2:B125"/>
    </sortState>
  </autoFilter>
  <mergeCells count="1">
    <mergeCell ref="G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EFFORT LEVEL</vt:lpstr>
      <vt:lpstr>MONTH FW PROGRESS</vt:lpstr>
      <vt:lpstr>SALES PERFORMANCE</vt:lpstr>
      <vt:lpstr>UN.SALES PROG.</vt:lpstr>
      <vt:lpstr>NEAR BY EXPIRY</vt:lpstr>
      <vt:lpstr>COMMITMENT</vt:lpstr>
      <vt:lpstr>WCFYH</vt:lpstr>
      <vt:lpstr>A2 GHEE VALROS</vt:lpstr>
      <vt:lpstr>TABLE TOP</vt:lpstr>
      <vt:lpstr>GLUCOMETER CAMP</vt:lpstr>
      <vt:lpstr>SPECIAL FOCUSED BRANDS</vt:lpstr>
      <vt:lpstr> FOCUSED BRANDS</vt:lpstr>
      <vt:lpstr>ROI</vt:lpstr>
      <vt:lpstr>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singhal</dc:creator>
  <cp:lastModifiedBy>Avinash Soni</cp:lastModifiedBy>
  <dcterms:created xsi:type="dcterms:W3CDTF">2021-03-28T12:21:18Z</dcterms:created>
  <dcterms:modified xsi:type="dcterms:W3CDTF">2026-06-05T07:41:27Z</dcterms:modified>
</cp:coreProperties>
</file>